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mperiallondon-my.sharepoint.com/personal/ac6915_ic_ac_uk/Documents/ACSE-9/Ventient_files_data/"/>
    </mc:Choice>
  </mc:AlternateContent>
  <xr:revisionPtr revIDLastSave="201" documentId="13_ncr:1_{15334808-0D31-4818-8590-9A1A065CCB6B}" xr6:coauthVersionLast="45" xr6:coauthVersionMax="45" xr10:uidLastSave="{928BDD9D-485B-4992-8987-86988FB0FB85}"/>
  <bookViews>
    <workbookView xWindow="-110" yWindow="-110" windowWidth="19420" windowHeight="10420" xr2:uid="{6A567766-590D-4603-957B-0F59E55ED977}"/>
  </bookViews>
  <sheets>
    <sheet name="Site Summary" sheetId="2" r:id="rId1"/>
    <sheet name="Signal Summary" sheetId="5" r:id="rId2"/>
    <sheet name="Commison Dates" sheetId="3" state="hidden" r:id="rId3"/>
    <sheet name="Turbine IDs" sheetId="4" state="hidden" r:id="rId4"/>
    <sheet name="signals_2019_10" sheetId="1" state="hidden" r:id="rId5"/>
    <sheet name="signals_2020_05" sheetId="7" state="hidden" r:id="rId6"/>
    <sheet name="signal mapping" sheetId="8" state="hidden" r:id="rId7"/>
  </sheets>
  <definedNames>
    <definedName name="_xlnm._FilterDatabase" localSheetId="1" hidden="1">'Signal Summary'!$C$11:$K$45</definedName>
    <definedName name="_xlnm._FilterDatabase" localSheetId="4" hidden="1">signals_2019_10!$A$1:$AJ$297</definedName>
    <definedName name="_xlnm._FilterDatabase" localSheetId="5" hidden="1">signals_2020_05!$A$1:$AJ$681</definedName>
    <definedName name="_xlnm._FilterDatabase" localSheetId="0" hidden="1">'Site Summary'!$B$11:$J$693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81" i="7" l="1"/>
  <c r="C2" i="5" l="1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D681" i="7"/>
  <c r="E681" i="7"/>
  <c r="F681" i="7"/>
  <c r="G681" i="7"/>
  <c r="E16" i="5" s="1"/>
  <c r="H681" i="7"/>
  <c r="E17" i="5" s="1"/>
  <c r="I681" i="7"/>
  <c r="E18" i="5" s="1"/>
  <c r="J681" i="7"/>
  <c r="K681" i="7"/>
  <c r="L681" i="7"/>
  <c r="M681" i="7"/>
  <c r="N681" i="7"/>
  <c r="O681" i="7"/>
  <c r="E24" i="5" s="1"/>
  <c r="P681" i="7"/>
  <c r="E25" i="5" s="1"/>
  <c r="Q681" i="7"/>
  <c r="E26" i="5" s="1"/>
  <c r="R681" i="7"/>
  <c r="S681" i="7"/>
  <c r="T681" i="7"/>
  <c r="U681" i="7"/>
  <c r="V681" i="7"/>
  <c r="W681" i="7"/>
  <c r="E32" i="5" s="1"/>
  <c r="X681" i="7"/>
  <c r="E33" i="5" s="1"/>
  <c r="Y681" i="7"/>
  <c r="E34" i="5" s="1"/>
  <c r="Z681" i="7"/>
  <c r="AA681" i="7"/>
  <c r="AB681" i="7"/>
  <c r="AC681" i="7"/>
  <c r="AD681" i="7"/>
  <c r="AE681" i="7"/>
  <c r="E40" i="5" s="1"/>
  <c r="AF681" i="7"/>
  <c r="E41" i="5" s="1"/>
  <c r="AG681" i="7"/>
  <c r="E42" i="5" s="1"/>
  <c r="AH681" i="7"/>
  <c r="AI681" i="7"/>
  <c r="AJ681" i="7"/>
  <c r="E39" i="5" l="1"/>
  <c r="E31" i="5"/>
  <c r="E23" i="5"/>
  <c r="E15" i="5"/>
  <c r="E37" i="5"/>
  <c r="E21" i="5"/>
  <c r="E43" i="5"/>
  <c r="E27" i="5"/>
  <c r="E35" i="5"/>
  <c r="E19" i="5"/>
  <c r="E45" i="5"/>
  <c r="E29" i="5"/>
  <c r="E38" i="5"/>
  <c r="E30" i="5"/>
  <c r="E22" i="5"/>
  <c r="E14" i="5"/>
  <c r="E13" i="5"/>
  <c r="E36" i="5"/>
  <c r="E28" i="5"/>
  <c r="E20" i="5"/>
  <c r="E44" i="5"/>
  <c r="B13" i="2"/>
  <c r="A13" i="2" s="1"/>
  <c r="B14" i="2"/>
  <c r="B15" i="2"/>
  <c r="A15" i="2" s="1"/>
  <c r="B16" i="2"/>
  <c r="B17" i="2"/>
  <c r="A17" i="2" s="1"/>
  <c r="B18" i="2"/>
  <c r="B19" i="2"/>
  <c r="A19" i="2" s="1"/>
  <c r="B20" i="2"/>
  <c r="B21" i="2"/>
  <c r="A21" i="2" s="1"/>
  <c r="B22" i="2"/>
  <c r="B23" i="2"/>
  <c r="B24" i="2"/>
  <c r="B25" i="2"/>
  <c r="A25" i="2" s="1"/>
  <c r="B26" i="2"/>
  <c r="B27" i="2"/>
  <c r="B28" i="2"/>
  <c r="B29" i="2"/>
  <c r="A29" i="2" s="1"/>
  <c r="B30" i="2"/>
  <c r="B31" i="2"/>
  <c r="A31" i="2" s="1"/>
  <c r="B32" i="2"/>
  <c r="B33" i="2"/>
  <c r="A33" i="2" s="1"/>
  <c r="B34" i="2"/>
  <c r="B35" i="2"/>
  <c r="B36" i="2"/>
  <c r="B37" i="2"/>
  <c r="B38" i="2"/>
  <c r="B39" i="2"/>
  <c r="A39" i="2" s="1"/>
  <c r="B40" i="2"/>
  <c r="B41" i="2"/>
  <c r="B42" i="2"/>
  <c r="B43" i="2"/>
  <c r="A43" i="2" s="1"/>
  <c r="B44" i="2"/>
  <c r="B45" i="2"/>
  <c r="B46" i="2"/>
  <c r="B47" i="2"/>
  <c r="A47" i="2" s="1"/>
  <c r="B48" i="2"/>
  <c r="B49" i="2"/>
  <c r="B50" i="2"/>
  <c r="B51" i="2"/>
  <c r="B52" i="2"/>
  <c r="B53" i="2"/>
  <c r="B54" i="2"/>
  <c r="B55" i="2"/>
  <c r="A55" i="2" s="1"/>
  <c r="B56" i="2"/>
  <c r="B57" i="2"/>
  <c r="B58" i="2"/>
  <c r="B59" i="2"/>
  <c r="B60" i="2"/>
  <c r="B61" i="2"/>
  <c r="B62" i="2"/>
  <c r="B63" i="2"/>
  <c r="A63" i="2" s="1"/>
  <c r="B64" i="2"/>
  <c r="B65" i="2"/>
  <c r="B66" i="2"/>
  <c r="B67" i="2"/>
  <c r="A67" i="2" s="1"/>
  <c r="B68" i="2"/>
  <c r="B69" i="2"/>
  <c r="B70" i="2"/>
  <c r="B71" i="2"/>
  <c r="B72" i="2"/>
  <c r="B73" i="2"/>
  <c r="B74" i="2"/>
  <c r="B75" i="2"/>
  <c r="B76" i="2"/>
  <c r="B77" i="2"/>
  <c r="B78" i="2"/>
  <c r="B79" i="2"/>
  <c r="A79" i="2" s="1"/>
  <c r="B80" i="2"/>
  <c r="B81" i="2"/>
  <c r="A81" i="2" s="1"/>
  <c r="B82" i="2"/>
  <c r="B83" i="2"/>
  <c r="B84" i="2"/>
  <c r="A84" i="2" s="1"/>
  <c r="B85" i="2"/>
  <c r="A85" i="2" s="1"/>
  <c r="B86" i="2"/>
  <c r="A86" i="2" s="1"/>
  <c r="B87" i="2"/>
  <c r="B88" i="2"/>
  <c r="A88" i="2" s="1"/>
  <c r="B89" i="2"/>
  <c r="A89" i="2" s="1"/>
  <c r="B90" i="2"/>
  <c r="A90" i="2" s="1"/>
  <c r="B91" i="2"/>
  <c r="A91" i="2" s="1"/>
  <c r="B92" i="2"/>
  <c r="B93" i="2"/>
  <c r="A93" i="2" s="1"/>
  <c r="B94" i="2"/>
  <c r="B95" i="2"/>
  <c r="B96" i="2"/>
  <c r="A96" i="2" s="1"/>
  <c r="B97" i="2"/>
  <c r="A97" i="2" s="1"/>
  <c r="B98" i="2"/>
  <c r="A98" i="2" s="1"/>
  <c r="B99" i="2"/>
  <c r="A99" i="2" s="1"/>
  <c r="B100" i="2"/>
  <c r="B101" i="2"/>
  <c r="A101" i="2" s="1"/>
  <c r="B102" i="2"/>
  <c r="A102" i="2" s="1"/>
  <c r="B103" i="2"/>
  <c r="B104" i="2"/>
  <c r="B105" i="2"/>
  <c r="A105" i="2" s="1"/>
  <c r="B106" i="2"/>
  <c r="A106" i="2" s="1"/>
  <c r="B107" i="2"/>
  <c r="B108" i="2"/>
  <c r="B109" i="2"/>
  <c r="A109" i="2" s="1"/>
  <c r="B110" i="2"/>
  <c r="B111" i="2"/>
  <c r="A111" i="2" s="1"/>
  <c r="B112" i="2"/>
  <c r="B113" i="2"/>
  <c r="A113" i="2" s="1"/>
  <c r="B114" i="2"/>
  <c r="B115" i="2"/>
  <c r="A115" i="2" s="1"/>
  <c r="B116" i="2"/>
  <c r="B117" i="2"/>
  <c r="B118" i="2"/>
  <c r="A118" i="2" s="1"/>
  <c r="B119" i="2"/>
  <c r="A119" i="2" s="1"/>
  <c r="B120" i="2"/>
  <c r="A120" i="2" s="1"/>
  <c r="B121" i="2"/>
  <c r="A121" i="2" s="1"/>
  <c r="B122" i="2"/>
  <c r="A122" i="2" s="1"/>
  <c r="B123" i="2"/>
  <c r="A123" i="2" s="1"/>
  <c r="B124" i="2"/>
  <c r="B125" i="2"/>
  <c r="A125" i="2" s="1"/>
  <c r="B126" i="2"/>
  <c r="A126" i="2" s="1"/>
  <c r="B127" i="2"/>
  <c r="B128" i="2"/>
  <c r="A128" i="2" s="1"/>
  <c r="B129" i="2"/>
  <c r="A129" i="2" s="1"/>
  <c r="B130" i="2"/>
  <c r="B131" i="2"/>
  <c r="B132" i="2"/>
  <c r="B133" i="2"/>
  <c r="A133" i="2" s="1"/>
  <c r="B134" i="2"/>
  <c r="B135" i="2"/>
  <c r="A135" i="2" s="1"/>
  <c r="B136" i="2"/>
  <c r="B137" i="2"/>
  <c r="A137" i="2" s="1"/>
  <c r="B138" i="2"/>
  <c r="B139" i="2"/>
  <c r="A139" i="2" s="1"/>
  <c r="B140" i="2"/>
  <c r="A140" i="2" s="1"/>
  <c r="B141" i="2"/>
  <c r="A141" i="2" s="1"/>
  <c r="B142" i="2"/>
  <c r="A142" i="2" s="1"/>
  <c r="B143" i="2"/>
  <c r="A143" i="2" s="1"/>
  <c r="B144" i="2"/>
  <c r="A144" i="2" s="1"/>
  <c r="B145" i="2"/>
  <c r="A145" i="2" s="1"/>
  <c r="B146" i="2"/>
  <c r="A146" i="2" s="1"/>
  <c r="B147" i="2"/>
  <c r="A147" i="2" s="1"/>
  <c r="B148" i="2"/>
  <c r="A148" i="2" s="1"/>
  <c r="B149" i="2"/>
  <c r="A149" i="2" s="1"/>
  <c r="B150" i="2"/>
  <c r="B151" i="2"/>
  <c r="A151" i="2" s="1"/>
  <c r="B152" i="2"/>
  <c r="A152" i="2" s="1"/>
  <c r="B153" i="2"/>
  <c r="A153" i="2" s="1"/>
  <c r="B154" i="2"/>
  <c r="A154" i="2" s="1"/>
  <c r="B155" i="2"/>
  <c r="A155" i="2" s="1"/>
  <c r="B156" i="2"/>
  <c r="A156" i="2" s="1"/>
  <c r="B157" i="2"/>
  <c r="A157" i="2" s="1"/>
  <c r="B158" i="2"/>
  <c r="B159" i="2"/>
  <c r="A159" i="2" s="1"/>
  <c r="B160" i="2"/>
  <c r="A160" i="2" s="1"/>
  <c r="B161" i="2"/>
  <c r="A161" i="2" s="1"/>
  <c r="B162" i="2"/>
  <c r="A162" i="2" s="1"/>
  <c r="B163" i="2"/>
  <c r="A163" i="2" s="1"/>
  <c r="B164" i="2"/>
  <c r="A164" i="2" s="1"/>
  <c r="B165" i="2"/>
  <c r="A165" i="2" s="1"/>
  <c r="B166" i="2"/>
  <c r="B167" i="2"/>
  <c r="A167" i="2" s="1"/>
  <c r="B168" i="2"/>
  <c r="A168" i="2" s="1"/>
  <c r="B169" i="2"/>
  <c r="A169" i="2" s="1"/>
  <c r="B170" i="2"/>
  <c r="A170" i="2" s="1"/>
  <c r="B171" i="2"/>
  <c r="A171" i="2" s="1"/>
  <c r="B172" i="2"/>
  <c r="B173" i="2"/>
  <c r="A173" i="2" s="1"/>
  <c r="B174" i="2"/>
  <c r="B175" i="2"/>
  <c r="A175" i="2" s="1"/>
  <c r="B176" i="2"/>
  <c r="B177" i="2"/>
  <c r="A177" i="2" s="1"/>
  <c r="B178" i="2"/>
  <c r="A178" i="2" s="1"/>
  <c r="B179" i="2"/>
  <c r="A179" i="2" s="1"/>
  <c r="B180" i="2"/>
  <c r="B181" i="2"/>
  <c r="A181" i="2" s="1"/>
  <c r="B182" i="2"/>
  <c r="B183" i="2"/>
  <c r="B184" i="2"/>
  <c r="B185" i="2"/>
  <c r="A185" i="2" s="1"/>
  <c r="B186" i="2"/>
  <c r="A186" i="2" s="1"/>
  <c r="B187" i="2"/>
  <c r="A187" i="2" s="1"/>
  <c r="B188" i="2"/>
  <c r="A188" i="2" s="1"/>
  <c r="B189" i="2"/>
  <c r="A189" i="2" s="1"/>
  <c r="B190" i="2"/>
  <c r="B191" i="2"/>
  <c r="A191" i="2" s="1"/>
  <c r="B192" i="2"/>
  <c r="A192" i="2" s="1"/>
  <c r="B193" i="2"/>
  <c r="A193" i="2" s="1"/>
  <c r="B194" i="2"/>
  <c r="A194" i="2" s="1"/>
  <c r="B195" i="2"/>
  <c r="A195" i="2" s="1"/>
  <c r="B196" i="2"/>
  <c r="B197" i="2"/>
  <c r="A197" i="2" s="1"/>
  <c r="B198" i="2"/>
  <c r="A198" i="2" s="1"/>
  <c r="B199" i="2"/>
  <c r="A199" i="2" s="1"/>
  <c r="B200" i="2"/>
  <c r="B201" i="2"/>
  <c r="A201" i="2" s="1"/>
  <c r="B202" i="2"/>
  <c r="A202" i="2" s="1"/>
  <c r="B203" i="2"/>
  <c r="A203" i="2" s="1"/>
  <c r="B204" i="2"/>
  <c r="A204" i="2" s="1"/>
  <c r="B205" i="2"/>
  <c r="A205" i="2" s="1"/>
  <c r="B206" i="2"/>
  <c r="A206" i="2" s="1"/>
  <c r="B207" i="2"/>
  <c r="A207" i="2" s="1"/>
  <c r="B208" i="2"/>
  <c r="B209" i="2"/>
  <c r="A209" i="2" s="1"/>
  <c r="B210" i="2"/>
  <c r="B211" i="2"/>
  <c r="A211" i="2" s="1"/>
  <c r="B212" i="2"/>
  <c r="A212" i="2" s="1"/>
  <c r="B213" i="2"/>
  <c r="A213" i="2" s="1"/>
  <c r="B214" i="2"/>
  <c r="A214" i="2" s="1"/>
  <c r="B215" i="2"/>
  <c r="A215" i="2" s="1"/>
  <c r="B216" i="2"/>
  <c r="B217" i="2"/>
  <c r="A217" i="2" s="1"/>
  <c r="B218" i="2"/>
  <c r="B219" i="2"/>
  <c r="B220" i="2"/>
  <c r="B221" i="2"/>
  <c r="A221" i="2" s="1"/>
  <c r="B222" i="2"/>
  <c r="A222" i="2" s="1"/>
  <c r="B223" i="2"/>
  <c r="A223" i="2" s="1"/>
  <c r="B224" i="2"/>
  <c r="B225" i="2"/>
  <c r="A225" i="2" s="1"/>
  <c r="B226" i="2"/>
  <c r="B227" i="2"/>
  <c r="B228" i="2"/>
  <c r="A228" i="2" s="1"/>
  <c r="B229" i="2"/>
  <c r="A229" i="2" s="1"/>
  <c r="B230" i="2"/>
  <c r="A230" i="2" s="1"/>
  <c r="B231" i="2"/>
  <c r="B232" i="2"/>
  <c r="A232" i="2" s="1"/>
  <c r="B233" i="2"/>
  <c r="A233" i="2" s="1"/>
  <c r="B234" i="2"/>
  <c r="B235" i="2"/>
  <c r="A235" i="2" s="1"/>
  <c r="B236" i="2"/>
  <c r="A236" i="2" s="1"/>
  <c r="B237" i="2"/>
  <c r="A237" i="2" s="1"/>
  <c r="B238" i="2"/>
  <c r="B239" i="2"/>
  <c r="A239" i="2" s="1"/>
  <c r="B240" i="2"/>
  <c r="B241" i="2"/>
  <c r="B242" i="2"/>
  <c r="A242" i="2" s="1"/>
  <c r="B243" i="2"/>
  <c r="B244" i="2"/>
  <c r="A244" i="2" s="1"/>
  <c r="B245" i="2"/>
  <c r="A245" i="2" s="1"/>
  <c r="B246" i="2"/>
  <c r="A246" i="2" s="1"/>
  <c r="B247" i="2"/>
  <c r="A247" i="2" s="1"/>
  <c r="B248" i="2"/>
  <c r="B249" i="2"/>
  <c r="A249" i="2" s="1"/>
  <c r="B250" i="2"/>
  <c r="A250" i="2" s="1"/>
  <c r="B251" i="2"/>
  <c r="B252" i="2"/>
  <c r="B253" i="2"/>
  <c r="B254" i="2"/>
  <c r="A254" i="2" s="1"/>
  <c r="B255" i="2"/>
  <c r="B256" i="2"/>
  <c r="A256" i="2" s="1"/>
  <c r="B257" i="2"/>
  <c r="A257" i="2" s="1"/>
  <c r="B258" i="2"/>
  <c r="A258" i="2" s="1"/>
  <c r="B259" i="2"/>
  <c r="A259" i="2" s="1"/>
  <c r="B260" i="2"/>
  <c r="B261" i="2"/>
  <c r="B262" i="2"/>
  <c r="A262" i="2" s="1"/>
  <c r="B263" i="2"/>
  <c r="A263" i="2" s="1"/>
  <c r="B264" i="2"/>
  <c r="A264" i="2" s="1"/>
  <c r="B265" i="2"/>
  <c r="B266" i="2"/>
  <c r="A266" i="2" s="1"/>
  <c r="B267" i="2"/>
  <c r="B268" i="2"/>
  <c r="A268" i="2" s="1"/>
  <c r="B269" i="2"/>
  <c r="A269" i="2" s="1"/>
  <c r="B270" i="2"/>
  <c r="A270" i="2" s="1"/>
  <c r="B271" i="2"/>
  <c r="A271" i="2" s="1"/>
  <c r="B272" i="2"/>
  <c r="B273" i="2"/>
  <c r="A273" i="2" s="1"/>
  <c r="B274" i="2"/>
  <c r="A274" i="2" s="1"/>
  <c r="B275" i="2"/>
  <c r="B276" i="2"/>
  <c r="B277" i="2"/>
  <c r="B278" i="2"/>
  <c r="A278" i="2" s="1"/>
  <c r="B279" i="2"/>
  <c r="A279" i="2" s="1"/>
  <c r="B280" i="2"/>
  <c r="A280" i="2" s="1"/>
  <c r="B281" i="2"/>
  <c r="B282" i="2"/>
  <c r="A282" i="2" s="1"/>
  <c r="B283" i="2"/>
  <c r="B284" i="2"/>
  <c r="A284" i="2" s="1"/>
  <c r="B285" i="2"/>
  <c r="B286" i="2"/>
  <c r="B287" i="2"/>
  <c r="B288" i="2"/>
  <c r="A288" i="2" s="1"/>
  <c r="B289" i="2"/>
  <c r="A289" i="2" s="1"/>
  <c r="B290" i="2"/>
  <c r="B291" i="2"/>
  <c r="A291" i="2" s="1"/>
  <c r="B292" i="2"/>
  <c r="A292" i="2" s="1"/>
  <c r="B293" i="2"/>
  <c r="A293" i="2" s="1"/>
  <c r="B294" i="2"/>
  <c r="B295" i="2"/>
  <c r="B296" i="2"/>
  <c r="A296" i="2" s="1"/>
  <c r="B297" i="2"/>
  <c r="B298" i="2"/>
  <c r="A298" i="2" s="1"/>
  <c r="B299" i="2"/>
  <c r="A299" i="2" s="1"/>
  <c r="B300" i="2"/>
  <c r="B301" i="2"/>
  <c r="B302" i="2"/>
  <c r="A302" i="2" s="1"/>
  <c r="B303" i="2"/>
  <c r="B304" i="2"/>
  <c r="A304" i="2" s="1"/>
  <c r="B305" i="2"/>
  <c r="B306" i="2"/>
  <c r="A306" i="2" s="1"/>
  <c r="B307" i="2"/>
  <c r="A307" i="2" s="1"/>
  <c r="B308" i="2"/>
  <c r="A308" i="2" s="1"/>
  <c r="B309" i="2"/>
  <c r="A309" i="2" s="1"/>
  <c r="B310" i="2"/>
  <c r="A310" i="2" s="1"/>
  <c r="B311" i="2"/>
  <c r="A311" i="2" s="1"/>
  <c r="B312" i="2"/>
  <c r="A312" i="2" s="1"/>
  <c r="B313" i="2"/>
  <c r="A313" i="2" s="1"/>
  <c r="B314" i="2"/>
  <c r="A314" i="2" s="1"/>
  <c r="B315" i="2"/>
  <c r="A315" i="2" s="1"/>
  <c r="B316" i="2"/>
  <c r="A316" i="2" s="1"/>
  <c r="B317" i="2"/>
  <c r="A317" i="2" s="1"/>
  <c r="B318" i="2"/>
  <c r="A318" i="2" s="1"/>
  <c r="B319" i="2"/>
  <c r="A319" i="2" s="1"/>
  <c r="B320" i="2"/>
  <c r="A320" i="2" s="1"/>
  <c r="B321" i="2"/>
  <c r="A321" i="2" s="1"/>
  <c r="B322" i="2"/>
  <c r="A322" i="2" s="1"/>
  <c r="B323" i="2"/>
  <c r="A323" i="2" s="1"/>
  <c r="B324" i="2"/>
  <c r="A324" i="2" s="1"/>
  <c r="B325" i="2"/>
  <c r="A325" i="2" s="1"/>
  <c r="B326" i="2"/>
  <c r="A326" i="2" s="1"/>
  <c r="B327" i="2"/>
  <c r="A327" i="2" s="1"/>
  <c r="B328" i="2"/>
  <c r="A328" i="2" s="1"/>
  <c r="B329" i="2"/>
  <c r="A329" i="2" s="1"/>
  <c r="B330" i="2"/>
  <c r="A330" i="2" s="1"/>
  <c r="B331" i="2"/>
  <c r="A331" i="2" s="1"/>
  <c r="B332" i="2"/>
  <c r="A332" i="2" s="1"/>
  <c r="B333" i="2"/>
  <c r="A333" i="2" s="1"/>
  <c r="B334" i="2"/>
  <c r="A334" i="2" s="1"/>
  <c r="B335" i="2"/>
  <c r="A335" i="2" s="1"/>
  <c r="B336" i="2"/>
  <c r="A336" i="2" s="1"/>
  <c r="B337" i="2"/>
  <c r="A337" i="2" s="1"/>
  <c r="B338" i="2"/>
  <c r="A338" i="2" s="1"/>
  <c r="B339" i="2"/>
  <c r="A339" i="2" s="1"/>
  <c r="B340" i="2"/>
  <c r="A340" i="2" s="1"/>
  <c r="B341" i="2"/>
  <c r="A341" i="2" s="1"/>
  <c r="B342" i="2"/>
  <c r="A342" i="2" s="1"/>
  <c r="B343" i="2"/>
  <c r="A343" i="2" s="1"/>
  <c r="B344" i="2"/>
  <c r="A344" i="2" s="1"/>
  <c r="B345" i="2"/>
  <c r="A345" i="2" s="1"/>
  <c r="B346" i="2"/>
  <c r="A346" i="2" s="1"/>
  <c r="B347" i="2"/>
  <c r="A347" i="2" s="1"/>
  <c r="B348" i="2"/>
  <c r="A348" i="2" s="1"/>
  <c r="B349" i="2"/>
  <c r="A349" i="2" s="1"/>
  <c r="B350" i="2"/>
  <c r="A350" i="2" s="1"/>
  <c r="B351" i="2"/>
  <c r="A351" i="2" s="1"/>
  <c r="B352" i="2"/>
  <c r="A352" i="2" s="1"/>
  <c r="B353" i="2"/>
  <c r="A353" i="2" s="1"/>
  <c r="B354" i="2"/>
  <c r="A354" i="2" s="1"/>
  <c r="B355" i="2"/>
  <c r="A355" i="2" s="1"/>
  <c r="B356" i="2"/>
  <c r="A356" i="2" s="1"/>
  <c r="B357" i="2"/>
  <c r="A357" i="2" s="1"/>
  <c r="B358" i="2"/>
  <c r="A358" i="2" s="1"/>
  <c r="B359" i="2"/>
  <c r="A359" i="2" s="1"/>
  <c r="B360" i="2"/>
  <c r="A360" i="2" s="1"/>
  <c r="B361" i="2"/>
  <c r="A361" i="2" s="1"/>
  <c r="B362" i="2"/>
  <c r="A362" i="2" s="1"/>
  <c r="B363" i="2"/>
  <c r="A363" i="2" s="1"/>
  <c r="B364" i="2"/>
  <c r="A364" i="2" s="1"/>
  <c r="B365" i="2"/>
  <c r="A365" i="2" s="1"/>
  <c r="B366" i="2"/>
  <c r="A366" i="2" s="1"/>
  <c r="B367" i="2"/>
  <c r="A367" i="2" s="1"/>
  <c r="B368" i="2"/>
  <c r="A368" i="2" s="1"/>
  <c r="B369" i="2"/>
  <c r="A369" i="2" s="1"/>
  <c r="B370" i="2"/>
  <c r="A370" i="2" s="1"/>
  <c r="B371" i="2"/>
  <c r="A371" i="2" s="1"/>
  <c r="B372" i="2"/>
  <c r="A372" i="2" s="1"/>
  <c r="B373" i="2"/>
  <c r="A373" i="2" s="1"/>
  <c r="B374" i="2"/>
  <c r="A374" i="2" s="1"/>
  <c r="B375" i="2"/>
  <c r="A375" i="2" s="1"/>
  <c r="B376" i="2"/>
  <c r="A376" i="2" s="1"/>
  <c r="B377" i="2"/>
  <c r="A377" i="2" s="1"/>
  <c r="B378" i="2"/>
  <c r="A378" i="2" s="1"/>
  <c r="B379" i="2"/>
  <c r="B380" i="2"/>
  <c r="A380" i="2" s="1"/>
  <c r="B381" i="2"/>
  <c r="B382" i="2"/>
  <c r="A382" i="2" s="1"/>
  <c r="B383" i="2"/>
  <c r="A383" i="2" s="1"/>
  <c r="B384" i="2"/>
  <c r="A384" i="2" s="1"/>
  <c r="B385" i="2"/>
  <c r="A385" i="2" s="1"/>
  <c r="B386" i="2"/>
  <c r="A386" i="2" s="1"/>
  <c r="B387" i="2"/>
  <c r="A387" i="2" s="1"/>
  <c r="B388" i="2"/>
  <c r="A388" i="2" s="1"/>
  <c r="B389" i="2"/>
  <c r="A389" i="2" s="1"/>
  <c r="B390" i="2"/>
  <c r="A390" i="2" s="1"/>
  <c r="B391" i="2"/>
  <c r="A391" i="2" s="1"/>
  <c r="B392" i="2"/>
  <c r="A392" i="2" s="1"/>
  <c r="B393" i="2"/>
  <c r="A393" i="2" s="1"/>
  <c r="B394" i="2"/>
  <c r="A394" i="2" s="1"/>
  <c r="B395" i="2"/>
  <c r="B396" i="2"/>
  <c r="A396" i="2" s="1"/>
  <c r="B397" i="2"/>
  <c r="A397" i="2" s="1"/>
  <c r="B398" i="2"/>
  <c r="A398" i="2" s="1"/>
  <c r="B399" i="2"/>
  <c r="B400" i="2"/>
  <c r="B401" i="2"/>
  <c r="A401" i="2" s="1"/>
  <c r="B402" i="2"/>
  <c r="A402" i="2" s="1"/>
  <c r="B403" i="2"/>
  <c r="A403" i="2" s="1"/>
  <c r="B404" i="2"/>
  <c r="A404" i="2" s="1"/>
  <c r="B405" i="2"/>
  <c r="A405" i="2" s="1"/>
  <c r="B406" i="2"/>
  <c r="A406" i="2" s="1"/>
  <c r="B407" i="2"/>
  <c r="A407" i="2" s="1"/>
  <c r="B408" i="2"/>
  <c r="A408" i="2" s="1"/>
  <c r="B409" i="2"/>
  <c r="A409" i="2" s="1"/>
  <c r="B410" i="2"/>
  <c r="A410" i="2" s="1"/>
  <c r="B411" i="2"/>
  <c r="B412" i="2"/>
  <c r="A412" i="2" s="1"/>
  <c r="B413" i="2"/>
  <c r="A413" i="2" s="1"/>
  <c r="B414" i="2"/>
  <c r="A414" i="2" s="1"/>
  <c r="B415" i="2"/>
  <c r="B416" i="2"/>
  <c r="B417" i="2"/>
  <c r="A417" i="2" s="1"/>
  <c r="B418" i="2"/>
  <c r="A418" i="2" s="1"/>
  <c r="B419" i="2"/>
  <c r="A419" i="2" s="1"/>
  <c r="B420" i="2"/>
  <c r="A420" i="2" s="1"/>
  <c r="B421" i="2"/>
  <c r="A421" i="2" s="1"/>
  <c r="B422" i="2"/>
  <c r="A422" i="2" s="1"/>
  <c r="B423" i="2"/>
  <c r="A423" i="2" s="1"/>
  <c r="B424" i="2"/>
  <c r="A424" i="2" s="1"/>
  <c r="B425" i="2"/>
  <c r="A425" i="2" s="1"/>
  <c r="B426" i="2"/>
  <c r="A426" i="2" s="1"/>
  <c r="B427" i="2"/>
  <c r="B428" i="2"/>
  <c r="A428" i="2" s="1"/>
  <c r="B429" i="2"/>
  <c r="A429" i="2" s="1"/>
  <c r="B430" i="2"/>
  <c r="A430" i="2" s="1"/>
  <c r="B431" i="2"/>
  <c r="B432" i="2"/>
  <c r="B433" i="2"/>
  <c r="A433" i="2" s="1"/>
  <c r="B434" i="2"/>
  <c r="A434" i="2" s="1"/>
  <c r="B435" i="2"/>
  <c r="A435" i="2" s="1"/>
  <c r="B436" i="2"/>
  <c r="A436" i="2" s="1"/>
  <c r="B437" i="2"/>
  <c r="A437" i="2" s="1"/>
  <c r="B438" i="2"/>
  <c r="A438" i="2" s="1"/>
  <c r="B439" i="2"/>
  <c r="B440" i="2"/>
  <c r="A440" i="2" s="1"/>
  <c r="B441" i="2"/>
  <c r="B442" i="2"/>
  <c r="A442" i="2" s="1"/>
  <c r="B443" i="2"/>
  <c r="A443" i="2" s="1"/>
  <c r="B444" i="2"/>
  <c r="A444" i="2" s="1"/>
  <c r="B445" i="2"/>
  <c r="A445" i="2" s="1"/>
  <c r="B446" i="2"/>
  <c r="A446" i="2" s="1"/>
  <c r="B447" i="2"/>
  <c r="B448" i="2"/>
  <c r="A448" i="2" s="1"/>
  <c r="B449" i="2"/>
  <c r="A449" i="2" s="1"/>
  <c r="B450" i="2"/>
  <c r="A450" i="2" s="1"/>
  <c r="B451" i="2"/>
  <c r="A451" i="2" s="1"/>
  <c r="B452" i="2"/>
  <c r="A452" i="2" s="1"/>
  <c r="B453" i="2"/>
  <c r="A453" i="2" s="1"/>
  <c r="B454" i="2"/>
  <c r="A454" i="2" s="1"/>
  <c r="B455" i="2"/>
  <c r="A455" i="2" s="1"/>
  <c r="B456" i="2"/>
  <c r="A456" i="2" s="1"/>
  <c r="B457" i="2"/>
  <c r="A457" i="2" s="1"/>
  <c r="B458" i="2"/>
  <c r="A458" i="2" s="1"/>
  <c r="B459" i="2"/>
  <c r="A459" i="2" s="1"/>
  <c r="B460" i="2"/>
  <c r="A460" i="2" s="1"/>
  <c r="B461" i="2"/>
  <c r="A461" i="2" s="1"/>
  <c r="B462" i="2"/>
  <c r="A462" i="2" s="1"/>
  <c r="B463" i="2"/>
  <c r="A463" i="2" s="1"/>
  <c r="B464" i="2"/>
  <c r="A464" i="2" s="1"/>
  <c r="B465" i="2"/>
  <c r="A465" i="2" s="1"/>
  <c r="B466" i="2"/>
  <c r="A466" i="2" s="1"/>
  <c r="B467" i="2"/>
  <c r="A467" i="2" s="1"/>
  <c r="B468" i="2"/>
  <c r="A468" i="2" s="1"/>
  <c r="B469" i="2"/>
  <c r="A469" i="2" s="1"/>
  <c r="B470" i="2"/>
  <c r="A470" i="2" s="1"/>
  <c r="B471" i="2"/>
  <c r="A471" i="2" s="1"/>
  <c r="B472" i="2"/>
  <c r="A472" i="2" s="1"/>
  <c r="B473" i="2"/>
  <c r="A473" i="2" s="1"/>
  <c r="B474" i="2"/>
  <c r="A474" i="2" s="1"/>
  <c r="B475" i="2"/>
  <c r="A475" i="2" s="1"/>
  <c r="B476" i="2"/>
  <c r="A476" i="2" s="1"/>
  <c r="B477" i="2"/>
  <c r="A477" i="2" s="1"/>
  <c r="B478" i="2"/>
  <c r="A478" i="2" s="1"/>
  <c r="B479" i="2"/>
  <c r="A479" i="2" s="1"/>
  <c r="B480" i="2"/>
  <c r="A480" i="2" s="1"/>
  <c r="B481" i="2"/>
  <c r="A481" i="2" s="1"/>
  <c r="B482" i="2"/>
  <c r="A482" i="2" s="1"/>
  <c r="B483" i="2"/>
  <c r="A483" i="2" s="1"/>
  <c r="B484" i="2"/>
  <c r="A484" i="2" s="1"/>
  <c r="B485" i="2"/>
  <c r="A485" i="2" s="1"/>
  <c r="B486" i="2"/>
  <c r="A486" i="2" s="1"/>
  <c r="B487" i="2"/>
  <c r="A487" i="2" s="1"/>
  <c r="B488" i="2"/>
  <c r="A488" i="2" s="1"/>
  <c r="B489" i="2"/>
  <c r="A489" i="2" s="1"/>
  <c r="B490" i="2"/>
  <c r="A490" i="2" s="1"/>
  <c r="B491" i="2"/>
  <c r="A491" i="2" s="1"/>
  <c r="B492" i="2"/>
  <c r="A492" i="2" s="1"/>
  <c r="B493" i="2"/>
  <c r="A493" i="2" s="1"/>
  <c r="B494" i="2"/>
  <c r="A494" i="2" s="1"/>
  <c r="B495" i="2"/>
  <c r="A495" i="2" s="1"/>
  <c r="B496" i="2"/>
  <c r="A496" i="2" s="1"/>
  <c r="B497" i="2"/>
  <c r="A497" i="2" s="1"/>
  <c r="B498" i="2"/>
  <c r="A498" i="2" s="1"/>
  <c r="B499" i="2"/>
  <c r="A499" i="2" s="1"/>
  <c r="B500" i="2"/>
  <c r="A500" i="2" s="1"/>
  <c r="B501" i="2"/>
  <c r="A501" i="2" s="1"/>
  <c r="B502" i="2"/>
  <c r="A502" i="2" s="1"/>
  <c r="B503" i="2"/>
  <c r="A503" i="2" s="1"/>
  <c r="B504" i="2"/>
  <c r="A504" i="2" s="1"/>
  <c r="B505" i="2"/>
  <c r="A505" i="2" s="1"/>
  <c r="B506" i="2"/>
  <c r="A506" i="2" s="1"/>
  <c r="B507" i="2"/>
  <c r="A507" i="2" s="1"/>
  <c r="B508" i="2"/>
  <c r="A508" i="2" s="1"/>
  <c r="B509" i="2"/>
  <c r="A509" i="2" s="1"/>
  <c r="B510" i="2"/>
  <c r="A510" i="2" s="1"/>
  <c r="B511" i="2"/>
  <c r="A511" i="2" s="1"/>
  <c r="B512" i="2"/>
  <c r="A512" i="2" s="1"/>
  <c r="B513" i="2"/>
  <c r="B514" i="2"/>
  <c r="A514" i="2" s="1"/>
  <c r="B515" i="2"/>
  <c r="B516" i="2"/>
  <c r="A516" i="2" s="1"/>
  <c r="B517" i="2"/>
  <c r="A517" i="2" s="1"/>
  <c r="B518" i="2"/>
  <c r="B519" i="2"/>
  <c r="A519" i="2" s="1"/>
  <c r="B520" i="2"/>
  <c r="A520" i="2" s="1"/>
  <c r="B521" i="2"/>
  <c r="B522" i="2"/>
  <c r="A522" i="2" s="1"/>
  <c r="B523" i="2"/>
  <c r="B524" i="2"/>
  <c r="A524" i="2" s="1"/>
  <c r="B525" i="2"/>
  <c r="A525" i="2" s="1"/>
  <c r="B526" i="2"/>
  <c r="B527" i="2"/>
  <c r="A527" i="2" s="1"/>
  <c r="B528" i="2"/>
  <c r="A528" i="2" s="1"/>
  <c r="B529" i="2"/>
  <c r="B530" i="2"/>
  <c r="A530" i="2" s="1"/>
  <c r="B531" i="2"/>
  <c r="B532" i="2"/>
  <c r="A532" i="2" s="1"/>
  <c r="B533" i="2"/>
  <c r="A533" i="2" s="1"/>
  <c r="B534" i="2"/>
  <c r="B535" i="2"/>
  <c r="A535" i="2" s="1"/>
  <c r="B536" i="2"/>
  <c r="A536" i="2" s="1"/>
  <c r="B537" i="2"/>
  <c r="B538" i="2"/>
  <c r="A538" i="2" s="1"/>
  <c r="B539" i="2"/>
  <c r="B540" i="2"/>
  <c r="A540" i="2" s="1"/>
  <c r="B541" i="2"/>
  <c r="A541" i="2" s="1"/>
  <c r="B542" i="2"/>
  <c r="B543" i="2"/>
  <c r="A543" i="2" s="1"/>
  <c r="B544" i="2"/>
  <c r="A544" i="2" s="1"/>
  <c r="B545" i="2"/>
  <c r="A545" i="2" s="1"/>
  <c r="B546" i="2"/>
  <c r="A546" i="2" s="1"/>
  <c r="B547" i="2"/>
  <c r="B548" i="2"/>
  <c r="A548" i="2" s="1"/>
  <c r="B549" i="2"/>
  <c r="A549" i="2" s="1"/>
  <c r="B550" i="2"/>
  <c r="B551" i="2"/>
  <c r="A551" i="2" s="1"/>
  <c r="B552" i="2"/>
  <c r="A552" i="2" s="1"/>
  <c r="B553" i="2"/>
  <c r="A553" i="2" s="1"/>
  <c r="B554" i="2"/>
  <c r="A554" i="2" s="1"/>
  <c r="B555" i="2"/>
  <c r="B556" i="2"/>
  <c r="A556" i="2" s="1"/>
  <c r="B557" i="2"/>
  <c r="A557" i="2" s="1"/>
  <c r="B558" i="2"/>
  <c r="B559" i="2"/>
  <c r="A559" i="2" s="1"/>
  <c r="B560" i="2"/>
  <c r="A560" i="2" s="1"/>
  <c r="B561" i="2"/>
  <c r="A561" i="2" s="1"/>
  <c r="B562" i="2"/>
  <c r="A562" i="2" s="1"/>
  <c r="B563" i="2"/>
  <c r="B564" i="2"/>
  <c r="A564" i="2" s="1"/>
  <c r="B565" i="2"/>
  <c r="A565" i="2" s="1"/>
  <c r="B566" i="2"/>
  <c r="B567" i="2"/>
  <c r="A567" i="2" s="1"/>
  <c r="B568" i="2"/>
  <c r="A568" i="2" s="1"/>
  <c r="B569" i="2"/>
  <c r="A569" i="2" s="1"/>
  <c r="B570" i="2"/>
  <c r="A570" i="2" s="1"/>
  <c r="B571" i="2"/>
  <c r="B572" i="2"/>
  <c r="A572" i="2" s="1"/>
  <c r="B573" i="2"/>
  <c r="A573" i="2" s="1"/>
  <c r="B574" i="2"/>
  <c r="B575" i="2"/>
  <c r="A575" i="2" s="1"/>
  <c r="B576" i="2"/>
  <c r="A576" i="2" s="1"/>
  <c r="B577" i="2"/>
  <c r="B578" i="2"/>
  <c r="A578" i="2" s="1"/>
  <c r="B579" i="2"/>
  <c r="B580" i="2"/>
  <c r="A580" i="2" s="1"/>
  <c r="B581" i="2"/>
  <c r="A581" i="2" s="1"/>
  <c r="B582" i="2"/>
  <c r="B583" i="2"/>
  <c r="A583" i="2" s="1"/>
  <c r="B584" i="2"/>
  <c r="A584" i="2" s="1"/>
  <c r="B585" i="2"/>
  <c r="B586" i="2"/>
  <c r="A586" i="2" s="1"/>
  <c r="B587" i="2"/>
  <c r="B588" i="2"/>
  <c r="A588" i="2" s="1"/>
  <c r="B589" i="2"/>
  <c r="A589" i="2" s="1"/>
  <c r="B590" i="2"/>
  <c r="B591" i="2"/>
  <c r="A591" i="2" s="1"/>
  <c r="B592" i="2"/>
  <c r="A592" i="2" s="1"/>
  <c r="B593" i="2"/>
  <c r="B594" i="2"/>
  <c r="A594" i="2" s="1"/>
  <c r="B595" i="2"/>
  <c r="B596" i="2"/>
  <c r="A596" i="2" s="1"/>
  <c r="B597" i="2"/>
  <c r="A597" i="2" s="1"/>
  <c r="B598" i="2"/>
  <c r="B599" i="2"/>
  <c r="A599" i="2" s="1"/>
  <c r="B600" i="2"/>
  <c r="A600" i="2" s="1"/>
  <c r="B601" i="2"/>
  <c r="B602" i="2"/>
  <c r="A602" i="2" s="1"/>
  <c r="B603" i="2"/>
  <c r="B604" i="2"/>
  <c r="A604" i="2" s="1"/>
  <c r="B605" i="2"/>
  <c r="B606" i="2"/>
  <c r="A606" i="2" s="1"/>
  <c r="B607" i="2"/>
  <c r="A607" i="2" s="1"/>
  <c r="B608" i="2"/>
  <c r="A608" i="2" s="1"/>
  <c r="B609" i="2"/>
  <c r="B610" i="2"/>
  <c r="A610" i="2" s="1"/>
  <c r="B611" i="2"/>
  <c r="B612" i="2"/>
  <c r="A612" i="2" s="1"/>
  <c r="B613" i="2"/>
  <c r="A613" i="2" s="1"/>
  <c r="B614" i="2"/>
  <c r="B615" i="2"/>
  <c r="A615" i="2" s="1"/>
  <c r="B616" i="2"/>
  <c r="A616" i="2" s="1"/>
  <c r="B617" i="2"/>
  <c r="B618" i="2"/>
  <c r="A618" i="2" s="1"/>
  <c r="B619" i="2"/>
  <c r="B620" i="2"/>
  <c r="A620" i="2" s="1"/>
  <c r="B621" i="2"/>
  <c r="A621" i="2" s="1"/>
  <c r="B622" i="2"/>
  <c r="A622" i="2" s="1"/>
  <c r="B623" i="2"/>
  <c r="A623" i="2" s="1"/>
  <c r="B624" i="2"/>
  <c r="A624" i="2" s="1"/>
  <c r="B625" i="2"/>
  <c r="A625" i="2" s="1"/>
  <c r="B626" i="2"/>
  <c r="A626" i="2" s="1"/>
  <c r="B627" i="2"/>
  <c r="A627" i="2" s="1"/>
  <c r="B628" i="2"/>
  <c r="A628" i="2" s="1"/>
  <c r="B629" i="2"/>
  <c r="A629" i="2" s="1"/>
  <c r="B630" i="2"/>
  <c r="B631" i="2"/>
  <c r="B632" i="2"/>
  <c r="A632" i="2" s="1"/>
  <c r="B633" i="2"/>
  <c r="A633" i="2" s="1"/>
  <c r="B634" i="2"/>
  <c r="A634" i="2" s="1"/>
  <c r="B635" i="2"/>
  <c r="A635" i="2" s="1"/>
  <c r="B636" i="2"/>
  <c r="A636" i="2" s="1"/>
  <c r="B637" i="2"/>
  <c r="A637" i="2" s="1"/>
  <c r="B638" i="2"/>
  <c r="B639" i="2"/>
  <c r="B640" i="2"/>
  <c r="B641" i="2"/>
  <c r="A641" i="2" s="1"/>
  <c r="B642" i="2"/>
  <c r="A642" i="2" s="1"/>
  <c r="B643" i="2"/>
  <c r="A643" i="2" s="1"/>
  <c r="B644" i="2"/>
  <c r="A644" i="2" s="1"/>
  <c r="B645" i="2"/>
  <c r="A645" i="2" s="1"/>
  <c r="B646" i="2"/>
  <c r="B647" i="2"/>
  <c r="B648" i="2"/>
  <c r="B649" i="2"/>
  <c r="A649" i="2" s="1"/>
  <c r="B650" i="2"/>
  <c r="A650" i="2" s="1"/>
  <c r="B651" i="2"/>
  <c r="A651" i="2" s="1"/>
  <c r="B652" i="2"/>
  <c r="A652" i="2" s="1"/>
  <c r="B653" i="2"/>
  <c r="A653" i="2" s="1"/>
  <c r="B654" i="2"/>
  <c r="B655" i="2"/>
  <c r="B656" i="2"/>
  <c r="B657" i="2"/>
  <c r="A657" i="2" s="1"/>
  <c r="B658" i="2"/>
  <c r="B659" i="2"/>
  <c r="A659" i="2" s="1"/>
  <c r="B660" i="2"/>
  <c r="B661" i="2"/>
  <c r="A661" i="2" s="1"/>
  <c r="B662" i="2"/>
  <c r="B663" i="2"/>
  <c r="A663" i="2" s="1"/>
  <c r="B664" i="2"/>
  <c r="B665" i="2"/>
  <c r="A665" i="2" s="1"/>
  <c r="B666" i="2"/>
  <c r="B667" i="2"/>
  <c r="A667" i="2" s="1"/>
  <c r="B668" i="2"/>
  <c r="B669" i="2"/>
  <c r="A669" i="2" s="1"/>
  <c r="B670" i="2"/>
  <c r="B671" i="2"/>
  <c r="A671" i="2" s="1"/>
  <c r="B672" i="2"/>
  <c r="B673" i="2"/>
  <c r="A673" i="2" s="1"/>
  <c r="B674" i="2"/>
  <c r="B675" i="2"/>
  <c r="A675" i="2" s="1"/>
  <c r="B676" i="2"/>
  <c r="B677" i="2"/>
  <c r="A677" i="2" s="1"/>
  <c r="B678" i="2"/>
  <c r="B679" i="2"/>
  <c r="A679" i="2" s="1"/>
  <c r="B680" i="2"/>
  <c r="B681" i="2"/>
  <c r="A681" i="2" s="1"/>
  <c r="B682" i="2"/>
  <c r="B683" i="2"/>
  <c r="A683" i="2" s="1"/>
  <c r="B684" i="2"/>
  <c r="B685" i="2"/>
  <c r="A685" i="2" s="1"/>
  <c r="B686" i="2"/>
  <c r="B687" i="2"/>
  <c r="A687" i="2" s="1"/>
  <c r="B688" i="2"/>
  <c r="B689" i="2"/>
  <c r="A689" i="2" s="1"/>
  <c r="B690" i="2"/>
  <c r="B691" i="2"/>
  <c r="A691" i="2" s="1"/>
  <c r="B692" i="2"/>
  <c r="A693" i="2"/>
  <c r="B693" i="2"/>
  <c r="B12" i="2"/>
  <c r="A12" i="2" s="1"/>
  <c r="A658" i="2" l="1"/>
  <c r="A640" i="2"/>
  <c r="A571" i="2"/>
  <c r="A682" i="2"/>
  <c r="A648" i="2"/>
  <c r="A614" i="2"/>
  <c r="A605" i="2"/>
  <c r="A595" i="2"/>
  <c r="A590" i="2"/>
  <c r="A672" i="2"/>
  <c r="A690" i="2"/>
  <c r="A676" i="2"/>
  <c r="A668" i="2"/>
  <c r="A660" i="2"/>
  <c r="A655" i="2"/>
  <c r="A631" i="2"/>
  <c r="A566" i="2"/>
  <c r="A688" i="2"/>
  <c r="A555" i="2"/>
  <c r="A664" i="2"/>
  <c r="A666" i="2"/>
  <c r="A692" i="2"/>
  <c r="A639" i="2"/>
  <c r="A686" i="2"/>
  <c r="A678" i="2"/>
  <c r="A670" i="2"/>
  <c r="A662" i="2"/>
  <c r="A656" i="2"/>
  <c r="A647" i="2"/>
  <c r="A585" i="2"/>
  <c r="A680" i="2"/>
  <c r="A674" i="2"/>
  <c r="A684" i="2"/>
  <c r="A617" i="2"/>
  <c r="A550" i="2"/>
  <c r="A537" i="2"/>
  <c r="A601" i="2"/>
  <c r="A654" i="2"/>
  <c r="A400" i="2"/>
  <c r="A432" i="2"/>
  <c r="A547" i="2"/>
  <c r="A542" i="2"/>
  <c r="A523" i="2"/>
  <c r="A646" i="2"/>
  <c r="A638" i="2"/>
  <c r="A630" i="2"/>
  <c r="A619" i="2"/>
  <c r="A609" i="2"/>
  <c r="A587" i="2"/>
  <c r="A582" i="2"/>
  <c r="A577" i="2"/>
  <c r="A513" i="2"/>
  <c r="A611" i="2"/>
  <c r="A563" i="2"/>
  <c r="A558" i="2"/>
  <c r="A603" i="2"/>
  <c r="A598" i="2"/>
  <c r="A593" i="2"/>
  <c r="A539" i="2"/>
  <c r="A534" i="2"/>
  <c r="A529" i="2"/>
  <c r="A521" i="2"/>
  <c r="A518" i="2"/>
  <c r="A579" i="2"/>
  <c r="A574" i="2"/>
  <c r="A416" i="2"/>
  <c r="A531" i="2"/>
  <c r="A526" i="2"/>
  <c r="A515" i="2"/>
  <c r="A447" i="2"/>
  <c r="A439" i="2"/>
  <c r="A427" i="2"/>
  <c r="A411" i="2"/>
  <c r="A395" i="2"/>
  <c r="A297" i="2"/>
  <c r="A441" i="2"/>
  <c r="A379" i="2"/>
  <c r="A431" i="2"/>
  <c r="A415" i="2"/>
  <c r="A399" i="2"/>
  <c r="A381" i="2"/>
  <c r="A301" i="2"/>
  <c r="A290" i="2"/>
  <c r="A303" i="2"/>
  <c r="A300" i="2"/>
  <c r="A287" i="2"/>
  <c r="A305" i="2"/>
  <c r="A286" i="2"/>
  <c r="A283" i="2"/>
  <c r="A281" i="2"/>
  <c r="A295" i="2"/>
  <c r="A285" i="2"/>
  <c r="A265" i="2"/>
  <c r="A261" i="2"/>
  <c r="A248" i="2"/>
  <c r="A276" i="2"/>
  <c r="A251" i="2"/>
  <c r="A220" i="2"/>
  <c r="A272" i="2"/>
  <c r="A255" i="2"/>
  <c r="A231" i="2"/>
  <c r="A224" i="2"/>
  <c r="A294" i="2"/>
  <c r="A277" i="2"/>
  <c r="A267" i="2"/>
  <c r="A241" i="2"/>
  <c r="A252" i="2"/>
  <c r="A260" i="2"/>
  <c r="A275" i="2"/>
  <c r="A253" i="2"/>
  <c r="A243" i="2"/>
  <c r="A238" i="2"/>
  <c r="A234" i="2"/>
  <c r="A227" i="2"/>
  <c r="A218" i="2"/>
  <c r="A240" i="2"/>
  <c r="A219" i="2"/>
  <c r="A210" i="2"/>
  <c r="A216" i="2"/>
  <c r="A172" i="2"/>
  <c r="A226" i="2"/>
  <c r="A174" i="2"/>
  <c r="A190" i="2"/>
  <c r="A183" i="2"/>
  <c r="A166" i="2"/>
  <c r="A196" i="2"/>
  <c r="A158" i="2"/>
  <c r="A208" i="2"/>
  <c r="A200" i="2"/>
  <c r="A182" i="2"/>
  <c r="A180" i="2"/>
  <c r="A104" i="2"/>
  <c r="A150" i="2"/>
  <c r="A134" i="2"/>
  <c r="A114" i="2"/>
  <c r="A107" i="2"/>
  <c r="A131" i="2"/>
  <c r="A184" i="2"/>
  <c r="A176" i="2"/>
  <c r="A138" i="2"/>
  <c r="A112" i="2"/>
  <c r="A117" i="2"/>
  <c r="A132" i="2"/>
  <c r="A124" i="2"/>
  <c r="A110" i="2"/>
  <c r="A108" i="2"/>
  <c r="A136" i="2"/>
  <c r="A130" i="2"/>
  <c r="A127" i="2"/>
  <c r="A95" i="2"/>
  <c r="A116" i="2"/>
  <c r="A72" i="2"/>
  <c r="A100" i="2"/>
  <c r="A82" i="2"/>
  <c r="A54" i="2"/>
  <c r="A94" i="2"/>
  <c r="A68" i="2"/>
  <c r="A103" i="2"/>
  <c r="A92" i="2"/>
  <c r="A83" i="2"/>
  <c r="A70" i="2"/>
  <c r="A77" i="2"/>
  <c r="A66" i="2"/>
  <c r="A51" i="2"/>
  <c r="A45" i="2"/>
  <c r="A49" i="2"/>
  <c r="A80" i="2"/>
  <c r="A75" i="2"/>
  <c r="A60" i="2"/>
  <c r="A58" i="2"/>
  <c r="A35" i="2"/>
  <c r="A78" i="2"/>
  <c r="A71" i="2"/>
  <c r="A69" i="2"/>
  <c r="A44" i="2"/>
  <c r="A52" i="2"/>
  <c r="A28" i="2"/>
  <c r="A87" i="2"/>
  <c r="A61" i="2"/>
  <c r="A59" i="2"/>
  <c r="A57" i="2"/>
  <c r="A41" i="2"/>
  <c r="A20" i="2"/>
  <c r="A73" i="2"/>
  <c r="A64" i="2"/>
  <c r="A50" i="2"/>
  <c r="A40" i="2"/>
  <c r="A37" i="2"/>
  <c r="A24" i="2"/>
  <c r="A74" i="2"/>
  <c r="A65" i="2"/>
  <c r="A56" i="2"/>
  <c r="A16" i="2"/>
  <c r="A48" i="2"/>
  <c r="A27" i="2"/>
  <c r="A76" i="2"/>
  <c r="A62" i="2"/>
  <c r="A53" i="2"/>
  <c r="A36" i="2"/>
  <c r="A23" i="2"/>
  <c r="A32" i="2"/>
  <c r="A46" i="2"/>
  <c r="A42" i="2"/>
  <c r="A38" i="2"/>
  <c r="A34" i="2"/>
  <c r="A30" i="2"/>
  <c r="A26" i="2"/>
  <c r="A22" i="2"/>
  <c r="A18" i="2"/>
  <c r="A14" i="2"/>
  <c r="AF5" i="2"/>
  <c r="C2" i="2" l="1"/>
  <c r="I21" i="5" l="1"/>
  <c r="J21" i="5" s="1"/>
  <c r="K21" i="5" s="1"/>
  <c r="D25" i="5"/>
  <c r="I38" i="5"/>
  <c r="J38" i="5" s="1"/>
  <c r="K38" i="5" s="1"/>
  <c r="I13" i="5"/>
  <c r="J13" i="5" s="1"/>
  <c r="K13" i="5" s="1"/>
  <c r="D16" i="5"/>
  <c r="D24" i="5"/>
  <c r="D29" i="5"/>
  <c r="I31" i="5"/>
  <c r="J31" i="5" s="1"/>
  <c r="K31" i="5" s="1"/>
  <c r="I32" i="5"/>
  <c r="J32" i="5" s="1"/>
  <c r="K32" i="5" s="1"/>
  <c r="D35" i="5"/>
  <c r="D41" i="5"/>
  <c r="I23" i="5"/>
  <c r="J23" i="5" s="1"/>
  <c r="K23" i="5" s="1"/>
  <c r="D27" i="5"/>
  <c r="I40" i="5"/>
  <c r="J40" i="5" s="1"/>
  <c r="K40" i="5" s="1"/>
  <c r="D43" i="5"/>
  <c r="D39" i="5"/>
  <c r="D40" i="5"/>
  <c r="D45" i="5"/>
  <c r="I16" i="5"/>
  <c r="J16" i="5" s="1"/>
  <c r="K16" i="5" s="1"/>
  <c r="D32" i="5"/>
  <c r="I37" i="5"/>
  <c r="J37" i="5" s="1"/>
  <c r="K37" i="5" s="1"/>
  <c r="D21" i="5"/>
  <c r="I24" i="5"/>
  <c r="J24" i="5" s="1"/>
  <c r="K24" i="5" s="1"/>
  <c r="I15" i="5"/>
  <c r="J15" i="5" s="1"/>
  <c r="K15" i="5" s="1"/>
  <c r="I39" i="5"/>
  <c r="J39" i="5" s="1"/>
  <c r="K39" i="5" s="1"/>
  <c r="D19" i="5"/>
  <c r="I22" i="5"/>
  <c r="J22" i="5" s="1"/>
  <c r="K22" i="5" s="1"/>
  <c r="I29" i="5"/>
  <c r="J29" i="5" s="1"/>
  <c r="K29" i="5" s="1"/>
  <c r="D33" i="5"/>
  <c r="I45" i="5"/>
  <c r="J45" i="5" s="1"/>
  <c r="K45" i="5" s="1"/>
  <c r="I14" i="5"/>
  <c r="J14" i="5" s="1"/>
  <c r="K14" i="5" s="1"/>
  <c r="D37" i="5"/>
  <c r="D17" i="5"/>
  <c r="I30" i="5"/>
  <c r="J30" i="5" s="1"/>
  <c r="K30" i="5" s="1"/>
  <c r="D38" i="5"/>
  <c r="I34" i="5"/>
  <c r="J34" i="5" s="1"/>
  <c r="K34" i="5" s="1"/>
  <c r="D44" i="5"/>
  <c r="D42" i="5"/>
  <c r="I20" i="5"/>
  <c r="J20" i="5" s="1"/>
  <c r="K20" i="5" s="1"/>
  <c r="I25" i="5"/>
  <c r="J25" i="5" s="1"/>
  <c r="K25" i="5" s="1"/>
  <c r="D30" i="5"/>
  <c r="I41" i="5"/>
  <c r="J41" i="5" s="1"/>
  <c r="K41" i="5" s="1"/>
  <c r="D34" i="5"/>
  <c r="I43" i="5"/>
  <c r="J43" i="5" s="1"/>
  <c r="K43" i="5" s="1"/>
  <c r="I27" i="5"/>
  <c r="J27" i="5" s="1"/>
  <c r="K27" i="5" s="1"/>
  <c r="I36" i="5"/>
  <c r="J36" i="5" s="1"/>
  <c r="K36" i="5" s="1"/>
  <c r="D28" i="5"/>
  <c r="I17" i="5"/>
  <c r="J17" i="5" s="1"/>
  <c r="K17" i="5" s="1"/>
  <c r="D15" i="5"/>
  <c r="I18" i="5"/>
  <c r="J18" i="5" s="1"/>
  <c r="K18" i="5" s="1"/>
  <c r="D26" i="5"/>
  <c r="I42" i="5"/>
  <c r="J42" i="5" s="1"/>
  <c r="K42" i="5" s="1"/>
  <c r="D20" i="5"/>
  <c r="D13" i="5"/>
  <c r="D18" i="5"/>
  <c r="I35" i="5"/>
  <c r="J35" i="5" s="1"/>
  <c r="K35" i="5" s="1"/>
  <c r="I28" i="5"/>
  <c r="J28" i="5" s="1"/>
  <c r="K28" i="5" s="1"/>
  <c r="D23" i="5"/>
  <c r="D36" i="5"/>
  <c r="D22" i="5"/>
  <c r="D31" i="5"/>
  <c r="I26" i="5"/>
  <c r="J26" i="5" s="1"/>
  <c r="K26" i="5" s="1"/>
  <c r="I33" i="5"/>
  <c r="J33" i="5" s="1"/>
  <c r="K33" i="5" s="1"/>
  <c r="I44" i="5"/>
  <c r="J44" i="5" s="1"/>
  <c r="K44" i="5" s="1"/>
  <c r="D14" i="5"/>
  <c r="I19" i="5"/>
  <c r="J19" i="5" s="1"/>
  <c r="K19" i="5" s="1"/>
  <c r="G16" i="2"/>
  <c r="G24" i="2"/>
  <c r="C30" i="2"/>
  <c r="C34" i="2"/>
  <c r="C38" i="2"/>
  <c r="C42" i="2"/>
  <c r="G48" i="2"/>
  <c r="G80" i="2"/>
  <c r="C86" i="2"/>
  <c r="G88" i="2"/>
  <c r="C101" i="2"/>
  <c r="G119" i="2"/>
  <c r="G123" i="2"/>
  <c r="C136" i="2"/>
  <c r="C139" i="2"/>
  <c r="C145" i="2"/>
  <c r="C148" i="2"/>
  <c r="G163" i="2"/>
  <c r="C177" i="2"/>
  <c r="C181" i="2"/>
  <c r="C191" i="2"/>
  <c r="C195" i="2"/>
  <c r="C199" i="2"/>
  <c r="G208" i="2"/>
  <c r="G213" i="2"/>
  <c r="C226" i="2"/>
  <c r="G236" i="2"/>
  <c r="C242" i="2"/>
  <c r="C244" i="2"/>
  <c r="G258" i="2"/>
  <c r="G260" i="2"/>
  <c r="C268" i="2"/>
  <c r="G279" i="2"/>
  <c r="G282" i="2"/>
  <c r="G306" i="2"/>
  <c r="C312" i="2"/>
  <c r="C316" i="2"/>
  <c r="C320" i="2"/>
  <c r="G76" i="2"/>
  <c r="C84" i="2"/>
  <c r="G86" i="2"/>
  <c r="C90" i="2"/>
  <c r="C114" i="2"/>
  <c r="C117" i="2"/>
  <c r="C129" i="2"/>
  <c r="C142" i="2"/>
  <c r="C151" i="2"/>
  <c r="G154" i="2"/>
  <c r="G165" i="2"/>
  <c r="C179" i="2"/>
  <c r="G189" i="2"/>
  <c r="G193" i="2"/>
  <c r="C197" i="2"/>
  <c r="G199" i="2"/>
  <c r="C211" i="2"/>
  <c r="C217" i="2"/>
  <c r="C229" i="2"/>
  <c r="G232" i="2"/>
  <c r="C239" i="2"/>
  <c r="G244" i="2"/>
  <c r="G268" i="2"/>
  <c r="G271" i="2"/>
  <c r="G294" i="2"/>
  <c r="C308" i="2"/>
  <c r="G312" i="2"/>
  <c r="G316" i="2"/>
  <c r="G320" i="2"/>
  <c r="G334" i="2"/>
  <c r="G338" i="2"/>
  <c r="C14" i="2"/>
  <c r="C46" i="2"/>
  <c r="G84" i="2"/>
  <c r="C96" i="2"/>
  <c r="G106" i="2"/>
  <c r="G129" i="2"/>
  <c r="G139" i="2"/>
  <c r="G145" i="2"/>
  <c r="C147" i="2"/>
  <c r="C153" i="2"/>
  <c r="C156" i="2"/>
  <c r="G170" i="2"/>
  <c r="G177" i="2"/>
  <c r="G179" i="2"/>
  <c r="G181" i="2"/>
  <c r="C185" i="2"/>
  <c r="G186" i="2"/>
  <c r="C188" i="2"/>
  <c r="G197" i="2"/>
  <c r="C203" i="2"/>
  <c r="C207" i="2"/>
  <c r="G211" i="2"/>
  <c r="C214" i="2"/>
  <c r="C219" i="2"/>
  <c r="C222" i="2"/>
  <c r="G229" i="2"/>
  <c r="G239" i="2"/>
  <c r="C246" i="2"/>
  <c r="C249" i="2"/>
  <c r="C266" i="2"/>
  <c r="G274" i="2"/>
  <c r="G280" i="2"/>
  <c r="G283" i="2"/>
  <c r="C288" i="2"/>
  <c r="G302" i="2"/>
  <c r="G308" i="2"/>
  <c r="C311" i="2"/>
  <c r="C315" i="2"/>
  <c r="C319" i="2"/>
  <c r="C322" i="2"/>
  <c r="C325" i="2"/>
  <c r="G330" i="2"/>
  <c r="C22" i="2"/>
  <c r="C26" i="2"/>
  <c r="C66" i="2"/>
  <c r="C81" i="2"/>
  <c r="G90" i="2"/>
  <c r="G96" i="2"/>
  <c r="G99" i="2"/>
  <c r="C105" i="2"/>
  <c r="C113" i="2"/>
  <c r="C137" i="2"/>
  <c r="C141" i="2"/>
  <c r="G144" i="2"/>
  <c r="C149" i="2"/>
  <c r="C159" i="2"/>
  <c r="G162" i="2"/>
  <c r="C169" i="2"/>
  <c r="C175" i="2"/>
  <c r="G188" i="2"/>
  <c r="C190" i="2"/>
  <c r="C192" i="2"/>
  <c r="G195" i="2"/>
  <c r="C201" i="2"/>
  <c r="G203" i="2"/>
  <c r="C205" i="2"/>
  <c r="G207" i="2"/>
  <c r="G214" i="2"/>
  <c r="G217" i="2"/>
  <c r="C225" i="2"/>
  <c r="C235" i="2"/>
  <c r="G242" i="2"/>
  <c r="G246" i="2"/>
  <c r="C256" i="2"/>
  <c r="G266" i="2"/>
  <c r="C270" i="2"/>
  <c r="C278" i="2"/>
  <c r="C293" i="2"/>
  <c r="C299" i="2"/>
  <c r="G305" i="2"/>
  <c r="C307" i="2"/>
  <c r="G311" i="2"/>
  <c r="G315" i="2"/>
  <c r="G319" i="2"/>
  <c r="G325" i="2"/>
  <c r="C327" i="2"/>
  <c r="G329" i="2"/>
  <c r="G333" i="2"/>
  <c r="G337" i="2"/>
  <c r="G341" i="2"/>
  <c r="C18" i="2"/>
  <c r="C50" i="2"/>
  <c r="C89" i="2"/>
  <c r="C93" i="2"/>
  <c r="C125" i="2"/>
  <c r="C128" i="2"/>
  <c r="C133" i="2"/>
  <c r="G137" i="2"/>
  <c r="G147" i="2"/>
  <c r="G153" i="2"/>
  <c r="C155" i="2"/>
  <c r="C161" i="2"/>
  <c r="C164" i="2"/>
  <c r="G185" i="2"/>
  <c r="G192" i="2"/>
  <c r="C198" i="2"/>
  <c r="G201" i="2"/>
  <c r="G205" i="2"/>
  <c r="C209" i="2"/>
  <c r="C212" i="2"/>
  <c r="G222" i="2"/>
  <c r="C230" i="2"/>
  <c r="C233" i="2"/>
  <c r="G235" i="2"/>
  <c r="C237" i="2"/>
  <c r="G256" i="2"/>
  <c r="G36" i="2"/>
  <c r="G40" i="2"/>
  <c r="G56" i="2"/>
  <c r="C62" i="2"/>
  <c r="C74" i="2"/>
  <c r="C98" i="2"/>
  <c r="C102" i="2"/>
  <c r="G115" i="2"/>
  <c r="C121" i="2"/>
  <c r="G125" i="2"/>
  <c r="G128" i="2"/>
  <c r="C135" i="2"/>
  <c r="G149" i="2"/>
  <c r="G152" i="2"/>
  <c r="C157" i="2"/>
  <c r="C167" i="2"/>
  <c r="G169" i="2"/>
  <c r="C171" i="2"/>
  <c r="C173" i="2"/>
  <c r="C180" i="2"/>
  <c r="C187" i="2"/>
  <c r="G198" i="2"/>
  <c r="G209" i="2"/>
  <c r="C215" i="2"/>
  <c r="G44" i="2"/>
  <c r="C85" i="2"/>
  <c r="C88" i="2"/>
  <c r="C97" i="2"/>
  <c r="G102" i="2"/>
  <c r="C140" i="2"/>
  <c r="G141" i="2"/>
  <c r="G155" i="2"/>
  <c r="G161" i="2"/>
  <c r="C163" i="2"/>
  <c r="G178" i="2"/>
  <c r="C184" i="2"/>
  <c r="G187" i="2"/>
  <c r="C189" i="2"/>
  <c r="G200" i="2"/>
  <c r="C204" i="2"/>
  <c r="C206" i="2"/>
  <c r="C221" i="2"/>
  <c r="G247" i="2"/>
  <c r="G250" i="2"/>
  <c r="G254" i="2"/>
  <c r="C258" i="2"/>
  <c r="G259" i="2"/>
  <c r="C264" i="2"/>
  <c r="C282" i="2"/>
  <c r="G98" i="2"/>
  <c r="C109" i="2"/>
  <c r="G111" i="2"/>
  <c r="G121" i="2"/>
  <c r="G131" i="2"/>
  <c r="G133" i="2"/>
  <c r="G140" i="2"/>
  <c r="C143" i="2"/>
  <c r="G146" i="2"/>
  <c r="G157" i="2"/>
  <c r="G160" i="2"/>
  <c r="C165" i="2"/>
  <c r="G171" i="2"/>
  <c r="G173" i="2"/>
  <c r="C193" i="2"/>
  <c r="C202" i="2"/>
  <c r="G204" i="2"/>
  <c r="G206" i="2"/>
  <c r="C213" i="2"/>
  <c r="C218" i="2"/>
  <c r="G221" i="2"/>
  <c r="C223" i="2"/>
  <c r="C236" i="2"/>
  <c r="G262" i="2"/>
  <c r="C286" i="2"/>
  <c r="C309" i="2"/>
  <c r="C313" i="2"/>
  <c r="C317" i="2"/>
  <c r="C321" i="2"/>
  <c r="G323" i="2"/>
  <c r="G335" i="2"/>
  <c r="G349" i="2"/>
  <c r="G351" i="2"/>
  <c r="C358" i="2"/>
  <c r="G360" i="2"/>
  <c r="G369" i="2"/>
  <c r="C378" i="2"/>
  <c r="C386" i="2"/>
  <c r="G388" i="2"/>
  <c r="C393" i="2"/>
  <c r="G395" i="2"/>
  <c r="G397" i="2"/>
  <c r="G405" i="2"/>
  <c r="G414" i="2"/>
  <c r="C430" i="2"/>
  <c r="G480" i="2"/>
  <c r="G482" i="2"/>
  <c r="G484" i="2"/>
  <c r="G486" i="2"/>
  <c r="C490" i="2"/>
  <c r="C492" i="2"/>
  <c r="C494" i="2"/>
  <c r="C496" i="2"/>
  <c r="G505" i="2"/>
  <c r="G507" i="2"/>
  <c r="G509" i="2"/>
  <c r="C511" i="2"/>
  <c r="G516" i="2"/>
  <c r="C524" i="2"/>
  <c r="G267" i="2"/>
  <c r="G270" i="2"/>
  <c r="G299" i="2"/>
  <c r="C304" i="2"/>
  <c r="G307" i="2"/>
  <c r="G309" i="2"/>
  <c r="G313" i="2"/>
  <c r="G317" i="2"/>
  <c r="G321" i="2"/>
  <c r="C328" i="2"/>
  <c r="C338" i="2"/>
  <c r="G345" i="2"/>
  <c r="G358" i="2"/>
  <c r="G367" i="2"/>
  <c r="G376" i="2"/>
  <c r="C391" i="2"/>
  <c r="C409" i="2"/>
  <c r="G411" i="2"/>
  <c r="G413" i="2"/>
  <c r="G422" i="2"/>
  <c r="C429" i="2"/>
  <c r="C437" i="2"/>
  <c r="G449" i="2"/>
  <c r="C451" i="2"/>
  <c r="C453" i="2"/>
  <c r="C455" i="2"/>
  <c r="C457" i="2"/>
  <c r="C459" i="2"/>
  <c r="C461" i="2"/>
  <c r="C463" i="2"/>
  <c r="C465" i="2"/>
  <c r="C467" i="2"/>
  <c r="C469" i="2"/>
  <c r="C471" i="2"/>
  <c r="G488" i="2"/>
  <c r="G490" i="2"/>
  <c r="G492" i="2"/>
  <c r="G494" i="2"/>
  <c r="C498" i="2"/>
  <c r="C500" i="2"/>
  <c r="C502" i="2"/>
  <c r="G511" i="2"/>
  <c r="C520" i="2"/>
  <c r="C522" i="2"/>
  <c r="C531" i="2"/>
  <c r="C245" i="2"/>
  <c r="C257" i="2"/>
  <c r="C274" i="2"/>
  <c r="G278" i="2"/>
  <c r="C326" i="2"/>
  <c r="C334" i="2"/>
  <c r="G343" i="2"/>
  <c r="C354" i="2"/>
  <c r="G356" i="2"/>
  <c r="G362" i="2"/>
  <c r="G365" i="2"/>
  <c r="C374" i="2"/>
  <c r="G378" i="2"/>
  <c r="C382" i="2"/>
  <c r="C385" i="2"/>
  <c r="G386" i="2"/>
  <c r="C402" i="2"/>
  <c r="G404" i="2"/>
  <c r="C407" i="2"/>
  <c r="G421" i="2"/>
  <c r="G430" i="2"/>
  <c r="C444" i="2"/>
  <c r="C448" i="2"/>
  <c r="G451" i="2"/>
  <c r="G453" i="2"/>
  <c r="G455" i="2"/>
  <c r="G457" i="2"/>
  <c r="G459" i="2"/>
  <c r="G461" i="2"/>
  <c r="G463" i="2"/>
  <c r="G465" i="2"/>
  <c r="G467" i="2"/>
  <c r="G469" i="2"/>
  <c r="G471" i="2"/>
  <c r="C473" i="2"/>
  <c r="C475" i="2"/>
  <c r="C477" i="2"/>
  <c r="C479" i="2"/>
  <c r="G496" i="2"/>
  <c r="G498" i="2"/>
  <c r="G500" i="2"/>
  <c r="C504" i="2"/>
  <c r="G513" i="2"/>
  <c r="G520" i="2"/>
  <c r="G522" i="2"/>
  <c r="C528" i="2"/>
  <c r="C533" i="2"/>
  <c r="C538" i="2"/>
  <c r="G546" i="2"/>
  <c r="C228" i="2"/>
  <c r="G263" i="2"/>
  <c r="C296" i="2"/>
  <c r="C324" i="2"/>
  <c r="G336" i="2"/>
  <c r="C350" i="2"/>
  <c r="G352" i="2"/>
  <c r="G372" i="2"/>
  <c r="G374" i="2"/>
  <c r="G382" i="2"/>
  <c r="C390" i="2"/>
  <c r="C394" i="2"/>
  <c r="G396" i="2"/>
  <c r="C418" i="2"/>
  <c r="G420" i="2"/>
  <c r="C425" i="2"/>
  <c r="G427" i="2"/>
  <c r="G429" i="2"/>
  <c r="C442" i="2"/>
  <c r="G444" i="2"/>
  <c r="C446" i="2"/>
  <c r="G473" i="2"/>
  <c r="G475" i="2"/>
  <c r="G477" i="2"/>
  <c r="G479" i="2"/>
  <c r="C481" i="2"/>
  <c r="C483" i="2"/>
  <c r="C485" i="2"/>
  <c r="C487" i="2"/>
  <c r="G502" i="2"/>
  <c r="C506" i="2"/>
  <c r="C508" i="2"/>
  <c r="C510" i="2"/>
  <c r="C517" i="2"/>
  <c r="G524" i="2"/>
  <c r="C530" i="2"/>
  <c r="C254" i="2"/>
  <c r="C289" i="2"/>
  <c r="G293" i="2"/>
  <c r="C310" i="2"/>
  <c r="C314" i="2"/>
  <c r="C318" i="2"/>
  <c r="G322" i="2"/>
  <c r="G324" i="2"/>
  <c r="G326" i="2"/>
  <c r="C346" i="2"/>
  <c r="G350" i="2"/>
  <c r="G354" i="2"/>
  <c r="G361" i="2"/>
  <c r="G368" i="2"/>
  <c r="C370" i="2"/>
  <c r="G377" i="2"/>
  <c r="C389" i="2"/>
  <c r="G394" i="2"/>
  <c r="C401" i="2"/>
  <c r="G402" i="2"/>
  <c r="C406" i="2"/>
  <c r="C410" i="2"/>
  <c r="G412" i="2"/>
  <c r="C423" i="2"/>
  <c r="C436" i="2"/>
  <c r="C440" i="2"/>
  <c r="G442" i="2"/>
  <c r="G448" i="2"/>
  <c r="C450" i="2"/>
  <c r="G481" i="2"/>
  <c r="G483" i="2"/>
  <c r="G485" i="2"/>
  <c r="G487" i="2"/>
  <c r="C489" i="2"/>
  <c r="C491" i="2"/>
  <c r="C493" i="2"/>
  <c r="C495" i="2"/>
  <c r="G504" i="2"/>
  <c r="G506" i="2"/>
  <c r="G508" i="2"/>
  <c r="C519" i="2"/>
  <c r="C532" i="2"/>
  <c r="G233" i="2"/>
  <c r="G237" i="2"/>
  <c r="C250" i="2"/>
  <c r="C269" i="2"/>
  <c r="G332" i="2"/>
  <c r="C342" i="2"/>
  <c r="G344" i="2"/>
  <c r="G348" i="2"/>
  <c r="G357" i="2"/>
  <c r="G359" i="2"/>
  <c r="C366" i="2"/>
  <c r="C398" i="2"/>
  <c r="G410" i="2"/>
  <c r="C417" i="2"/>
  <c r="G418" i="2"/>
  <c r="C434" i="2"/>
  <c r="G436" i="2"/>
  <c r="C438" i="2"/>
  <c r="G446" i="2"/>
  <c r="C452" i="2"/>
  <c r="C454" i="2"/>
  <c r="C456" i="2"/>
  <c r="C458" i="2"/>
  <c r="C460" i="2"/>
  <c r="C462" i="2"/>
  <c r="C464" i="2"/>
  <c r="C466" i="2"/>
  <c r="C468" i="2"/>
  <c r="C470" i="2"/>
  <c r="C472" i="2"/>
  <c r="G489" i="2"/>
  <c r="G491" i="2"/>
  <c r="G493" i="2"/>
  <c r="G495" i="2"/>
  <c r="C497" i="2"/>
  <c r="C499" i="2"/>
  <c r="C501" i="2"/>
  <c r="G510" i="2"/>
  <c r="C512" i="2"/>
  <c r="C516" i="2"/>
  <c r="G225" i="2"/>
  <c r="C262" i="2"/>
  <c r="C276" i="2"/>
  <c r="C285" i="2"/>
  <c r="G310" i="2"/>
  <c r="G314" i="2"/>
  <c r="G318" i="2"/>
  <c r="C330" i="2"/>
  <c r="G342" i="2"/>
  <c r="G353" i="2"/>
  <c r="G364" i="2"/>
  <c r="G366" i="2"/>
  <c r="G375" i="2"/>
  <c r="G380" i="2"/>
  <c r="G390" i="2"/>
  <c r="C397" i="2"/>
  <c r="C405" i="2"/>
  <c r="C414" i="2"/>
  <c r="C422" i="2"/>
  <c r="C426" i="2"/>
  <c r="G428" i="2"/>
  <c r="G440" i="2"/>
  <c r="G450" i="2"/>
  <c r="G452" i="2"/>
  <c r="G454" i="2"/>
  <c r="G456" i="2"/>
  <c r="G458" i="2"/>
  <c r="G460" i="2"/>
  <c r="G462" i="2"/>
  <c r="G464" i="2"/>
  <c r="G466" i="2"/>
  <c r="G468" i="2"/>
  <c r="G470" i="2"/>
  <c r="C474" i="2"/>
  <c r="C476" i="2"/>
  <c r="C478" i="2"/>
  <c r="C480" i="2"/>
  <c r="G497" i="2"/>
  <c r="G499" i="2"/>
  <c r="G501" i="2"/>
  <c r="C503" i="2"/>
  <c r="G512" i="2"/>
  <c r="C514" i="2"/>
  <c r="G517" i="2"/>
  <c r="C525" i="2"/>
  <c r="C527" i="2"/>
  <c r="C539" i="2"/>
  <c r="C547" i="2"/>
  <c r="C323" i="2"/>
  <c r="G346" i="2"/>
  <c r="C505" i="2"/>
  <c r="G532" i="2"/>
  <c r="G535" i="2"/>
  <c r="G540" i="2"/>
  <c r="G543" i="2"/>
  <c r="G545" i="2"/>
  <c r="G553" i="2"/>
  <c r="C557" i="2"/>
  <c r="C564" i="2"/>
  <c r="C568" i="2"/>
  <c r="G569" i="2"/>
  <c r="C573" i="2"/>
  <c r="C575" i="2"/>
  <c r="G578" i="2"/>
  <c r="G580" i="2"/>
  <c r="G583" i="2"/>
  <c r="G584" i="2"/>
  <c r="G588" i="2"/>
  <c r="C594" i="2"/>
  <c r="G599" i="2"/>
  <c r="G608" i="2"/>
  <c r="G612" i="2"/>
  <c r="C615" i="2"/>
  <c r="C619" i="2"/>
  <c r="G620" i="2"/>
  <c r="C624" i="2"/>
  <c r="G625" i="2"/>
  <c r="C629" i="2"/>
  <c r="C631" i="2"/>
  <c r="G635" i="2"/>
  <c r="C641" i="2"/>
  <c r="C646" i="2"/>
  <c r="C649" i="2"/>
  <c r="C655" i="2"/>
  <c r="G657" i="2"/>
  <c r="C662" i="2"/>
  <c r="G667" i="2"/>
  <c r="G676" i="2"/>
  <c r="G684" i="2"/>
  <c r="G685" i="2"/>
  <c r="G691" i="2"/>
  <c r="C665" i="2"/>
  <c r="C678" i="2"/>
  <c r="G570" i="2"/>
  <c r="C584" i="2"/>
  <c r="C586" i="2"/>
  <c r="G593" i="2"/>
  <c r="G618" i="2"/>
  <c r="G628" i="2"/>
  <c r="G327" i="2"/>
  <c r="C362" i="2"/>
  <c r="G370" i="2"/>
  <c r="G474" i="2"/>
  <c r="G519" i="2"/>
  <c r="C548" i="2"/>
  <c r="C552" i="2"/>
  <c r="G575" i="2"/>
  <c r="C587" i="2"/>
  <c r="C596" i="2"/>
  <c r="G615" i="2"/>
  <c r="C627" i="2"/>
  <c r="G637" i="2"/>
  <c r="G641" i="2"/>
  <c r="G649" i="2"/>
  <c r="C413" i="2"/>
  <c r="C484" i="2"/>
  <c r="C509" i="2"/>
  <c r="G527" i="2"/>
  <c r="G530" i="2"/>
  <c r="G538" i="2"/>
  <c r="C556" i="2"/>
  <c r="C560" i="2"/>
  <c r="C562" i="2"/>
  <c r="C572" i="2"/>
  <c r="G592" i="2"/>
  <c r="G594" i="2"/>
  <c r="C602" i="2"/>
  <c r="C604" i="2"/>
  <c r="G610" i="2"/>
  <c r="G624" i="2"/>
  <c r="G627" i="2"/>
  <c r="G636" i="2"/>
  <c r="C645" i="2"/>
  <c r="C647" i="2"/>
  <c r="C651" i="2"/>
  <c r="C653" i="2"/>
  <c r="C661" i="2"/>
  <c r="G665" i="2"/>
  <c r="G668" i="2"/>
  <c r="G669" i="2"/>
  <c r="C686" i="2"/>
  <c r="G692" i="2"/>
  <c r="G693" i="2"/>
  <c r="C12" i="2"/>
  <c r="F12" i="2" s="1"/>
  <c r="G604" i="2"/>
  <c r="G230" i="2"/>
  <c r="G340" i="2"/>
  <c r="G398" i="2"/>
  <c r="C421" i="2"/>
  <c r="C433" i="2"/>
  <c r="G478" i="2"/>
  <c r="G503" i="2"/>
  <c r="C541" i="2"/>
  <c r="C544" i="2"/>
  <c r="C546" i="2"/>
  <c r="G548" i="2"/>
  <c r="G552" i="2"/>
  <c r="G564" i="2"/>
  <c r="C567" i="2"/>
  <c r="G568" i="2"/>
  <c r="G577" i="2"/>
  <c r="C581" i="2"/>
  <c r="C589" i="2"/>
  <c r="C591" i="2"/>
  <c r="C607" i="2"/>
  <c r="C618" i="2"/>
  <c r="C621" i="2"/>
  <c r="C623" i="2"/>
  <c r="G634" i="2"/>
  <c r="C638" i="2"/>
  <c r="C643" i="2"/>
  <c r="G651" i="2"/>
  <c r="C291" i="2"/>
  <c r="G406" i="2"/>
  <c r="C445" i="2"/>
  <c r="G472" i="2"/>
  <c r="C488" i="2"/>
  <c r="C536" i="2"/>
  <c r="C551" i="2"/>
  <c r="C554" i="2"/>
  <c r="C559" i="2"/>
  <c r="G560" i="2"/>
  <c r="G562" i="2"/>
  <c r="G567" i="2"/>
  <c r="C570" i="2"/>
  <c r="G591" i="2"/>
  <c r="G596" i="2"/>
  <c r="C600" i="2"/>
  <c r="G602" i="2"/>
  <c r="G607" i="2"/>
  <c r="G623" i="2"/>
  <c r="G626" i="2"/>
  <c r="G629" i="2"/>
  <c r="G643" i="2"/>
  <c r="C648" i="2"/>
  <c r="C659" i="2"/>
  <c r="C670" i="2"/>
  <c r="C677" i="2"/>
  <c r="C681" i="2"/>
  <c r="C685" i="2"/>
  <c r="G572" i="2"/>
  <c r="C580" i="2"/>
  <c r="C588" i="2"/>
  <c r="G600" i="2"/>
  <c r="C620" i="2"/>
  <c r="C449" i="2"/>
  <c r="C482" i="2"/>
  <c r="C507" i="2"/>
  <c r="G514" i="2"/>
  <c r="G521" i="2"/>
  <c r="G528" i="2"/>
  <c r="G536" i="2"/>
  <c r="G544" i="2"/>
  <c r="G551" i="2"/>
  <c r="G554" i="2"/>
  <c r="G556" i="2"/>
  <c r="G559" i="2"/>
  <c r="G434" i="2"/>
  <c r="G476" i="2"/>
  <c r="C540" i="2"/>
  <c r="C549" i="2"/>
  <c r="C565" i="2"/>
  <c r="C576" i="2"/>
  <c r="C578" i="2"/>
  <c r="G586" i="2"/>
  <c r="C595" i="2"/>
  <c r="C603" i="2"/>
  <c r="C612" i="2"/>
  <c r="C616" i="2"/>
  <c r="C630" i="2"/>
  <c r="C633" i="2"/>
  <c r="C637" i="2"/>
  <c r="G373" i="2"/>
  <c r="C486" i="2"/>
  <c r="G529" i="2"/>
  <c r="G650" i="2"/>
  <c r="C657" i="2"/>
  <c r="C675" i="2"/>
  <c r="C687" i="2"/>
  <c r="G389" i="2"/>
  <c r="C583" i="2"/>
  <c r="C635" i="2"/>
  <c r="C669" i="2"/>
  <c r="G675" i="2"/>
  <c r="G616" i="2"/>
  <c r="G438" i="2"/>
  <c r="C599" i="2"/>
  <c r="G644" i="2"/>
  <c r="G653" i="2"/>
  <c r="G661" i="2"/>
  <c r="C673" i="2"/>
  <c r="C691" i="2"/>
  <c r="G673" i="2"/>
  <c r="G645" i="2"/>
  <c r="G681" i="2"/>
  <c r="C543" i="2"/>
  <c r="G576" i="2"/>
  <c r="C608" i="2"/>
  <c r="G426" i="2"/>
  <c r="C535" i="2"/>
  <c r="G633" i="2"/>
  <c r="G659" i="2"/>
  <c r="C667" i="2"/>
  <c r="C689" i="2"/>
  <c r="C693" i="2"/>
  <c r="C610" i="2"/>
  <c r="G677" i="2"/>
  <c r="C592" i="2"/>
  <c r="G642" i="2"/>
  <c r="G652" i="2"/>
  <c r="C683" i="2"/>
  <c r="C597" i="2"/>
  <c r="C625" i="2"/>
  <c r="G660" i="2"/>
  <c r="G683" i="2"/>
  <c r="G689" i="2"/>
  <c r="G687" i="2"/>
  <c r="C654" i="2"/>
  <c r="C569" i="2"/>
  <c r="C381" i="2"/>
  <c r="G525" i="2"/>
  <c r="C611" i="2"/>
  <c r="G621" i="2"/>
  <c r="C577" i="2"/>
  <c r="C403" i="2"/>
  <c r="C373" i="2"/>
  <c r="C357" i="2"/>
  <c r="G401" i="2"/>
  <c r="C396" i="2"/>
  <c r="G415" i="2"/>
  <c r="C404" i="2"/>
  <c r="C210" i="2"/>
  <c r="G34" i="2"/>
  <c r="C208" i="2"/>
  <c r="G184" i="2"/>
  <c r="G245" i="2"/>
  <c r="C111" i="2"/>
  <c r="G93" i="2"/>
  <c r="G175" i="2"/>
  <c r="G60" i="2"/>
  <c r="G219" i="2"/>
  <c r="C232" i="2"/>
  <c r="C656" i="2"/>
  <c r="G666" i="2"/>
  <c r="C632" i="2"/>
  <c r="C550" i="2"/>
  <c r="C598" i="2"/>
  <c r="C574" i="2"/>
  <c r="C526" i="2"/>
  <c r="C650" i="2"/>
  <c r="G393" i="2"/>
  <c r="C553" i="2"/>
  <c r="C349" i="2"/>
  <c r="C360" i="2"/>
  <c r="G441" i="2"/>
  <c r="G613" i="2"/>
  <c r="C680" i="2"/>
  <c r="C395" i="2"/>
  <c r="C364" i="2"/>
  <c r="C348" i="2"/>
  <c r="C377" i="2"/>
  <c r="C372" i="2"/>
  <c r="G407" i="2"/>
  <c r="G399" i="2"/>
  <c r="G191" i="2"/>
  <c r="G30" i="2"/>
  <c r="C196" i="2"/>
  <c r="C178" i="2"/>
  <c r="C240" i="2"/>
  <c r="G108" i="2"/>
  <c r="G89" i="2"/>
  <c r="G159" i="2"/>
  <c r="G26" i="2"/>
  <c r="C162" i="2"/>
  <c r="C170" i="2"/>
  <c r="G595" i="2"/>
  <c r="G566" i="2"/>
  <c r="C585" i="2"/>
  <c r="G686" i="2"/>
  <c r="C663" i="2"/>
  <c r="G688" i="2"/>
  <c r="G658" i="2"/>
  <c r="C617" i="2"/>
  <c r="G547" i="2"/>
  <c r="G587" i="2"/>
  <c r="G518" i="2"/>
  <c r="C545" i="2"/>
  <c r="G679" i="2"/>
  <c r="C529" i="2"/>
  <c r="C247" i="2"/>
  <c r="C333" i="2"/>
  <c r="G671" i="2"/>
  <c r="C443" i="2"/>
  <c r="C419" i="2"/>
  <c r="G630" i="2"/>
  <c r="C688" i="2"/>
  <c r="C690" i="2"/>
  <c r="G589" i="2"/>
  <c r="C674" i="2"/>
  <c r="C351" i="2"/>
  <c r="C337" i="2"/>
  <c r="C332" i="2"/>
  <c r="C361" i="2"/>
  <c r="C336" i="2"/>
  <c r="C356" i="2"/>
  <c r="C376" i="2"/>
  <c r="C154" i="2"/>
  <c r="G296" i="2"/>
  <c r="G150" i="2"/>
  <c r="C146" i="2"/>
  <c r="C200" i="2"/>
  <c r="C335" i="2"/>
  <c r="G18" i="2"/>
  <c r="G127" i="2"/>
  <c r="C343" i="2"/>
  <c r="C106" i="2"/>
  <c r="G151" i="2"/>
  <c r="C605" i="2"/>
  <c r="G590" i="2"/>
  <c r="G631" i="2"/>
  <c r="C566" i="2"/>
  <c r="C679" i="2"/>
  <c r="G672" i="2"/>
  <c r="C537" i="2"/>
  <c r="G606" i="2"/>
  <c r="C432" i="2"/>
  <c r="C652" i="2"/>
  <c r="C636" i="2"/>
  <c r="G619" i="2"/>
  <c r="G558" i="2"/>
  <c r="C613" i="2"/>
  <c r="G534" i="2"/>
  <c r="C518" i="2"/>
  <c r="G557" i="2"/>
  <c r="C664" i="2"/>
  <c r="C369" i="2"/>
  <c r="G565" i="2"/>
  <c r="G663" i="2"/>
  <c r="C672" i="2"/>
  <c r="G581" i="2"/>
  <c r="G541" i="2"/>
  <c r="C340" i="2"/>
  <c r="C306" i="2"/>
  <c r="G269" i="2"/>
  <c r="C359" i="2"/>
  <c r="C300" i="2"/>
  <c r="C513" i="2"/>
  <c r="C367" i="2"/>
  <c r="C123" i="2"/>
  <c r="C279" i="2"/>
  <c r="G143" i="2"/>
  <c r="C130" i="2"/>
  <c r="C183" i="2"/>
  <c r="G295" i="2"/>
  <c r="C263" i="2"/>
  <c r="G113" i="2"/>
  <c r="C341" i="2"/>
  <c r="C99" i="2"/>
  <c r="G142" i="2"/>
  <c r="C668" i="2"/>
  <c r="G555" i="2"/>
  <c r="G680" i="2"/>
  <c r="G678" i="2"/>
  <c r="G537" i="2"/>
  <c r="C606" i="2"/>
  <c r="G654" i="2"/>
  <c r="C400" i="2"/>
  <c r="G432" i="2"/>
  <c r="C542" i="2"/>
  <c r="C582" i="2"/>
  <c r="G611" i="2"/>
  <c r="G573" i="2"/>
  <c r="G646" i="2"/>
  <c r="C563" i="2"/>
  <c r="C666" i="2"/>
  <c r="G648" i="2"/>
  <c r="G656" i="2"/>
  <c r="C579" i="2"/>
  <c r="C447" i="2"/>
  <c r="C428" i="2"/>
  <c r="C521" i="2"/>
  <c r="G431" i="2"/>
  <c r="C329" i="2"/>
  <c r="C435" i="2"/>
  <c r="C439" i="2"/>
  <c r="C365" i="2"/>
  <c r="G101" i="2"/>
  <c r="C271" i="2"/>
  <c r="C131" i="2"/>
  <c r="C119" i="2"/>
  <c r="G167" i="2"/>
  <c r="G220" i="2"/>
  <c r="C259" i="2"/>
  <c r="C110" i="2"/>
  <c r="C302" i="2"/>
  <c r="G46" i="2"/>
  <c r="G95" i="2"/>
  <c r="C590" i="2"/>
  <c r="C555" i="2"/>
  <c r="G690" i="2"/>
  <c r="C601" i="2"/>
  <c r="C571" i="2"/>
  <c r="G655" i="2"/>
  <c r="G640" i="2"/>
  <c r="G549" i="2"/>
  <c r="C639" i="2"/>
  <c r="G632" i="2"/>
  <c r="G638" i="2"/>
  <c r="G533" i="2"/>
  <c r="G445" i="2"/>
  <c r="C380" i="2"/>
  <c r="G417" i="2"/>
  <c r="G423" i="2"/>
  <c r="C301" i="2"/>
  <c r="C427" i="2"/>
  <c r="G437" i="2"/>
  <c r="C345" i="2"/>
  <c r="G42" i="2"/>
  <c r="G257" i="2"/>
  <c r="G109" i="2"/>
  <c r="G97" i="2"/>
  <c r="C152" i="2"/>
  <c r="C122" i="2"/>
  <c r="C253" i="2"/>
  <c r="G105" i="2"/>
  <c r="C252" i="2"/>
  <c r="G14" i="2"/>
  <c r="G614" i="2"/>
  <c r="C660" i="2"/>
  <c r="G664" i="2"/>
  <c r="C671" i="2"/>
  <c r="G682" i="2"/>
  <c r="G550" i="2"/>
  <c r="C640" i="2"/>
  <c r="G601" i="2"/>
  <c r="C561" i="2"/>
  <c r="C523" i="2"/>
  <c r="G598" i="2"/>
  <c r="C642" i="2"/>
  <c r="C658" i="2"/>
  <c r="C412" i="2"/>
  <c r="G304" i="2"/>
  <c r="G85" i="2"/>
  <c r="G81" i="2"/>
  <c r="G571" i="2"/>
  <c r="G639" i="2"/>
  <c r="G515" i="2"/>
  <c r="G403" i="2"/>
  <c r="G408" i="2"/>
  <c r="G383" i="2"/>
  <c r="G439" i="2"/>
  <c r="G355" i="2"/>
  <c r="G303" i="2"/>
  <c r="G291" i="2"/>
  <c r="G281" i="2"/>
  <c r="C295" i="2"/>
  <c r="C280" i="2"/>
  <c r="C273" i="2"/>
  <c r="G223" i="2"/>
  <c r="G597" i="2"/>
  <c r="C682" i="2"/>
  <c r="C368" i="2"/>
  <c r="C186" i="2"/>
  <c r="G228" i="2"/>
  <c r="G22" i="2"/>
  <c r="G647" i="2"/>
  <c r="C684" i="2"/>
  <c r="G523" i="2"/>
  <c r="C628" i="2"/>
  <c r="G443" i="2"/>
  <c r="C431" i="2"/>
  <c r="C383" i="2"/>
  <c r="G379" i="2"/>
  <c r="G347" i="2"/>
  <c r="C303" i="2"/>
  <c r="C287" i="2"/>
  <c r="C281" i="2"/>
  <c r="G292" i="2"/>
  <c r="G261" i="2"/>
  <c r="C272" i="2"/>
  <c r="G224" i="2"/>
  <c r="C275" i="2"/>
  <c r="C248" i="2"/>
  <c r="G234" i="2"/>
  <c r="C411" i="2"/>
  <c r="G433" i="2"/>
  <c r="G425" i="2"/>
  <c r="G38" i="2"/>
  <c r="G135" i="2"/>
  <c r="G249" i="2"/>
  <c r="C676" i="2"/>
  <c r="G561" i="2"/>
  <c r="G603" i="2"/>
  <c r="G539" i="2"/>
  <c r="C379" i="2"/>
  <c r="C371" i="2"/>
  <c r="G339" i="2"/>
  <c r="G287" i="2"/>
  <c r="C305" i="2"/>
  <c r="C292" i="2"/>
  <c r="G272" i="2"/>
  <c r="G275" i="2"/>
  <c r="C234" i="2"/>
  <c r="G218" i="2"/>
  <c r="C593" i="2"/>
  <c r="C388" i="2"/>
  <c r="C352" i="2"/>
  <c r="C298" i="2"/>
  <c r="G32" i="2"/>
  <c r="G132" i="2"/>
  <c r="C614" i="2"/>
  <c r="G674" i="2"/>
  <c r="G579" i="2"/>
  <c r="C416" i="2"/>
  <c r="G531" i="2"/>
  <c r="C441" i="2"/>
  <c r="G419" i="2"/>
  <c r="C424" i="2"/>
  <c r="C392" i="2"/>
  <c r="C399" i="2"/>
  <c r="C363" i="2"/>
  <c r="G301" i="2"/>
  <c r="G331" i="2"/>
  <c r="G284" i="2"/>
  <c r="G285" i="2"/>
  <c r="C261" i="2"/>
  <c r="G276" i="2"/>
  <c r="C220" i="2"/>
  <c r="C255" i="2"/>
  <c r="C260" i="2"/>
  <c r="G227" i="2"/>
  <c r="G215" i="2"/>
  <c r="C626" i="2"/>
  <c r="C375" i="2"/>
  <c r="C420" i="2"/>
  <c r="G216" i="2"/>
  <c r="C115" i="2"/>
  <c r="C294" i="2"/>
  <c r="G605" i="2"/>
  <c r="G670" i="2"/>
  <c r="G400" i="2"/>
  <c r="G563" i="2"/>
  <c r="C534" i="2"/>
  <c r="G574" i="2"/>
  <c r="G416" i="2"/>
  <c r="G526" i="2"/>
  <c r="G424" i="2"/>
  <c r="G392" i="2"/>
  <c r="C355" i="2"/>
  <c r="G328" i="2"/>
  <c r="C284" i="2"/>
  <c r="C251" i="2"/>
  <c r="G289" i="2"/>
  <c r="G255" i="2"/>
  <c r="G231" i="2"/>
  <c r="G241" i="2"/>
  <c r="G252" i="2"/>
  <c r="C243" i="2"/>
  <c r="C634" i="2"/>
  <c r="C387" i="2"/>
  <c r="G409" i="2"/>
  <c r="C91" i="2"/>
  <c r="G190" i="2"/>
  <c r="G662" i="2"/>
  <c r="G617" i="2"/>
  <c r="G542" i="2"/>
  <c r="G582" i="2"/>
  <c r="C558" i="2"/>
  <c r="C622" i="2"/>
  <c r="G435" i="2"/>
  <c r="C415" i="2"/>
  <c r="C339" i="2"/>
  <c r="G371" i="2"/>
  <c r="G300" i="2"/>
  <c r="C283" i="2"/>
  <c r="G277" i="2"/>
  <c r="C231" i="2"/>
  <c r="G298" i="2"/>
  <c r="C241" i="2"/>
  <c r="C238" i="2"/>
  <c r="C265" i="2"/>
  <c r="C609" i="2"/>
  <c r="C344" i="2"/>
  <c r="C384" i="2"/>
  <c r="G168" i="2"/>
  <c r="C297" i="2"/>
  <c r="C408" i="2"/>
  <c r="C267" i="2"/>
  <c r="G238" i="2"/>
  <c r="G172" i="2"/>
  <c r="G183" i="2"/>
  <c r="C182" i="2"/>
  <c r="G180" i="2"/>
  <c r="G107" i="2"/>
  <c r="C120" i="2"/>
  <c r="C112" i="2"/>
  <c r="C132" i="2"/>
  <c r="C100" i="2"/>
  <c r="G70" i="2"/>
  <c r="G66" i="2"/>
  <c r="G45" i="2"/>
  <c r="G87" i="2"/>
  <c r="C58" i="2"/>
  <c r="G78" i="2"/>
  <c r="G69" i="2"/>
  <c r="G59" i="2"/>
  <c r="C73" i="2"/>
  <c r="G43" i="2"/>
  <c r="C56" i="2"/>
  <c r="C16" i="2"/>
  <c r="G62" i="2"/>
  <c r="G15" i="2"/>
  <c r="C25" i="2"/>
  <c r="C87" i="2"/>
  <c r="C277" i="2"/>
  <c r="C194" i="2"/>
  <c r="C77" i="2"/>
  <c r="C61" i="2"/>
  <c r="C39" i="2"/>
  <c r="C144" i="2"/>
  <c r="C353" i="2"/>
  <c r="C290" i="2"/>
  <c r="C172" i="2"/>
  <c r="G164" i="2"/>
  <c r="C138" i="2"/>
  <c r="G112" i="2"/>
  <c r="C116" i="2"/>
  <c r="C72" i="2"/>
  <c r="G100" i="2"/>
  <c r="G68" i="2"/>
  <c r="C92" i="2"/>
  <c r="C80" i="2"/>
  <c r="G35" i="2"/>
  <c r="C44" i="2"/>
  <c r="G52" i="2"/>
  <c r="G28" i="2"/>
  <c r="C59" i="2"/>
  <c r="C41" i="2"/>
  <c r="G73" i="2"/>
  <c r="C43" i="2"/>
  <c r="C24" i="2"/>
  <c r="G23" i="2"/>
  <c r="C15" i="2"/>
  <c r="C17" i="2"/>
  <c r="G447" i="2"/>
  <c r="G212" i="2"/>
  <c r="C49" i="2"/>
  <c r="C65" i="2"/>
  <c r="C13" i="2"/>
  <c r="G385" i="2"/>
  <c r="G585" i="2"/>
  <c r="G297" i="2"/>
  <c r="G381" i="2"/>
  <c r="G264" i="2"/>
  <c r="C227" i="2"/>
  <c r="G166" i="2"/>
  <c r="G134" i="2"/>
  <c r="G138" i="2"/>
  <c r="G122" i="2"/>
  <c r="C124" i="2"/>
  <c r="G116" i="2"/>
  <c r="C118" i="2"/>
  <c r="G92" i="2"/>
  <c r="C70" i="2"/>
  <c r="C35" i="2"/>
  <c r="C78" i="2"/>
  <c r="G41" i="2"/>
  <c r="C64" i="2"/>
  <c r="C40" i="2"/>
  <c r="G47" i="2"/>
  <c r="G27" i="2"/>
  <c r="C23" i="2"/>
  <c r="G19" i="2"/>
  <c r="G33" i="2"/>
  <c r="C21" i="2"/>
  <c r="C644" i="2"/>
  <c r="G243" i="2"/>
  <c r="C127" i="2"/>
  <c r="G20" i="2"/>
  <c r="C48" i="2"/>
  <c r="C29" i="2"/>
  <c r="C692" i="2"/>
  <c r="G391" i="2"/>
  <c r="G290" i="2"/>
  <c r="G251" i="2"/>
  <c r="C224" i="2"/>
  <c r="G253" i="2"/>
  <c r="C166" i="2"/>
  <c r="G158" i="2"/>
  <c r="C134" i="2"/>
  <c r="C104" i="2"/>
  <c r="G124" i="2"/>
  <c r="C95" i="2"/>
  <c r="G72" i="2"/>
  <c r="C82" i="2"/>
  <c r="G118" i="2"/>
  <c r="G51" i="2"/>
  <c r="G75" i="2"/>
  <c r="G71" i="2"/>
  <c r="G79" i="2"/>
  <c r="G74" i="2"/>
  <c r="C47" i="2"/>
  <c r="C27" i="2"/>
  <c r="C76" i="2"/>
  <c r="C53" i="2"/>
  <c r="C19" i="2"/>
  <c r="G29" i="2"/>
  <c r="G384" i="2"/>
  <c r="C176" i="2"/>
  <c r="G58" i="2"/>
  <c r="C67" i="2"/>
  <c r="G609" i="2"/>
  <c r="C160" i="2"/>
  <c r="C515" i="2"/>
  <c r="G387" i="2"/>
  <c r="C347" i="2"/>
  <c r="G240" i="2"/>
  <c r="G210" i="2"/>
  <c r="C216" i="2"/>
  <c r="G202" i="2"/>
  <c r="C158" i="2"/>
  <c r="G104" i="2"/>
  <c r="G120" i="2"/>
  <c r="G156" i="2"/>
  <c r="G130" i="2"/>
  <c r="G117" i="2"/>
  <c r="G136" i="2"/>
  <c r="G82" i="2"/>
  <c r="C94" i="2"/>
  <c r="C51" i="2"/>
  <c r="C75" i="2"/>
  <c r="C60" i="2"/>
  <c r="C71" i="2"/>
  <c r="G63" i="2"/>
  <c r="C79" i="2"/>
  <c r="C57" i="2"/>
  <c r="C20" i="2"/>
  <c r="G55" i="2"/>
  <c r="G31" i="2"/>
  <c r="G53" i="2"/>
  <c r="G25" i="2"/>
  <c r="C33" i="2"/>
  <c r="G622" i="2"/>
  <c r="G174" i="2"/>
  <c r="G103" i="2"/>
  <c r="G50" i="2"/>
  <c r="C32" i="2"/>
  <c r="G176" i="2"/>
  <c r="C331" i="2"/>
  <c r="G248" i="2"/>
  <c r="G288" i="2"/>
  <c r="G226" i="2"/>
  <c r="G114" i="2"/>
  <c r="G110" i="2"/>
  <c r="C150" i="2"/>
  <c r="G54" i="2"/>
  <c r="G94" i="2"/>
  <c r="C103" i="2"/>
  <c r="C83" i="2"/>
  <c r="C63" i="2"/>
  <c r="G57" i="2"/>
  <c r="C55" i="2"/>
  <c r="C37" i="2"/>
  <c r="C31" i="2"/>
  <c r="G67" i="2"/>
  <c r="G39" i="2"/>
  <c r="G21" i="2"/>
  <c r="G273" i="2"/>
  <c r="C126" i="2"/>
  <c r="G91" i="2"/>
  <c r="G37" i="2"/>
  <c r="G17" i="2"/>
  <c r="G182" i="2"/>
  <c r="C108" i="2"/>
  <c r="C52" i="2"/>
  <c r="G286" i="2"/>
  <c r="G148" i="2"/>
  <c r="C28" i="2"/>
  <c r="C168" i="2"/>
  <c r="C45" i="2"/>
  <c r="G49" i="2"/>
  <c r="C36" i="2"/>
  <c r="G363" i="2"/>
  <c r="G126" i="2"/>
  <c r="G83" i="2"/>
  <c r="G13" i="2"/>
  <c r="G61" i="2"/>
  <c r="G194" i="2"/>
  <c r="C54" i="2"/>
  <c r="G64" i="2"/>
  <c r="C174" i="2"/>
  <c r="G65" i="2"/>
  <c r="C69" i="2"/>
  <c r="G265" i="2"/>
  <c r="G196" i="2"/>
  <c r="C107" i="2"/>
  <c r="C68" i="2"/>
  <c r="G77" i="2"/>
  <c r="G12" i="2"/>
  <c r="J12" i="2" s="1"/>
  <c r="C12" i="5"/>
  <c r="E12" i="5" l="1"/>
  <c r="D12" i="5"/>
  <c r="I12" i="5"/>
  <c r="J12" i="5" s="1"/>
  <c r="K12" i="5" s="1"/>
  <c r="F18" i="5"/>
  <c r="G18" i="5"/>
  <c r="H18" i="5"/>
  <c r="F43" i="5"/>
  <c r="H43" i="5"/>
  <c r="G43" i="5"/>
  <c r="F44" i="5"/>
  <c r="G44" i="5"/>
  <c r="H44" i="5"/>
  <c r="H28" i="5"/>
  <c r="F28" i="5"/>
  <c r="G28" i="5"/>
  <c r="H42" i="5"/>
  <c r="G42" i="5"/>
  <c r="F42" i="5"/>
  <c r="F21" i="5"/>
  <c r="H21" i="5"/>
  <c r="G21" i="5"/>
  <c r="F29" i="5"/>
  <c r="H29" i="5"/>
  <c r="G29" i="5"/>
  <c r="G24" i="5"/>
  <c r="F24" i="5"/>
  <c r="H24" i="5"/>
  <c r="F22" i="5"/>
  <c r="G22" i="5"/>
  <c r="H22" i="5"/>
  <c r="H32" i="5"/>
  <c r="F32" i="5"/>
  <c r="G32" i="5"/>
  <c r="F27" i="5"/>
  <c r="H27" i="5"/>
  <c r="G27" i="5"/>
  <c r="H16" i="5"/>
  <c r="G16" i="5"/>
  <c r="F16" i="5"/>
  <c r="G36" i="5"/>
  <c r="H36" i="5"/>
  <c r="F36" i="5"/>
  <c r="G26" i="5"/>
  <c r="H26" i="5"/>
  <c r="F26" i="5"/>
  <c r="F34" i="5"/>
  <c r="G34" i="5"/>
  <c r="H34" i="5"/>
  <c r="H38" i="5"/>
  <c r="G38" i="5"/>
  <c r="F38" i="5"/>
  <c r="F23" i="5"/>
  <c r="H23" i="5"/>
  <c r="G23" i="5"/>
  <c r="F19" i="5"/>
  <c r="G19" i="5"/>
  <c r="H19" i="5"/>
  <c r="F45" i="5"/>
  <c r="G45" i="5"/>
  <c r="H45" i="5"/>
  <c r="G41" i="5"/>
  <c r="F41" i="5"/>
  <c r="H41" i="5"/>
  <c r="G14" i="5"/>
  <c r="F14" i="5"/>
  <c r="H14" i="5"/>
  <c r="F15" i="5"/>
  <c r="G15" i="5"/>
  <c r="H15" i="5"/>
  <c r="H30" i="5"/>
  <c r="G30" i="5"/>
  <c r="F30" i="5"/>
  <c r="G17" i="5"/>
  <c r="F17" i="5"/>
  <c r="H17" i="5"/>
  <c r="F40" i="5"/>
  <c r="G40" i="5"/>
  <c r="H40" i="5"/>
  <c r="F35" i="5"/>
  <c r="H35" i="5"/>
  <c r="G35" i="5"/>
  <c r="G25" i="5"/>
  <c r="F25" i="5"/>
  <c r="H25" i="5"/>
  <c r="F13" i="5"/>
  <c r="G13" i="5"/>
  <c r="H13" i="5"/>
  <c r="F31" i="5"/>
  <c r="H31" i="5"/>
  <c r="G31" i="5"/>
  <c r="F20" i="5"/>
  <c r="G20" i="5"/>
  <c r="H20" i="5"/>
  <c r="G33" i="5"/>
  <c r="F33" i="5"/>
  <c r="H33" i="5"/>
  <c r="H37" i="5"/>
  <c r="G37" i="5"/>
  <c r="F37" i="5"/>
  <c r="G39" i="5"/>
  <c r="H39" i="5"/>
  <c r="F39" i="5"/>
  <c r="D331" i="2"/>
  <c r="F331" i="2"/>
  <c r="J74" i="2"/>
  <c r="H74" i="2"/>
  <c r="I74" i="2" s="1"/>
  <c r="H381" i="2"/>
  <c r="J381" i="2"/>
  <c r="H69" i="2"/>
  <c r="J69" i="2"/>
  <c r="J285" i="2"/>
  <c r="H285" i="2"/>
  <c r="I285" i="2" s="1"/>
  <c r="F687" i="2"/>
  <c r="D687" i="2"/>
  <c r="J562" i="2"/>
  <c r="H562" i="2"/>
  <c r="I562" i="2" s="1"/>
  <c r="F602" i="2"/>
  <c r="D602" i="2"/>
  <c r="F575" i="2"/>
  <c r="D575" i="2"/>
  <c r="J318" i="2"/>
  <c r="H318" i="2"/>
  <c r="I318" i="2" s="1"/>
  <c r="F436" i="2"/>
  <c r="D436" i="2"/>
  <c r="D528" i="2"/>
  <c r="F528" i="2"/>
  <c r="D520" i="2"/>
  <c r="F520" i="2"/>
  <c r="J480" i="2"/>
  <c r="H480" i="2"/>
  <c r="I480" i="2" s="1"/>
  <c r="J133" i="2"/>
  <c r="H133" i="2"/>
  <c r="I133" i="2" s="1"/>
  <c r="D145" i="2"/>
  <c r="F145" i="2"/>
  <c r="J80" i="2"/>
  <c r="H80" i="2"/>
  <c r="H67" i="2"/>
  <c r="I67" i="2" s="1"/>
  <c r="J67" i="2"/>
  <c r="D176" i="2"/>
  <c r="F176" i="2"/>
  <c r="F59" i="2"/>
  <c r="D59" i="2"/>
  <c r="D265" i="2"/>
  <c r="F265" i="2"/>
  <c r="D355" i="2"/>
  <c r="F355" i="2"/>
  <c r="J603" i="2"/>
  <c r="H603" i="2"/>
  <c r="D660" i="2"/>
  <c r="F660" i="2"/>
  <c r="H95" i="2"/>
  <c r="I95" i="2" s="1"/>
  <c r="J95" i="2"/>
  <c r="F123" i="2"/>
  <c r="D123" i="2"/>
  <c r="H150" i="2"/>
  <c r="J150" i="2"/>
  <c r="D377" i="2"/>
  <c r="F377" i="2"/>
  <c r="H525" i="2"/>
  <c r="J525" i="2"/>
  <c r="H373" i="2"/>
  <c r="J373" i="2"/>
  <c r="F570" i="2"/>
  <c r="D570" i="2"/>
  <c r="D541" i="2"/>
  <c r="F541" i="2"/>
  <c r="H593" i="2"/>
  <c r="J593" i="2"/>
  <c r="D323" i="2"/>
  <c r="F323" i="2"/>
  <c r="J225" i="2"/>
  <c r="H225" i="2"/>
  <c r="H293" i="2"/>
  <c r="J293" i="2"/>
  <c r="H37" i="2"/>
  <c r="I37" i="2" s="1"/>
  <c r="J37" i="2"/>
  <c r="H31" i="2"/>
  <c r="I31" i="2" s="1"/>
  <c r="J31" i="2"/>
  <c r="H71" i="2"/>
  <c r="J71" i="2"/>
  <c r="H122" i="2"/>
  <c r="J122" i="2"/>
  <c r="F15" i="2"/>
  <c r="D15" i="2"/>
  <c r="D58" i="2"/>
  <c r="F58" i="2"/>
  <c r="H190" i="2"/>
  <c r="I190" i="2" s="1"/>
  <c r="J190" i="2"/>
  <c r="H331" i="2"/>
  <c r="J331" i="2"/>
  <c r="F248" i="2"/>
  <c r="D248" i="2"/>
  <c r="J85" i="2"/>
  <c r="H85" i="2"/>
  <c r="F380" i="2"/>
  <c r="D380" i="2"/>
  <c r="J611" i="2"/>
  <c r="H611" i="2"/>
  <c r="I611" i="2" s="1"/>
  <c r="D672" i="2"/>
  <c r="F672" i="2"/>
  <c r="D674" i="2"/>
  <c r="F674" i="2"/>
  <c r="D196" i="2"/>
  <c r="F196" i="2"/>
  <c r="D357" i="2"/>
  <c r="F357" i="2"/>
  <c r="F667" i="2"/>
  <c r="D667" i="2"/>
  <c r="D576" i="2"/>
  <c r="F576" i="2"/>
  <c r="H623" i="2"/>
  <c r="I623" i="2" s="1"/>
  <c r="J623" i="2"/>
  <c r="J478" i="2"/>
  <c r="H478" i="2"/>
  <c r="D584" i="2"/>
  <c r="F584" i="2"/>
  <c r="D539" i="2"/>
  <c r="F539" i="2"/>
  <c r="J450" i="2"/>
  <c r="H450" i="2"/>
  <c r="I450" i="2" s="1"/>
  <c r="F458" i="2"/>
  <c r="D458" i="2"/>
  <c r="D389" i="2"/>
  <c r="F389" i="2"/>
  <c r="J336" i="2"/>
  <c r="H336" i="2"/>
  <c r="I336" i="2" s="1"/>
  <c r="F382" i="2"/>
  <c r="D382" i="2"/>
  <c r="D338" i="2"/>
  <c r="F338" i="2"/>
  <c r="F223" i="2"/>
  <c r="D223" i="2"/>
  <c r="J173" i="2"/>
  <c r="H173" i="2"/>
  <c r="H259" i="2"/>
  <c r="J259" i="2"/>
  <c r="J200" i="2"/>
  <c r="H200" i="2"/>
  <c r="J141" i="2"/>
  <c r="H141" i="2"/>
  <c r="J201" i="2"/>
  <c r="H201" i="2"/>
  <c r="H147" i="2"/>
  <c r="J147" i="2"/>
  <c r="D18" i="2"/>
  <c r="F18" i="2"/>
  <c r="H315" i="2"/>
  <c r="I315" i="2" s="1"/>
  <c r="J315" i="2"/>
  <c r="J266" i="2"/>
  <c r="H266" i="2"/>
  <c r="I266" i="2" s="1"/>
  <c r="H207" i="2"/>
  <c r="J207" i="2"/>
  <c r="F175" i="2"/>
  <c r="D175" i="2"/>
  <c r="F113" i="2"/>
  <c r="D113" i="2"/>
  <c r="D22" i="2"/>
  <c r="F22" i="2"/>
  <c r="H302" i="2"/>
  <c r="I302" i="2" s="1"/>
  <c r="J302" i="2"/>
  <c r="H239" i="2"/>
  <c r="J239" i="2"/>
  <c r="J197" i="2"/>
  <c r="H197" i="2"/>
  <c r="I197" i="2" s="1"/>
  <c r="D156" i="2"/>
  <c r="F156" i="2"/>
  <c r="H84" i="2"/>
  <c r="J84" i="2"/>
  <c r="F308" i="2"/>
  <c r="D308" i="2"/>
  <c r="D217" i="2"/>
  <c r="F217" i="2"/>
  <c r="H154" i="2"/>
  <c r="J154" i="2"/>
  <c r="F84" i="2"/>
  <c r="D84" i="2"/>
  <c r="F268" i="2"/>
  <c r="D268" i="2"/>
  <c r="H208" i="2"/>
  <c r="I208" i="2" s="1"/>
  <c r="J208" i="2"/>
  <c r="H265" i="2"/>
  <c r="J265" i="2"/>
  <c r="J13" i="2"/>
  <c r="H13" i="2"/>
  <c r="D28" i="2"/>
  <c r="F28" i="2"/>
  <c r="J91" i="2"/>
  <c r="H91" i="2"/>
  <c r="D55" i="2"/>
  <c r="F55" i="2"/>
  <c r="J110" i="2"/>
  <c r="H110" i="2"/>
  <c r="H50" i="2"/>
  <c r="J50" i="2"/>
  <c r="H55" i="2"/>
  <c r="J55" i="2"/>
  <c r="D51" i="2"/>
  <c r="F51" i="2"/>
  <c r="J104" i="2"/>
  <c r="H104" i="2"/>
  <c r="I104" i="2" s="1"/>
  <c r="D515" i="2"/>
  <c r="F515" i="2"/>
  <c r="F19" i="2"/>
  <c r="D19" i="2"/>
  <c r="H75" i="2"/>
  <c r="J75" i="2"/>
  <c r="D134" i="2"/>
  <c r="F134" i="2"/>
  <c r="D692" i="2"/>
  <c r="E692" i="2" s="1"/>
  <c r="F692" i="2"/>
  <c r="J33" i="2"/>
  <c r="H33" i="2"/>
  <c r="D78" i="2"/>
  <c r="F78" i="2"/>
  <c r="J138" i="2"/>
  <c r="H138" i="2"/>
  <c r="H385" i="2"/>
  <c r="J385" i="2"/>
  <c r="H23" i="2"/>
  <c r="I23" i="2" s="1"/>
  <c r="J23" i="2"/>
  <c r="F44" i="2"/>
  <c r="D44" i="2"/>
  <c r="H112" i="2"/>
  <c r="J112" i="2"/>
  <c r="D61" i="2"/>
  <c r="F61" i="2"/>
  <c r="D16" i="2"/>
  <c r="F16" i="2"/>
  <c r="H87" i="2"/>
  <c r="J87" i="2"/>
  <c r="H107" i="2"/>
  <c r="I107" i="2" s="1"/>
  <c r="J107" i="2"/>
  <c r="F297" i="2"/>
  <c r="D297" i="2"/>
  <c r="H298" i="2"/>
  <c r="I298" i="2" s="1"/>
  <c r="J298" i="2"/>
  <c r="H435" i="2"/>
  <c r="I435" i="2" s="1"/>
  <c r="J435" i="2"/>
  <c r="F91" i="2"/>
  <c r="D91" i="2"/>
  <c r="H255" i="2"/>
  <c r="J255" i="2"/>
  <c r="J526" i="2"/>
  <c r="H526" i="2"/>
  <c r="I526" i="2" s="1"/>
  <c r="F294" i="2"/>
  <c r="D294" i="2"/>
  <c r="F260" i="2"/>
  <c r="D260" i="2"/>
  <c r="J301" i="2"/>
  <c r="H301" i="2"/>
  <c r="D416" i="2"/>
  <c r="F416" i="2"/>
  <c r="F388" i="2"/>
  <c r="D388" i="2"/>
  <c r="J287" i="2"/>
  <c r="H287" i="2"/>
  <c r="I287" i="2" s="1"/>
  <c r="H249" i="2"/>
  <c r="I249" i="2" s="1"/>
  <c r="J249" i="2"/>
  <c r="D275" i="2"/>
  <c r="F275" i="2"/>
  <c r="H347" i="2"/>
  <c r="I347" i="2" s="1"/>
  <c r="J347" i="2"/>
  <c r="H647" i="2"/>
  <c r="I647" i="2" s="1"/>
  <c r="J647" i="2"/>
  <c r="D273" i="2"/>
  <c r="F273" i="2"/>
  <c r="H383" i="2"/>
  <c r="I383" i="2" s="1"/>
  <c r="J383" i="2"/>
  <c r="J304" i="2"/>
  <c r="H304" i="2"/>
  <c r="I304" i="2" s="1"/>
  <c r="D640" i="2"/>
  <c r="F640" i="2"/>
  <c r="D252" i="2"/>
  <c r="F252" i="2"/>
  <c r="J42" i="2"/>
  <c r="H42" i="2"/>
  <c r="H445" i="2"/>
  <c r="I445" i="2" s="1"/>
  <c r="J445" i="2"/>
  <c r="D571" i="2"/>
  <c r="F571" i="2"/>
  <c r="D110" i="2"/>
  <c r="F110" i="2"/>
  <c r="D365" i="2"/>
  <c r="F365" i="2"/>
  <c r="D579" i="2"/>
  <c r="F579" i="2"/>
  <c r="F582" i="2"/>
  <c r="D582" i="2"/>
  <c r="H680" i="2"/>
  <c r="I680" i="2" s="1"/>
  <c r="J680" i="2"/>
  <c r="J295" i="2"/>
  <c r="H295" i="2"/>
  <c r="I295" i="2" s="1"/>
  <c r="D300" i="2"/>
  <c r="F300" i="2"/>
  <c r="H663" i="2"/>
  <c r="I663" i="2" s="1"/>
  <c r="J663" i="2"/>
  <c r="J558" i="2"/>
  <c r="H558" i="2"/>
  <c r="I558" i="2" s="1"/>
  <c r="F679" i="2"/>
  <c r="D679" i="2"/>
  <c r="H127" i="2"/>
  <c r="J127" i="2"/>
  <c r="F376" i="2"/>
  <c r="D376" i="2"/>
  <c r="H589" i="2"/>
  <c r="J589" i="2"/>
  <c r="F247" i="2"/>
  <c r="D247" i="2"/>
  <c r="H658" i="2"/>
  <c r="I658" i="2" s="1"/>
  <c r="J658" i="2"/>
  <c r="F162" i="2"/>
  <c r="D162" i="2"/>
  <c r="H30" i="2"/>
  <c r="I30" i="2" s="1"/>
  <c r="J30" i="2"/>
  <c r="D395" i="2"/>
  <c r="F395" i="2"/>
  <c r="D650" i="2"/>
  <c r="F650" i="2"/>
  <c r="D232" i="2"/>
  <c r="F232" i="2"/>
  <c r="D208" i="2"/>
  <c r="F208" i="2"/>
  <c r="D373" i="2"/>
  <c r="F373" i="2"/>
  <c r="D654" i="2"/>
  <c r="F654" i="2"/>
  <c r="J652" i="2"/>
  <c r="H652" i="2"/>
  <c r="I652" i="2" s="1"/>
  <c r="H659" i="2"/>
  <c r="I659" i="2" s="1"/>
  <c r="J659" i="2"/>
  <c r="J645" i="2"/>
  <c r="H645" i="2"/>
  <c r="I645" i="2" s="1"/>
  <c r="J438" i="2"/>
  <c r="H438" i="2"/>
  <c r="F675" i="2"/>
  <c r="D675" i="2"/>
  <c r="F630" i="2"/>
  <c r="D630" i="2"/>
  <c r="D565" i="2"/>
  <c r="F565" i="2"/>
  <c r="H551" i="2"/>
  <c r="I551" i="2" s="1"/>
  <c r="J551" i="2"/>
  <c r="D449" i="2"/>
  <c r="F449" i="2"/>
  <c r="D677" i="2"/>
  <c r="F677" i="2"/>
  <c r="H607" i="2"/>
  <c r="I607" i="2" s="1"/>
  <c r="J607" i="2"/>
  <c r="J560" i="2"/>
  <c r="H560" i="2"/>
  <c r="I560" i="2" s="1"/>
  <c r="J406" i="2"/>
  <c r="H406" i="2"/>
  <c r="F618" i="2"/>
  <c r="D618" i="2"/>
  <c r="J564" i="2"/>
  <c r="H564" i="2"/>
  <c r="I564" i="2" s="1"/>
  <c r="F433" i="2"/>
  <c r="D433" i="2"/>
  <c r="J692" i="2"/>
  <c r="H692" i="2"/>
  <c r="I692" i="2" s="1"/>
  <c r="F647" i="2"/>
  <c r="D647" i="2"/>
  <c r="H594" i="2"/>
  <c r="J594" i="2"/>
  <c r="H527" i="2"/>
  <c r="I527" i="2" s="1"/>
  <c r="J527" i="2"/>
  <c r="H615" i="2"/>
  <c r="I615" i="2" s="1"/>
  <c r="J615" i="2"/>
  <c r="J370" i="2"/>
  <c r="H370" i="2"/>
  <c r="I370" i="2" s="1"/>
  <c r="H570" i="2"/>
  <c r="I570" i="2" s="1"/>
  <c r="J570" i="2"/>
  <c r="D662" i="2"/>
  <c r="F662" i="2"/>
  <c r="D629" i="2"/>
  <c r="F629" i="2"/>
  <c r="H599" i="2"/>
  <c r="I599" i="2" s="1"/>
  <c r="J599" i="2"/>
  <c r="D573" i="2"/>
  <c r="F573" i="2"/>
  <c r="J540" i="2"/>
  <c r="H540" i="2"/>
  <c r="I540" i="2" s="1"/>
  <c r="D527" i="2"/>
  <c r="F527" i="2"/>
  <c r="H497" i="2"/>
  <c r="J497" i="2"/>
  <c r="J464" i="2"/>
  <c r="H464" i="2"/>
  <c r="I464" i="2" s="1"/>
  <c r="J440" i="2"/>
  <c r="H440" i="2"/>
  <c r="I440" i="2" s="1"/>
  <c r="H380" i="2"/>
  <c r="I380" i="2" s="1"/>
  <c r="J380" i="2"/>
  <c r="J314" i="2"/>
  <c r="H314" i="2"/>
  <c r="I314" i="2" s="1"/>
  <c r="J510" i="2"/>
  <c r="H510" i="2"/>
  <c r="F472" i="2"/>
  <c r="D472" i="2"/>
  <c r="F456" i="2"/>
  <c r="D456" i="2"/>
  <c r="F417" i="2"/>
  <c r="D417" i="2"/>
  <c r="F342" i="2"/>
  <c r="D342" i="2"/>
  <c r="J508" i="2"/>
  <c r="H508" i="2"/>
  <c r="H485" i="2"/>
  <c r="I485" i="2" s="1"/>
  <c r="J485" i="2"/>
  <c r="D423" i="2"/>
  <c r="F423" i="2"/>
  <c r="J377" i="2"/>
  <c r="H377" i="2"/>
  <c r="J324" i="2"/>
  <c r="H324" i="2"/>
  <c r="F530" i="2"/>
  <c r="D530" i="2"/>
  <c r="F485" i="2"/>
  <c r="D485" i="2"/>
  <c r="J444" i="2"/>
  <c r="H444" i="2"/>
  <c r="I444" i="2" s="1"/>
  <c r="D394" i="2"/>
  <c r="F394" i="2"/>
  <c r="F324" i="2"/>
  <c r="D324" i="2"/>
  <c r="H522" i="2"/>
  <c r="I522" i="2" s="1"/>
  <c r="J522" i="2"/>
  <c r="D477" i="2"/>
  <c r="F477" i="2"/>
  <c r="H461" i="2"/>
  <c r="I461" i="2" s="1"/>
  <c r="J461" i="2"/>
  <c r="H430" i="2"/>
  <c r="J430" i="2"/>
  <c r="J378" i="2"/>
  <c r="H378" i="2"/>
  <c r="I378" i="2" s="1"/>
  <c r="F326" i="2"/>
  <c r="D326" i="2"/>
  <c r="H511" i="2"/>
  <c r="J511" i="2"/>
  <c r="D471" i="2"/>
  <c r="F471" i="2"/>
  <c r="F455" i="2"/>
  <c r="D455" i="2"/>
  <c r="H411" i="2"/>
  <c r="I411" i="2" s="1"/>
  <c r="J411" i="2"/>
  <c r="F328" i="2"/>
  <c r="D328" i="2"/>
  <c r="J270" i="2"/>
  <c r="H270" i="2"/>
  <c r="I270" i="2" s="1"/>
  <c r="F496" i="2"/>
  <c r="D496" i="2"/>
  <c r="D430" i="2"/>
  <c r="F430" i="2"/>
  <c r="D378" i="2"/>
  <c r="F378" i="2"/>
  <c r="D321" i="2"/>
  <c r="F321" i="2"/>
  <c r="J221" i="2"/>
  <c r="H221" i="2"/>
  <c r="H171" i="2"/>
  <c r="J171" i="2"/>
  <c r="J131" i="2"/>
  <c r="H131" i="2"/>
  <c r="I131" i="2" s="1"/>
  <c r="D258" i="2"/>
  <c r="F258" i="2"/>
  <c r="F189" i="2"/>
  <c r="D189" i="2"/>
  <c r="D140" i="2"/>
  <c r="F140" i="2"/>
  <c r="H198" i="2"/>
  <c r="I198" i="2" s="1"/>
  <c r="J198" i="2"/>
  <c r="J152" i="2"/>
  <c r="H152" i="2"/>
  <c r="I152" i="2" s="1"/>
  <c r="D98" i="2"/>
  <c r="F98" i="2"/>
  <c r="H235" i="2"/>
  <c r="J235" i="2"/>
  <c r="D198" i="2"/>
  <c r="F198" i="2"/>
  <c r="H137" i="2"/>
  <c r="J137" i="2"/>
  <c r="H341" i="2"/>
  <c r="I341" i="2" s="1"/>
  <c r="J341" i="2"/>
  <c r="H311" i="2"/>
  <c r="I311" i="2" s="1"/>
  <c r="J311" i="2"/>
  <c r="F256" i="2"/>
  <c r="D256" i="2"/>
  <c r="F205" i="2"/>
  <c r="D205" i="2"/>
  <c r="D169" i="2"/>
  <c r="F169" i="2"/>
  <c r="D105" i="2"/>
  <c r="F105" i="2"/>
  <c r="J330" i="2"/>
  <c r="H330" i="2"/>
  <c r="F288" i="2"/>
  <c r="D288" i="2"/>
  <c r="J229" i="2"/>
  <c r="H229" i="2"/>
  <c r="I229" i="2" s="1"/>
  <c r="D188" i="2"/>
  <c r="F188" i="2"/>
  <c r="D153" i="2"/>
  <c r="F153" i="2"/>
  <c r="D46" i="2"/>
  <c r="F46" i="2"/>
  <c r="J294" i="2"/>
  <c r="H294" i="2"/>
  <c r="I294" i="2" s="1"/>
  <c r="F211" i="2"/>
  <c r="D211" i="2"/>
  <c r="F151" i="2"/>
  <c r="D151" i="2"/>
  <c r="J76" i="2"/>
  <c r="H76" i="2"/>
  <c r="J260" i="2"/>
  <c r="H260" i="2"/>
  <c r="F199" i="2"/>
  <c r="D199" i="2"/>
  <c r="F139" i="2"/>
  <c r="D139" i="2"/>
  <c r="H48" i="2"/>
  <c r="J48" i="2"/>
  <c r="F68" i="2"/>
  <c r="D68" i="2"/>
  <c r="J25" i="2"/>
  <c r="H25" i="2"/>
  <c r="I25" i="2" s="1"/>
  <c r="H251" i="2"/>
  <c r="J251" i="2"/>
  <c r="J100" i="2"/>
  <c r="H100" i="2"/>
  <c r="I100" i="2" s="1"/>
  <c r="H252" i="2"/>
  <c r="I252" i="2" s="1"/>
  <c r="J252" i="2"/>
  <c r="H272" i="2"/>
  <c r="I272" i="2" s="1"/>
  <c r="J272" i="2"/>
  <c r="J571" i="2"/>
  <c r="H571" i="2"/>
  <c r="I571" i="2" s="1"/>
  <c r="F521" i="2"/>
  <c r="D521" i="2"/>
  <c r="D337" i="2"/>
  <c r="F337" i="2"/>
  <c r="D349" i="2"/>
  <c r="F349" i="2"/>
  <c r="F693" i="2"/>
  <c r="D693" i="2"/>
  <c r="E693" i="2" s="1"/>
  <c r="F488" i="2"/>
  <c r="D488" i="2"/>
  <c r="H610" i="2"/>
  <c r="I610" i="2" s="1"/>
  <c r="J610" i="2"/>
  <c r="D641" i="2"/>
  <c r="F641" i="2"/>
  <c r="H493" i="2"/>
  <c r="I493" i="2" s="1"/>
  <c r="J493" i="2"/>
  <c r="J442" i="2"/>
  <c r="H442" i="2"/>
  <c r="J61" i="2"/>
  <c r="H61" i="2"/>
  <c r="J120" i="2"/>
  <c r="H120" i="2"/>
  <c r="D21" i="2"/>
  <c r="F21" i="2"/>
  <c r="J62" i="2"/>
  <c r="H62" i="2"/>
  <c r="D415" i="2"/>
  <c r="F415" i="2"/>
  <c r="F352" i="2"/>
  <c r="D352" i="2"/>
  <c r="D684" i="2"/>
  <c r="F684" i="2"/>
  <c r="H655" i="2"/>
  <c r="J655" i="2"/>
  <c r="D613" i="2"/>
  <c r="F613" i="2"/>
  <c r="D656" i="2"/>
  <c r="F656" i="2"/>
  <c r="D681" i="2"/>
  <c r="F681" i="2"/>
  <c r="F627" i="2"/>
  <c r="D627" i="2"/>
  <c r="F631" i="2"/>
  <c r="D631" i="2"/>
  <c r="J466" i="2"/>
  <c r="H466" i="2"/>
  <c r="I466" i="2" s="1"/>
  <c r="J418" i="2"/>
  <c r="H418" i="2"/>
  <c r="D254" i="2"/>
  <c r="E254" i="2" s="1"/>
  <c r="F254" i="2"/>
  <c r="D479" i="2"/>
  <c r="F479" i="2"/>
  <c r="F457" i="2"/>
  <c r="D457" i="2"/>
  <c r="H323" i="2"/>
  <c r="J323" i="2"/>
  <c r="F237" i="2"/>
  <c r="D237" i="2"/>
  <c r="J148" i="2"/>
  <c r="H148" i="2"/>
  <c r="J103" i="2"/>
  <c r="H103" i="2"/>
  <c r="I103" i="2" s="1"/>
  <c r="F53" i="2"/>
  <c r="D53" i="2"/>
  <c r="H158" i="2"/>
  <c r="J158" i="2"/>
  <c r="D13" i="2"/>
  <c r="F13" i="2"/>
  <c r="H35" i="2"/>
  <c r="I35" i="2" s="1"/>
  <c r="J35" i="2"/>
  <c r="F56" i="2"/>
  <c r="D56" i="2"/>
  <c r="J180" i="2"/>
  <c r="H180" i="2"/>
  <c r="I180" i="2" s="1"/>
  <c r="F231" i="2"/>
  <c r="D231" i="2"/>
  <c r="H409" i="2"/>
  <c r="J409" i="2"/>
  <c r="H416" i="2"/>
  <c r="I416" i="2" s="1"/>
  <c r="J416" i="2"/>
  <c r="D255" i="2"/>
  <c r="F255" i="2"/>
  <c r="J579" i="2"/>
  <c r="H579" i="2"/>
  <c r="I579" i="2" s="1"/>
  <c r="H339" i="2"/>
  <c r="I339" i="2" s="1"/>
  <c r="J339" i="2"/>
  <c r="J224" i="2"/>
  <c r="H224" i="2"/>
  <c r="I224" i="2" s="1"/>
  <c r="H379" i="2"/>
  <c r="I379" i="2" s="1"/>
  <c r="J379" i="2"/>
  <c r="D280" i="2"/>
  <c r="F280" i="2"/>
  <c r="H408" i="2"/>
  <c r="J408" i="2"/>
  <c r="F412" i="2"/>
  <c r="D412" i="2"/>
  <c r="J550" i="2"/>
  <c r="H550" i="2"/>
  <c r="I550" i="2" s="1"/>
  <c r="H105" i="2"/>
  <c r="J105" i="2"/>
  <c r="D345" i="2"/>
  <c r="F345" i="2"/>
  <c r="H533" i="2"/>
  <c r="I533" i="2" s="1"/>
  <c r="J533" i="2"/>
  <c r="F601" i="2"/>
  <c r="D601" i="2"/>
  <c r="D259" i="2"/>
  <c r="F259" i="2"/>
  <c r="D439" i="2"/>
  <c r="F439" i="2"/>
  <c r="H656" i="2"/>
  <c r="J656" i="2"/>
  <c r="F542" i="2"/>
  <c r="D542" i="2"/>
  <c r="J555" i="2"/>
  <c r="H555" i="2"/>
  <c r="I555" i="2" s="1"/>
  <c r="F183" i="2"/>
  <c r="D183" i="2"/>
  <c r="D359" i="2"/>
  <c r="F359" i="2"/>
  <c r="H565" i="2"/>
  <c r="I565" i="2" s="1"/>
  <c r="J565" i="2"/>
  <c r="J619" i="2"/>
  <c r="H619" i="2"/>
  <c r="I619" i="2" s="1"/>
  <c r="F566" i="2"/>
  <c r="D566" i="2"/>
  <c r="H18" i="2"/>
  <c r="J18" i="2"/>
  <c r="D356" i="2"/>
  <c r="F356" i="2"/>
  <c r="D690" i="2"/>
  <c r="F690" i="2"/>
  <c r="F529" i="2"/>
  <c r="D529" i="2"/>
  <c r="H688" i="2"/>
  <c r="I688" i="2" s="1"/>
  <c r="J688" i="2"/>
  <c r="J26" i="2"/>
  <c r="H26" i="2"/>
  <c r="H191" i="2"/>
  <c r="I191" i="2" s="1"/>
  <c r="J191" i="2"/>
  <c r="D680" i="2"/>
  <c r="F680" i="2"/>
  <c r="F526" i="2"/>
  <c r="D526" i="2"/>
  <c r="J219" i="2"/>
  <c r="H219" i="2"/>
  <c r="I219" i="2" s="1"/>
  <c r="H34" i="2"/>
  <c r="I34" i="2" s="1"/>
  <c r="J34" i="2"/>
  <c r="D403" i="2"/>
  <c r="F403" i="2"/>
  <c r="H687" i="2"/>
  <c r="J687" i="2"/>
  <c r="H642" i="2"/>
  <c r="J642" i="2"/>
  <c r="J633" i="2"/>
  <c r="H633" i="2"/>
  <c r="I633" i="2" s="1"/>
  <c r="J673" i="2"/>
  <c r="H673" i="2"/>
  <c r="I673" i="2" s="1"/>
  <c r="J616" i="2"/>
  <c r="H616" i="2"/>
  <c r="D657" i="2"/>
  <c r="F657" i="2"/>
  <c r="F616" i="2"/>
  <c r="D616" i="2"/>
  <c r="D549" i="2"/>
  <c r="F549" i="2"/>
  <c r="J544" i="2"/>
  <c r="H544" i="2"/>
  <c r="I544" i="2" s="1"/>
  <c r="D620" i="2"/>
  <c r="E620" i="2" s="1"/>
  <c r="F620" i="2"/>
  <c r="D670" i="2"/>
  <c r="F670" i="2"/>
  <c r="H602" i="2"/>
  <c r="J602" i="2"/>
  <c r="D559" i="2"/>
  <c r="F559" i="2"/>
  <c r="F291" i="2"/>
  <c r="D291" i="2"/>
  <c r="D607" i="2"/>
  <c r="F607" i="2"/>
  <c r="J552" i="2"/>
  <c r="H552" i="2"/>
  <c r="I552" i="2" s="1"/>
  <c r="D421" i="2"/>
  <c r="F421" i="2"/>
  <c r="D686" i="2"/>
  <c r="F686" i="2"/>
  <c r="D645" i="2"/>
  <c r="F645" i="2"/>
  <c r="J592" i="2"/>
  <c r="H592" i="2"/>
  <c r="I592" i="2" s="1"/>
  <c r="D509" i="2"/>
  <c r="F509" i="2"/>
  <c r="D596" i="2"/>
  <c r="E596" i="2" s="1"/>
  <c r="F596" i="2"/>
  <c r="D362" i="2"/>
  <c r="F362" i="2"/>
  <c r="D678" i="2"/>
  <c r="F678" i="2"/>
  <c r="J657" i="2"/>
  <c r="H657" i="2"/>
  <c r="I657" i="2" s="1"/>
  <c r="J625" i="2"/>
  <c r="H625" i="2"/>
  <c r="F594" i="2"/>
  <c r="D594" i="2"/>
  <c r="H569" i="2"/>
  <c r="I569" i="2" s="1"/>
  <c r="J569" i="2"/>
  <c r="H535" i="2"/>
  <c r="I535" i="2" s="1"/>
  <c r="J535" i="2"/>
  <c r="D525" i="2"/>
  <c r="F525" i="2"/>
  <c r="F480" i="2"/>
  <c r="D480" i="2"/>
  <c r="J462" i="2"/>
  <c r="H462" i="2"/>
  <c r="I462" i="2" s="1"/>
  <c r="H428" i="2"/>
  <c r="I428" i="2" s="1"/>
  <c r="J428" i="2"/>
  <c r="H375" i="2"/>
  <c r="I375" i="2" s="1"/>
  <c r="J375" i="2"/>
  <c r="J310" i="2"/>
  <c r="H310" i="2"/>
  <c r="I310" i="2" s="1"/>
  <c r="F501" i="2"/>
  <c r="D501" i="2"/>
  <c r="F470" i="2"/>
  <c r="D470" i="2"/>
  <c r="F454" i="2"/>
  <c r="D454" i="2"/>
  <c r="J410" i="2"/>
  <c r="H410" i="2"/>
  <c r="I410" i="2" s="1"/>
  <c r="H332" i="2"/>
  <c r="J332" i="2"/>
  <c r="J506" i="2"/>
  <c r="H506" i="2"/>
  <c r="I506" i="2" s="1"/>
  <c r="H483" i="2"/>
  <c r="I483" i="2" s="1"/>
  <c r="J483" i="2"/>
  <c r="H412" i="2"/>
  <c r="I412" i="2" s="1"/>
  <c r="J412" i="2"/>
  <c r="D370" i="2"/>
  <c r="F370" i="2"/>
  <c r="J322" i="2"/>
  <c r="H322" i="2"/>
  <c r="I322" i="2" s="1"/>
  <c r="H524" i="2"/>
  <c r="J524" i="2"/>
  <c r="D483" i="2"/>
  <c r="F483" i="2"/>
  <c r="F442" i="2"/>
  <c r="D442" i="2"/>
  <c r="D390" i="2"/>
  <c r="F390" i="2"/>
  <c r="D296" i="2"/>
  <c r="F296" i="2"/>
  <c r="J520" i="2"/>
  <c r="H520" i="2"/>
  <c r="I520" i="2" s="1"/>
  <c r="D475" i="2"/>
  <c r="F475" i="2"/>
  <c r="H459" i="2"/>
  <c r="J459" i="2"/>
  <c r="J421" i="2"/>
  <c r="H421" i="2"/>
  <c r="F374" i="2"/>
  <c r="D374" i="2"/>
  <c r="H278" i="2"/>
  <c r="J278" i="2"/>
  <c r="F502" i="2"/>
  <c r="D502" i="2"/>
  <c r="F469" i="2"/>
  <c r="D469" i="2"/>
  <c r="F453" i="2"/>
  <c r="D453" i="2"/>
  <c r="D409" i="2"/>
  <c r="F409" i="2"/>
  <c r="H321" i="2"/>
  <c r="I321" i="2" s="1"/>
  <c r="J321" i="2"/>
  <c r="H267" i="2"/>
  <c r="I267" i="2" s="1"/>
  <c r="J267" i="2"/>
  <c r="F494" i="2"/>
  <c r="D494" i="2"/>
  <c r="H414" i="2"/>
  <c r="J414" i="2"/>
  <c r="J369" i="2"/>
  <c r="H369" i="2"/>
  <c r="I369" i="2" s="1"/>
  <c r="D317" i="2"/>
  <c r="F317" i="2"/>
  <c r="D218" i="2"/>
  <c r="F218" i="2"/>
  <c r="F165" i="2"/>
  <c r="D165" i="2"/>
  <c r="J121" i="2"/>
  <c r="H121" i="2"/>
  <c r="J254" i="2"/>
  <c r="H254" i="2"/>
  <c r="I254" i="2" s="1"/>
  <c r="J187" i="2"/>
  <c r="H187" i="2"/>
  <c r="I187" i="2" s="1"/>
  <c r="H102" i="2"/>
  <c r="I102" i="2" s="1"/>
  <c r="J102" i="2"/>
  <c r="F187" i="2"/>
  <c r="D187" i="2"/>
  <c r="H149" i="2"/>
  <c r="J149" i="2"/>
  <c r="D74" i="2"/>
  <c r="F74" i="2"/>
  <c r="F233" i="2"/>
  <c r="D233" i="2"/>
  <c r="J192" i="2"/>
  <c r="H192" i="2"/>
  <c r="D133" i="2"/>
  <c r="F133" i="2"/>
  <c r="J337" i="2"/>
  <c r="H337" i="2"/>
  <c r="I337" i="2" s="1"/>
  <c r="D307" i="2"/>
  <c r="F307" i="2"/>
  <c r="J246" i="2"/>
  <c r="H246" i="2"/>
  <c r="I246" i="2" s="1"/>
  <c r="H203" i="2"/>
  <c r="I203" i="2" s="1"/>
  <c r="J203" i="2"/>
  <c r="H162" i="2"/>
  <c r="J162" i="2"/>
  <c r="H99" i="2"/>
  <c r="J99" i="2"/>
  <c r="D325" i="2"/>
  <c r="F325" i="2"/>
  <c r="H283" i="2"/>
  <c r="I283" i="2" s="1"/>
  <c r="J283" i="2"/>
  <c r="D222" i="2"/>
  <c r="F222" i="2"/>
  <c r="H186" i="2"/>
  <c r="I186" i="2" s="1"/>
  <c r="J186" i="2"/>
  <c r="F147" i="2"/>
  <c r="D147" i="2"/>
  <c r="D14" i="2"/>
  <c r="F14" i="2"/>
  <c r="H271" i="2"/>
  <c r="I271" i="2" s="1"/>
  <c r="J271" i="2"/>
  <c r="H199" i="2"/>
  <c r="I199" i="2" s="1"/>
  <c r="J199" i="2"/>
  <c r="F142" i="2"/>
  <c r="D142" i="2"/>
  <c r="F320" i="2"/>
  <c r="D320" i="2"/>
  <c r="J258" i="2"/>
  <c r="H258" i="2"/>
  <c r="F195" i="2"/>
  <c r="D195" i="2"/>
  <c r="F136" i="2"/>
  <c r="D136" i="2"/>
  <c r="D42" i="2"/>
  <c r="F42" i="2"/>
  <c r="D54" i="2"/>
  <c r="F54" i="2"/>
  <c r="F71" i="2"/>
  <c r="D71" i="2"/>
  <c r="F40" i="2"/>
  <c r="D40" i="2"/>
  <c r="D25" i="2"/>
  <c r="F25" i="2"/>
  <c r="H617" i="2"/>
  <c r="J617" i="2"/>
  <c r="H32" i="2"/>
  <c r="I32" i="2" s="1"/>
  <c r="J32" i="2"/>
  <c r="F628" i="2"/>
  <c r="D628" i="2"/>
  <c r="H423" i="2"/>
  <c r="J423" i="2"/>
  <c r="H646" i="2"/>
  <c r="J646" i="2"/>
  <c r="H606" i="2"/>
  <c r="I606" i="2" s="1"/>
  <c r="J606" i="2"/>
  <c r="J566" i="2"/>
  <c r="H566" i="2"/>
  <c r="I566" i="2" s="1"/>
  <c r="F396" i="2"/>
  <c r="D396" i="2"/>
  <c r="J653" i="2"/>
  <c r="H653" i="2"/>
  <c r="I653" i="2" s="1"/>
  <c r="J572" i="2"/>
  <c r="H572" i="2"/>
  <c r="I572" i="2" s="1"/>
  <c r="H604" i="2"/>
  <c r="J604" i="2"/>
  <c r="J641" i="2"/>
  <c r="H641" i="2"/>
  <c r="I641" i="2" s="1"/>
  <c r="H580" i="2"/>
  <c r="I580" i="2" s="1"/>
  <c r="J580" i="2"/>
  <c r="J454" i="2"/>
  <c r="H454" i="2"/>
  <c r="I454" i="2" s="1"/>
  <c r="D401" i="2"/>
  <c r="F401" i="2"/>
  <c r="J196" i="2"/>
  <c r="H196" i="2"/>
  <c r="D150" i="2"/>
  <c r="F150" i="2"/>
  <c r="H387" i="2"/>
  <c r="I387" i="2" s="1"/>
  <c r="J387" i="2"/>
  <c r="H391" i="2"/>
  <c r="I391" i="2" s="1"/>
  <c r="J391" i="2"/>
  <c r="H52" i="2"/>
  <c r="J52" i="2"/>
  <c r="D241" i="2"/>
  <c r="F241" i="2"/>
  <c r="H605" i="2"/>
  <c r="I605" i="2" s="1"/>
  <c r="J605" i="2"/>
  <c r="F305" i="2"/>
  <c r="D305" i="2"/>
  <c r="H439" i="2"/>
  <c r="I439" i="2" s="1"/>
  <c r="J439" i="2"/>
  <c r="H257" i="2"/>
  <c r="J257" i="2"/>
  <c r="D447" i="2"/>
  <c r="F447" i="2"/>
  <c r="F513" i="2"/>
  <c r="D513" i="2"/>
  <c r="F154" i="2"/>
  <c r="D154" i="2"/>
  <c r="F170" i="2"/>
  <c r="D170" i="2"/>
  <c r="H393" i="2"/>
  <c r="J393" i="2"/>
  <c r="F683" i="2"/>
  <c r="D683" i="2"/>
  <c r="J681" i="2"/>
  <c r="H681" i="2"/>
  <c r="F482" i="2"/>
  <c r="D482" i="2"/>
  <c r="D567" i="2"/>
  <c r="F567" i="2"/>
  <c r="F651" i="2"/>
  <c r="D651" i="2"/>
  <c r="H667" i="2"/>
  <c r="I667" i="2" s="1"/>
  <c r="J667" i="2"/>
  <c r="H499" i="2"/>
  <c r="I499" i="2" s="1"/>
  <c r="J499" i="2"/>
  <c r="H489" i="2"/>
  <c r="I489" i="2" s="1"/>
  <c r="J489" i="2"/>
  <c r="F519" i="2"/>
  <c r="D519" i="2"/>
  <c r="F487" i="2"/>
  <c r="D487" i="2"/>
  <c r="H463" i="2"/>
  <c r="I463" i="2" s="1"/>
  <c r="J463" i="2"/>
  <c r="J488" i="2"/>
  <c r="H488" i="2"/>
  <c r="I488" i="2" s="1"/>
  <c r="H505" i="2"/>
  <c r="I505" i="2" s="1"/>
  <c r="J505" i="2"/>
  <c r="J209" i="2"/>
  <c r="H209" i="2"/>
  <c r="I209" i="2" s="1"/>
  <c r="J83" i="2"/>
  <c r="H83" i="2"/>
  <c r="I83" i="2" s="1"/>
  <c r="J114" i="2"/>
  <c r="H114" i="2"/>
  <c r="F158" i="2"/>
  <c r="D158" i="2"/>
  <c r="H51" i="2"/>
  <c r="J51" i="2"/>
  <c r="H19" i="2"/>
  <c r="J19" i="2"/>
  <c r="H134" i="2"/>
  <c r="I134" i="2" s="1"/>
  <c r="J134" i="2"/>
  <c r="D24" i="2"/>
  <c r="F24" i="2"/>
  <c r="D138" i="2"/>
  <c r="F138" i="2"/>
  <c r="F77" i="2"/>
  <c r="D77" i="2"/>
  <c r="J45" i="2"/>
  <c r="H45" i="2"/>
  <c r="J168" i="2"/>
  <c r="H168" i="2"/>
  <c r="I168" i="2" s="1"/>
  <c r="F622" i="2"/>
  <c r="D622" i="2"/>
  <c r="J289" i="2"/>
  <c r="H289" i="2"/>
  <c r="I289" i="2" s="1"/>
  <c r="F115" i="2"/>
  <c r="D115" i="2"/>
  <c r="D363" i="2"/>
  <c r="F363" i="2"/>
  <c r="F593" i="2"/>
  <c r="D593" i="2"/>
  <c r="H135" i="2"/>
  <c r="I135" i="2" s="1"/>
  <c r="J135" i="2"/>
  <c r="J22" i="2"/>
  <c r="H22" i="2"/>
  <c r="J65" i="2"/>
  <c r="H65" i="2"/>
  <c r="I65" i="2" s="1"/>
  <c r="H126" i="2"/>
  <c r="J126" i="2"/>
  <c r="H286" i="2"/>
  <c r="I286" i="2" s="1"/>
  <c r="J286" i="2"/>
  <c r="H273" i="2"/>
  <c r="I273" i="2" s="1"/>
  <c r="J273" i="2"/>
  <c r="D63" i="2"/>
  <c r="F63" i="2"/>
  <c r="H226" i="2"/>
  <c r="J226" i="2"/>
  <c r="H174" i="2"/>
  <c r="J174" i="2"/>
  <c r="D57" i="2"/>
  <c r="F57" i="2"/>
  <c r="H82" i="2"/>
  <c r="I82" i="2" s="1"/>
  <c r="J82" i="2"/>
  <c r="H202" i="2"/>
  <c r="J202" i="2"/>
  <c r="H609" i="2"/>
  <c r="I609" i="2" s="1"/>
  <c r="J609" i="2"/>
  <c r="F76" i="2"/>
  <c r="D76" i="2"/>
  <c r="H118" i="2"/>
  <c r="I118" i="2" s="1"/>
  <c r="J118" i="2"/>
  <c r="D166" i="2"/>
  <c r="F166" i="2"/>
  <c r="F48" i="2"/>
  <c r="D48" i="2"/>
  <c r="F23" i="2"/>
  <c r="D23" i="2"/>
  <c r="F70" i="2"/>
  <c r="D70" i="2"/>
  <c r="H166" i="2"/>
  <c r="J166" i="2"/>
  <c r="D65" i="2"/>
  <c r="F65" i="2"/>
  <c r="D43" i="2"/>
  <c r="F43" i="2"/>
  <c r="D80" i="2"/>
  <c r="F80" i="2"/>
  <c r="J164" i="2"/>
  <c r="H164" i="2"/>
  <c r="I164" i="2" s="1"/>
  <c r="D194" i="2"/>
  <c r="F194" i="2"/>
  <c r="H43" i="2"/>
  <c r="I43" i="2" s="1"/>
  <c r="J43" i="2"/>
  <c r="H66" i="2"/>
  <c r="I66" i="2" s="1"/>
  <c r="J66" i="2"/>
  <c r="F182" i="2"/>
  <c r="D182" i="2"/>
  <c r="D384" i="2"/>
  <c r="F384" i="2"/>
  <c r="H277" i="2"/>
  <c r="J277" i="2"/>
  <c r="F558" i="2"/>
  <c r="D558" i="2"/>
  <c r="D387" i="2"/>
  <c r="F387" i="2"/>
  <c r="F251" i="2"/>
  <c r="D251" i="2"/>
  <c r="J574" i="2"/>
  <c r="H574" i="2"/>
  <c r="I574" i="2" s="1"/>
  <c r="H216" i="2"/>
  <c r="J216" i="2"/>
  <c r="D220" i="2"/>
  <c r="E220" i="2" s="1"/>
  <c r="F220" i="2"/>
  <c r="D399" i="2"/>
  <c r="F399" i="2"/>
  <c r="H674" i="2"/>
  <c r="I674" i="2" s="1"/>
  <c r="J674" i="2"/>
  <c r="H218" i="2"/>
  <c r="I218" i="2" s="1"/>
  <c r="J218" i="2"/>
  <c r="D371" i="2"/>
  <c r="F371" i="2"/>
  <c r="J38" i="2"/>
  <c r="H38" i="2"/>
  <c r="I38" i="2" s="1"/>
  <c r="F272" i="2"/>
  <c r="D272" i="2"/>
  <c r="D383" i="2"/>
  <c r="F383" i="2"/>
  <c r="H228" i="2"/>
  <c r="I228" i="2" s="1"/>
  <c r="J228" i="2"/>
  <c r="F295" i="2"/>
  <c r="D295" i="2"/>
  <c r="H403" i="2"/>
  <c r="I403" i="2" s="1"/>
  <c r="J403" i="2"/>
  <c r="D658" i="2"/>
  <c r="F658" i="2"/>
  <c r="H682" i="2"/>
  <c r="J682" i="2"/>
  <c r="D253" i="2"/>
  <c r="F253" i="2"/>
  <c r="H437" i="2"/>
  <c r="I437" i="2" s="1"/>
  <c r="J437" i="2"/>
  <c r="H638" i="2"/>
  <c r="J638" i="2"/>
  <c r="H690" i="2"/>
  <c r="J690" i="2"/>
  <c r="H220" i="2"/>
  <c r="I220" i="2" s="1"/>
  <c r="J220" i="2"/>
  <c r="D435" i="2"/>
  <c r="F435" i="2"/>
  <c r="H648" i="2"/>
  <c r="I648" i="2" s="1"/>
  <c r="J648" i="2"/>
  <c r="H432" i="2"/>
  <c r="I432" i="2" s="1"/>
  <c r="J432" i="2"/>
  <c r="D668" i="2"/>
  <c r="F668" i="2"/>
  <c r="F130" i="2"/>
  <c r="D130" i="2"/>
  <c r="J269" i="2"/>
  <c r="H269" i="2"/>
  <c r="I269" i="2" s="1"/>
  <c r="D369" i="2"/>
  <c r="F369" i="2"/>
  <c r="D636" i="2"/>
  <c r="F636" i="2"/>
  <c r="H631" i="2"/>
  <c r="I631" i="2" s="1"/>
  <c r="J631" i="2"/>
  <c r="D335" i="2"/>
  <c r="F335" i="2"/>
  <c r="F336" i="2"/>
  <c r="D336" i="2"/>
  <c r="D688" i="2"/>
  <c r="F688" i="2"/>
  <c r="J679" i="2"/>
  <c r="H679" i="2"/>
  <c r="I679" i="2" s="1"/>
  <c r="D663" i="2"/>
  <c r="F663" i="2"/>
  <c r="J159" i="2"/>
  <c r="H159" i="2"/>
  <c r="H399" i="2"/>
  <c r="I399" i="2" s="1"/>
  <c r="J399" i="2"/>
  <c r="H613" i="2"/>
  <c r="I613" i="2" s="1"/>
  <c r="J613" i="2"/>
  <c r="F574" i="2"/>
  <c r="D574" i="2"/>
  <c r="H60" i="2"/>
  <c r="J60" i="2"/>
  <c r="D210" i="2"/>
  <c r="F210" i="2"/>
  <c r="F577" i="2"/>
  <c r="D577" i="2"/>
  <c r="J689" i="2"/>
  <c r="H689" i="2"/>
  <c r="I689" i="2" s="1"/>
  <c r="D592" i="2"/>
  <c r="F592" i="2"/>
  <c r="D535" i="2"/>
  <c r="F535" i="2"/>
  <c r="F691" i="2"/>
  <c r="D691" i="2"/>
  <c r="E691" i="2" s="1"/>
  <c r="H675" i="2"/>
  <c r="I675" i="2" s="1"/>
  <c r="J675" i="2"/>
  <c r="H650" i="2"/>
  <c r="J650" i="2"/>
  <c r="D612" i="2"/>
  <c r="F612" i="2"/>
  <c r="D540" i="2"/>
  <c r="F540" i="2"/>
  <c r="J536" i="2"/>
  <c r="H536" i="2"/>
  <c r="I536" i="2" s="1"/>
  <c r="J600" i="2"/>
  <c r="H600" i="2"/>
  <c r="I600" i="2" s="1"/>
  <c r="F659" i="2"/>
  <c r="D659" i="2"/>
  <c r="D600" i="2"/>
  <c r="F600" i="2"/>
  <c r="F554" i="2"/>
  <c r="D554" i="2"/>
  <c r="J651" i="2"/>
  <c r="H651" i="2"/>
  <c r="I651" i="2" s="1"/>
  <c r="D591" i="2"/>
  <c r="F591" i="2"/>
  <c r="J548" i="2"/>
  <c r="H548" i="2"/>
  <c r="I548" i="2" s="1"/>
  <c r="H398" i="2"/>
  <c r="I398" i="2" s="1"/>
  <c r="J398" i="2"/>
  <c r="H669" i="2"/>
  <c r="I669" i="2" s="1"/>
  <c r="J669" i="2"/>
  <c r="J636" i="2"/>
  <c r="H636" i="2"/>
  <c r="I636" i="2" s="1"/>
  <c r="D572" i="2"/>
  <c r="F572" i="2"/>
  <c r="F484" i="2"/>
  <c r="D484" i="2"/>
  <c r="D587" i="2"/>
  <c r="F587" i="2"/>
  <c r="H327" i="2"/>
  <c r="I327" i="2" s="1"/>
  <c r="J327" i="2"/>
  <c r="D665" i="2"/>
  <c r="F665" i="2"/>
  <c r="F655" i="2"/>
  <c r="D655" i="2"/>
  <c r="D624" i="2"/>
  <c r="E624" i="2" s="1"/>
  <c r="F624" i="2"/>
  <c r="H588" i="2"/>
  <c r="I588" i="2" s="1"/>
  <c r="J588" i="2"/>
  <c r="D568" i="2"/>
  <c r="F568" i="2"/>
  <c r="J532" i="2"/>
  <c r="H532" i="2"/>
  <c r="I532" i="2" s="1"/>
  <c r="H517" i="2"/>
  <c r="I517" i="2" s="1"/>
  <c r="J517" i="2"/>
  <c r="F478" i="2"/>
  <c r="D478" i="2"/>
  <c r="J460" i="2"/>
  <c r="H460" i="2"/>
  <c r="I460" i="2" s="1"/>
  <c r="D426" i="2"/>
  <c r="F426" i="2"/>
  <c r="H366" i="2"/>
  <c r="I366" i="2" s="1"/>
  <c r="J366" i="2"/>
  <c r="D285" i="2"/>
  <c r="F285" i="2"/>
  <c r="D499" i="2"/>
  <c r="F499" i="2"/>
  <c r="F468" i="2"/>
  <c r="D468" i="2"/>
  <c r="F452" i="2"/>
  <c r="D452" i="2"/>
  <c r="D398" i="2"/>
  <c r="F398" i="2"/>
  <c r="F269" i="2"/>
  <c r="D269" i="2"/>
  <c r="J504" i="2"/>
  <c r="H504" i="2"/>
  <c r="I504" i="2" s="1"/>
  <c r="H481" i="2"/>
  <c r="J481" i="2"/>
  <c r="D410" i="2"/>
  <c r="F410" i="2"/>
  <c r="J368" i="2"/>
  <c r="H368" i="2"/>
  <c r="I368" i="2" s="1"/>
  <c r="F318" i="2"/>
  <c r="D318" i="2"/>
  <c r="D517" i="2"/>
  <c r="E517" i="2" s="1"/>
  <c r="F517" i="2"/>
  <c r="D481" i="2"/>
  <c r="F481" i="2"/>
  <c r="J429" i="2"/>
  <c r="H429" i="2"/>
  <c r="I429" i="2" s="1"/>
  <c r="H382" i="2"/>
  <c r="I382" i="2" s="1"/>
  <c r="J382" i="2"/>
  <c r="J263" i="2"/>
  <c r="H263" i="2"/>
  <c r="H513" i="2"/>
  <c r="I513" i="2" s="1"/>
  <c r="J513" i="2"/>
  <c r="D473" i="2"/>
  <c r="F473" i="2"/>
  <c r="H457" i="2"/>
  <c r="I457" i="2" s="1"/>
  <c r="J457" i="2"/>
  <c r="D407" i="2"/>
  <c r="F407" i="2"/>
  <c r="H365" i="2"/>
  <c r="I365" i="2" s="1"/>
  <c r="J365" i="2"/>
  <c r="D274" i="2"/>
  <c r="F274" i="2"/>
  <c r="F500" i="2"/>
  <c r="D500" i="2"/>
  <c r="D467" i="2"/>
  <c r="F467" i="2"/>
  <c r="F451" i="2"/>
  <c r="D451" i="2"/>
  <c r="D391" i="2"/>
  <c r="F391" i="2"/>
  <c r="H317" i="2"/>
  <c r="I317" i="2" s="1"/>
  <c r="J317" i="2"/>
  <c r="D524" i="2"/>
  <c r="F524" i="2"/>
  <c r="F492" i="2"/>
  <c r="D492" i="2"/>
  <c r="J405" i="2"/>
  <c r="H405" i="2"/>
  <c r="J360" i="2"/>
  <c r="H360" i="2"/>
  <c r="I360" i="2" s="1"/>
  <c r="D313" i="2"/>
  <c r="E313" i="2" s="1"/>
  <c r="F313" i="2"/>
  <c r="F213" i="2"/>
  <c r="D213" i="2"/>
  <c r="J160" i="2"/>
  <c r="H160" i="2"/>
  <c r="I160" i="2" s="1"/>
  <c r="H111" i="2"/>
  <c r="J111" i="2"/>
  <c r="J250" i="2"/>
  <c r="H250" i="2"/>
  <c r="I250" i="2" s="1"/>
  <c r="F184" i="2"/>
  <c r="D184" i="2"/>
  <c r="D97" i="2"/>
  <c r="F97" i="2"/>
  <c r="D180" i="2"/>
  <c r="F180" i="2"/>
  <c r="F135" i="2"/>
  <c r="D135" i="2"/>
  <c r="F62" i="2"/>
  <c r="D62" i="2"/>
  <c r="D230" i="2"/>
  <c r="F230" i="2"/>
  <c r="J185" i="2"/>
  <c r="H185" i="2"/>
  <c r="I185" i="2" s="1"/>
  <c r="D128" i="2"/>
  <c r="F128" i="2"/>
  <c r="H333" i="2"/>
  <c r="I333" i="2" s="1"/>
  <c r="J333" i="2"/>
  <c r="J305" i="2"/>
  <c r="H305" i="2"/>
  <c r="J242" i="2"/>
  <c r="H242" i="2"/>
  <c r="I242" i="2" s="1"/>
  <c r="D201" i="2"/>
  <c r="E201" i="2" s="1"/>
  <c r="F201" i="2"/>
  <c r="D159" i="2"/>
  <c r="F159" i="2"/>
  <c r="H96" i="2"/>
  <c r="I96" i="2" s="1"/>
  <c r="J96" i="2"/>
  <c r="F322" i="2"/>
  <c r="D322" i="2"/>
  <c r="H280" i="2"/>
  <c r="J280" i="2"/>
  <c r="F219" i="2"/>
  <c r="D219" i="2"/>
  <c r="D185" i="2"/>
  <c r="F185" i="2"/>
  <c r="J145" i="2"/>
  <c r="H145" i="2"/>
  <c r="J338" i="2"/>
  <c r="H338" i="2"/>
  <c r="I338" i="2" s="1"/>
  <c r="H268" i="2"/>
  <c r="I268" i="2" s="1"/>
  <c r="J268" i="2"/>
  <c r="F197" i="2"/>
  <c r="D197" i="2"/>
  <c r="D129" i="2"/>
  <c r="F129" i="2"/>
  <c r="F316" i="2"/>
  <c r="D316" i="2"/>
  <c r="F244" i="2"/>
  <c r="D244" i="2"/>
  <c r="F191" i="2"/>
  <c r="D191" i="2"/>
  <c r="H123" i="2"/>
  <c r="J123" i="2"/>
  <c r="F38" i="2"/>
  <c r="D38" i="2"/>
  <c r="H182" i="2"/>
  <c r="J182" i="2"/>
  <c r="H240" i="2"/>
  <c r="I240" i="2" s="1"/>
  <c r="J240" i="2"/>
  <c r="H116" i="2"/>
  <c r="J116" i="2"/>
  <c r="D132" i="2"/>
  <c r="F132" i="2"/>
  <c r="H400" i="2"/>
  <c r="I400" i="2" s="1"/>
  <c r="J400" i="2"/>
  <c r="D411" i="2"/>
  <c r="F411" i="2"/>
  <c r="H303" i="2"/>
  <c r="I303" i="2" s="1"/>
  <c r="J303" i="2"/>
  <c r="F131" i="2"/>
  <c r="D131" i="2"/>
  <c r="H541" i="2"/>
  <c r="I541" i="2" s="1"/>
  <c r="J541" i="2"/>
  <c r="D443" i="2"/>
  <c r="F443" i="2"/>
  <c r="F632" i="2"/>
  <c r="D632" i="2"/>
  <c r="J576" i="2"/>
  <c r="H576" i="2"/>
  <c r="I576" i="2" s="1"/>
  <c r="H559" i="2"/>
  <c r="I559" i="2" s="1"/>
  <c r="J559" i="2"/>
  <c r="J577" i="2"/>
  <c r="H577" i="2"/>
  <c r="I577" i="2" s="1"/>
  <c r="D548" i="2"/>
  <c r="F548" i="2"/>
  <c r="H553" i="2"/>
  <c r="I553" i="2" s="1"/>
  <c r="J553" i="2"/>
  <c r="D405" i="2"/>
  <c r="F405" i="2"/>
  <c r="J350" i="2"/>
  <c r="H350" i="2"/>
  <c r="I350" i="2" s="1"/>
  <c r="D168" i="2"/>
  <c r="F168" i="2"/>
  <c r="D75" i="2"/>
  <c r="F75" i="2"/>
  <c r="F104" i="2"/>
  <c r="D104" i="2"/>
  <c r="H585" i="2"/>
  <c r="J585" i="2"/>
  <c r="D39" i="2"/>
  <c r="F39" i="2"/>
  <c r="F408" i="2"/>
  <c r="D408" i="2"/>
  <c r="H424" i="2"/>
  <c r="J424" i="2"/>
  <c r="J531" i="2"/>
  <c r="H531" i="2"/>
  <c r="I531" i="2" s="1"/>
  <c r="D303" i="2"/>
  <c r="F303" i="2"/>
  <c r="H601" i="2"/>
  <c r="I601" i="2" s="1"/>
  <c r="J601" i="2"/>
  <c r="D302" i="2"/>
  <c r="F302" i="2"/>
  <c r="D263" i="2"/>
  <c r="F263" i="2"/>
  <c r="H672" i="2"/>
  <c r="J672" i="2"/>
  <c r="F617" i="2"/>
  <c r="D617" i="2"/>
  <c r="J184" i="2"/>
  <c r="H184" i="2"/>
  <c r="D633" i="2"/>
  <c r="F633" i="2"/>
  <c r="D621" i="2"/>
  <c r="F621" i="2"/>
  <c r="H530" i="2"/>
  <c r="I530" i="2" s="1"/>
  <c r="J530" i="2"/>
  <c r="J608" i="2"/>
  <c r="H608" i="2"/>
  <c r="F512" i="2"/>
  <c r="D512" i="2"/>
  <c r="H487" i="2"/>
  <c r="I487" i="2" s="1"/>
  <c r="J487" i="2"/>
  <c r="F446" i="2"/>
  <c r="D446" i="2"/>
  <c r="F334" i="2"/>
  <c r="D334" i="2"/>
  <c r="H299" i="2"/>
  <c r="J299" i="2"/>
  <c r="D102" i="2"/>
  <c r="F102" i="2"/>
  <c r="H57" i="2"/>
  <c r="J57" i="2"/>
  <c r="D94" i="2"/>
  <c r="F94" i="2"/>
  <c r="F35" i="2"/>
  <c r="D35" i="2"/>
  <c r="E35" i="2" s="1"/>
  <c r="H363" i="2"/>
  <c r="I363" i="2" s="1"/>
  <c r="J363" i="2"/>
  <c r="J21" i="2"/>
  <c r="H21" i="2"/>
  <c r="I21" i="2" s="1"/>
  <c r="H622" i="2"/>
  <c r="I622" i="2" s="1"/>
  <c r="J622" i="2"/>
  <c r="J136" i="2"/>
  <c r="H136" i="2"/>
  <c r="D67" i="2"/>
  <c r="F67" i="2"/>
  <c r="H253" i="2"/>
  <c r="I253" i="2" s="1"/>
  <c r="J253" i="2"/>
  <c r="H27" i="2"/>
  <c r="J27" i="2"/>
  <c r="D49" i="2"/>
  <c r="F49" i="2"/>
  <c r="D92" i="2"/>
  <c r="F92" i="2"/>
  <c r="F277" i="2"/>
  <c r="D277" i="2"/>
  <c r="H70" i="2"/>
  <c r="J70" i="2"/>
  <c r="F344" i="2"/>
  <c r="D344" i="2"/>
  <c r="F634" i="2"/>
  <c r="D634" i="2"/>
  <c r="F284" i="2"/>
  <c r="D284" i="2"/>
  <c r="F420" i="2"/>
  <c r="D420" i="2"/>
  <c r="H276" i="2"/>
  <c r="J276" i="2"/>
  <c r="F392" i="2"/>
  <c r="D392" i="2"/>
  <c r="F614" i="2"/>
  <c r="D614" i="2"/>
  <c r="F234" i="2"/>
  <c r="D234" i="2"/>
  <c r="D379" i="2"/>
  <c r="F379" i="2"/>
  <c r="H425" i="2"/>
  <c r="I425" i="2" s="1"/>
  <c r="J425" i="2"/>
  <c r="J261" i="2"/>
  <c r="H261" i="2"/>
  <c r="D431" i="2"/>
  <c r="F431" i="2"/>
  <c r="D186" i="2"/>
  <c r="F186" i="2"/>
  <c r="J281" i="2"/>
  <c r="H281" i="2"/>
  <c r="I281" i="2" s="1"/>
  <c r="J515" i="2"/>
  <c r="H515" i="2"/>
  <c r="I515" i="2" s="1"/>
  <c r="D642" i="2"/>
  <c r="F642" i="2"/>
  <c r="F671" i="2"/>
  <c r="D671" i="2"/>
  <c r="D122" i="2"/>
  <c r="F122" i="2"/>
  <c r="D427" i="2"/>
  <c r="F427" i="2"/>
  <c r="H632" i="2"/>
  <c r="I632" i="2" s="1"/>
  <c r="J632" i="2"/>
  <c r="D555" i="2"/>
  <c r="F555" i="2"/>
  <c r="J167" i="2"/>
  <c r="H167" i="2"/>
  <c r="D329" i="2"/>
  <c r="F329" i="2"/>
  <c r="F666" i="2"/>
  <c r="D666" i="2"/>
  <c r="F400" i="2"/>
  <c r="D400" i="2"/>
  <c r="H142" i="2"/>
  <c r="J142" i="2"/>
  <c r="J143" i="2"/>
  <c r="H143" i="2"/>
  <c r="I143" i="2" s="1"/>
  <c r="D306" i="2"/>
  <c r="F306" i="2"/>
  <c r="F664" i="2"/>
  <c r="D664" i="2"/>
  <c r="D652" i="2"/>
  <c r="F652" i="2"/>
  <c r="J590" i="2"/>
  <c r="H590" i="2"/>
  <c r="I590" i="2" s="1"/>
  <c r="D200" i="2"/>
  <c r="F200" i="2"/>
  <c r="D361" i="2"/>
  <c r="F361" i="2"/>
  <c r="J630" i="2"/>
  <c r="H630" i="2"/>
  <c r="I630" i="2" s="1"/>
  <c r="F545" i="2"/>
  <c r="D545" i="2"/>
  <c r="H686" i="2"/>
  <c r="J686" i="2"/>
  <c r="J89" i="2"/>
  <c r="H89" i="2"/>
  <c r="H407" i="2"/>
  <c r="J407" i="2"/>
  <c r="H441" i="2"/>
  <c r="I441" i="2" s="1"/>
  <c r="J441" i="2"/>
  <c r="F598" i="2"/>
  <c r="D598" i="2"/>
  <c r="J175" i="2"/>
  <c r="H175" i="2"/>
  <c r="F404" i="2"/>
  <c r="D404" i="2"/>
  <c r="H621" i="2"/>
  <c r="J621" i="2"/>
  <c r="H683" i="2"/>
  <c r="J683" i="2"/>
  <c r="J677" i="2"/>
  <c r="H677" i="2"/>
  <c r="J426" i="2"/>
  <c r="H426" i="2"/>
  <c r="F673" i="2"/>
  <c r="D673" i="2"/>
  <c r="F669" i="2"/>
  <c r="D669" i="2"/>
  <c r="J529" i="2"/>
  <c r="H529" i="2"/>
  <c r="D603" i="2"/>
  <c r="F603" i="2"/>
  <c r="J476" i="2"/>
  <c r="H476" i="2"/>
  <c r="J528" i="2"/>
  <c r="H528" i="2"/>
  <c r="I528" i="2" s="1"/>
  <c r="D588" i="2"/>
  <c r="F588" i="2"/>
  <c r="D648" i="2"/>
  <c r="F648" i="2"/>
  <c r="J596" i="2"/>
  <c r="H596" i="2"/>
  <c r="I596" i="2" s="1"/>
  <c r="D551" i="2"/>
  <c r="F551" i="2"/>
  <c r="F643" i="2"/>
  <c r="D643" i="2"/>
  <c r="D589" i="2"/>
  <c r="F589" i="2"/>
  <c r="F546" i="2"/>
  <c r="D546" i="2"/>
  <c r="H340" i="2"/>
  <c r="J340" i="2"/>
  <c r="J668" i="2"/>
  <c r="H668" i="2"/>
  <c r="J627" i="2"/>
  <c r="H627" i="2"/>
  <c r="I627" i="2" s="1"/>
  <c r="F562" i="2"/>
  <c r="D562" i="2"/>
  <c r="D413" i="2"/>
  <c r="F413" i="2"/>
  <c r="H575" i="2"/>
  <c r="I575" i="2" s="1"/>
  <c r="J575" i="2"/>
  <c r="J628" i="2"/>
  <c r="H628" i="2"/>
  <c r="I628" i="2" s="1"/>
  <c r="H691" i="2"/>
  <c r="I691" i="2" s="1"/>
  <c r="J691" i="2"/>
  <c r="D649" i="2"/>
  <c r="F649" i="2"/>
  <c r="H620" i="2"/>
  <c r="I620" i="2" s="1"/>
  <c r="J620" i="2"/>
  <c r="J584" i="2"/>
  <c r="H584" i="2"/>
  <c r="D564" i="2"/>
  <c r="E564" i="2" s="1"/>
  <c r="F564" i="2"/>
  <c r="D505" i="2"/>
  <c r="F505" i="2"/>
  <c r="F514" i="2"/>
  <c r="D514" i="2"/>
  <c r="F476" i="2"/>
  <c r="D476" i="2"/>
  <c r="J458" i="2"/>
  <c r="H458" i="2"/>
  <c r="F422" i="2"/>
  <c r="D422" i="2"/>
  <c r="J364" i="2"/>
  <c r="H364" i="2"/>
  <c r="I364" i="2" s="1"/>
  <c r="D276" i="2"/>
  <c r="F276" i="2"/>
  <c r="D497" i="2"/>
  <c r="F497" i="2"/>
  <c r="F466" i="2"/>
  <c r="D466" i="2"/>
  <c r="J446" i="2"/>
  <c r="H446" i="2"/>
  <c r="F366" i="2"/>
  <c r="D366" i="2"/>
  <c r="F250" i="2"/>
  <c r="D250" i="2"/>
  <c r="D495" i="2"/>
  <c r="F495" i="2"/>
  <c r="F450" i="2"/>
  <c r="D450" i="2"/>
  <c r="D406" i="2"/>
  <c r="F406" i="2"/>
  <c r="J361" i="2"/>
  <c r="H361" i="2"/>
  <c r="I361" i="2" s="1"/>
  <c r="F314" i="2"/>
  <c r="D314" i="2"/>
  <c r="F510" i="2"/>
  <c r="D510" i="2"/>
  <c r="H479" i="2"/>
  <c r="J479" i="2"/>
  <c r="H427" i="2"/>
  <c r="I427" i="2" s="1"/>
  <c r="J427" i="2"/>
  <c r="J374" i="2"/>
  <c r="H374" i="2"/>
  <c r="I374" i="2" s="1"/>
  <c r="D228" i="2"/>
  <c r="F228" i="2"/>
  <c r="F504" i="2"/>
  <c r="D504" i="2"/>
  <c r="H471" i="2"/>
  <c r="J471" i="2"/>
  <c r="H455" i="2"/>
  <c r="I455" i="2" s="1"/>
  <c r="J455" i="2"/>
  <c r="H404" i="2"/>
  <c r="I404" i="2" s="1"/>
  <c r="J404" i="2"/>
  <c r="J362" i="2"/>
  <c r="H362" i="2"/>
  <c r="I362" i="2" s="1"/>
  <c r="D257" i="2"/>
  <c r="F257" i="2"/>
  <c r="F498" i="2"/>
  <c r="D498" i="2"/>
  <c r="F465" i="2"/>
  <c r="D465" i="2"/>
  <c r="H449" i="2"/>
  <c r="I449" i="2" s="1"/>
  <c r="J449" i="2"/>
  <c r="J376" i="2"/>
  <c r="H376" i="2"/>
  <c r="I376" i="2" s="1"/>
  <c r="H313" i="2"/>
  <c r="I313" i="2" s="1"/>
  <c r="J313" i="2"/>
  <c r="J516" i="2"/>
  <c r="H516" i="2"/>
  <c r="I516" i="2" s="1"/>
  <c r="F490" i="2"/>
  <c r="D490" i="2"/>
  <c r="J397" i="2"/>
  <c r="H397" i="2"/>
  <c r="I397" i="2" s="1"/>
  <c r="F358" i="2"/>
  <c r="D358" i="2"/>
  <c r="D309" i="2"/>
  <c r="F309" i="2"/>
  <c r="H206" i="2"/>
  <c r="J206" i="2"/>
  <c r="J157" i="2"/>
  <c r="H157" i="2"/>
  <c r="D109" i="2"/>
  <c r="F109" i="2"/>
  <c r="H247" i="2"/>
  <c r="J247" i="2"/>
  <c r="H178" i="2"/>
  <c r="I178" i="2" s="1"/>
  <c r="J178" i="2"/>
  <c r="D88" i="2"/>
  <c r="F88" i="2"/>
  <c r="F173" i="2"/>
  <c r="D173" i="2"/>
  <c r="J128" i="2"/>
  <c r="H128" i="2"/>
  <c r="J56" i="2"/>
  <c r="H56" i="2"/>
  <c r="H222" i="2"/>
  <c r="I222" i="2" s="1"/>
  <c r="J222" i="2"/>
  <c r="D164" i="2"/>
  <c r="F164" i="2"/>
  <c r="D125" i="2"/>
  <c r="F125" i="2"/>
  <c r="H329" i="2"/>
  <c r="J329" i="2"/>
  <c r="F299" i="2"/>
  <c r="D299" i="2"/>
  <c r="F235" i="2"/>
  <c r="D235" i="2"/>
  <c r="H195" i="2"/>
  <c r="I195" i="2" s="1"/>
  <c r="J195" i="2"/>
  <c r="F149" i="2"/>
  <c r="D149" i="2"/>
  <c r="H90" i="2"/>
  <c r="J90" i="2"/>
  <c r="D319" i="2"/>
  <c r="F319" i="2"/>
  <c r="J274" i="2"/>
  <c r="H274" i="2"/>
  <c r="I274" i="2" s="1"/>
  <c r="D214" i="2"/>
  <c r="F214" i="2"/>
  <c r="J181" i="2"/>
  <c r="H181" i="2"/>
  <c r="H139" i="2"/>
  <c r="J139" i="2"/>
  <c r="J334" i="2"/>
  <c r="H334" i="2"/>
  <c r="I334" i="2" s="1"/>
  <c r="H244" i="2"/>
  <c r="I244" i="2" s="1"/>
  <c r="J244" i="2"/>
  <c r="J193" i="2"/>
  <c r="H193" i="2"/>
  <c r="I193" i="2" s="1"/>
  <c r="F117" i="2"/>
  <c r="D117" i="2"/>
  <c r="D312" i="2"/>
  <c r="F312" i="2"/>
  <c r="D242" i="2"/>
  <c r="F242" i="2"/>
  <c r="F181" i="2"/>
  <c r="D181" i="2"/>
  <c r="J119" i="2"/>
  <c r="H119" i="2"/>
  <c r="D34" i="2"/>
  <c r="F34" i="2"/>
  <c r="H94" i="2"/>
  <c r="I94" i="2" s="1"/>
  <c r="J94" i="2"/>
  <c r="F95" i="2"/>
  <c r="D95" i="2"/>
  <c r="H447" i="2"/>
  <c r="I447" i="2" s="1"/>
  <c r="J447" i="2"/>
  <c r="H238" i="2"/>
  <c r="I238" i="2" s="1"/>
  <c r="J238" i="2"/>
  <c r="D626" i="2"/>
  <c r="F626" i="2"/>
  <c r="D281" i="2"/>
  <c r="F281" i="2"/>
  <c r="D523" i="2"/>
  <c r="F523" i="2"/>
  <c r="H549" i="2"/>
  <c r="I549" i="2" s="1"/>
  <c r="J549" i="2"/>
  <c r="D341" i="2"/>
  <c r="F341" i="2"/>
  <c r="J151" i="2"/>
  <c r="H151" i="2"/>
  <c r="D240" i="2"/>
  <c r="F240" i="2"/>
  <c r="D625" i="2"/>
  <c r="F625" i="2"/>
  <c r="H586" i="2"/>
  <c r="I586" i="2" s="1"/>
  <c r="J586" i="2"/>
  <c r="J629" i="2"/>
  <c r="H629" i="2"/>
  <c r="I629" i="2" s="1"/>
  <c r="D661" i="2"/>
  <c r="F661" i="2"/>
  <c r="J684" i="2"/>
  <c r="H684" i="2"/>
  <c r="D503" i="2"/>
  <c r="F503" i="2"/>
  <c r="J342" i="2"/>
  <c r="H342" i="2"/>
  <c r="I342" i="2" s="1"/>
  <c r="J233" i="2"/>
  <c r="H233" i="2"/>
  <c r="I233" i="2" s="1"/>
  <c r="D37" i="2"/>
  <c r="F37" i="2"/>
  <c r="D32" i="2"/>
  <c r="F32" i="2"/>
  <c r="J29" i="2"/>
  <c r="H29" i="2"/>
  <c r="I29" i="2" s="1"/>
  <c r="H41" i="2"/>
  <c r="I41" i="2" s="1"/>
  <c r="J41" i="2"/>
  <c r="D116" i="2"/>
  <c r="F116" i="2"/>
  <c r="D120" i="2"/>
  <c r="F120" i="2"/>
  <c r="J231" i="2"/>
  <c r="H231" i="2"/>
  <c r="H227" i="2"/>
  <c r="J227" i="2"/>
  <c r="D676" i="2"/>
  <c r="F676" i="2"/>
  <c r="H223" i="2"/>
  <c r="I223" i="2" s="1"/>
  <c r="J223" i="2"/>
  <c r="H14" i="2"/>
  <c r="J14" i="2"/>
  <c r="J101" i="2"/>
  <c r="H101" i="2"/>
  <c r="H678" i="2"/>
  <c r="I678" i="2" s="1"/>
  <c r="J678" i="2"/>
  <c r="D343" i="2"/>
  <c r="F343" i="2"/>
  <c r="D333" i="2"/>
  <c r="F333" i="2"/>
  <c r="F364" i="2"/>
  <c r="D364" i="2"/>
  <c r="F569" i="2"/>
  <c r="D569" i="2"/>
  <c r="D599" i="2"/>
  <c r="F599" i="2"/>
  <c r="H554" i="2"/>
  <c r="I554" i="2" s="1"/>
  <c r="J554" i="2"/>
  <c r="D445" i="2"/>
  <c r="F445" i="2"/>
  <c r="J693" i="2"/>
  <c r="H693" i="2"/>
  <c r="I693" i="2" s="1"/>
  <c r="J474" i="2"/>
  <c r="H474" i="2"/>
  <c r="J543" i="2"/>
  <c r="H543" i="2"/>
  <c r="I543" i="2" s="1"/>
  <c r="H390" i="2"/>
  <c r="I390" i="2" s="1"/>
  <c r="J390" i="2"/>
  <c r="J344" i="2"/>
  <c r="H344" i="2"/>
  <c r="J326" i="2"/>
  <c r="H326" i="2"/>
  <c r="I326" i="2" s="1"/>
  <c r="J396" i="2"/>
  <c r="H396" i="2"/>
  <c r="I396" i="2" s="1"/>
  <c r="F444" i="2"/>
  <c r="D444" i="2"/>
  <c r="J413" i="2"/>
  <c r="H413" i="2"/>
  <c r="D386" i="2"/>
  <c r="F386" i="2"/>
  <c r="F157" i="2"/>
  <c r="D157" i="2"/>
  <c r="D69" i="2"/>
  <c r="F69" i="2"/>
  <c r="D126" i="2"/>
  <c r="F126" i="2"/>
  <c r="D20" i="2"/>
  <c r="F20" i="2"/>
  <c r="D160" i="2"/>
  <c r="E160" i="2" s="1"/>
  <c r="F160" i="2"/>
  <c r="D29" i="2"/>
  <c r="F29" i="2"/>
  <c r="F174" i="2"/>
  <c r="D174" i="2"/>
  <c r="D52" i="2"/>
  <c r="F52" i="2"/>
  <c r="F83" i="2"/>
  <c r="D83" i="2"/>
  <c r="H288" i="2"/>
  <c r="I288" i="2" s="1"/>
  <c r="J288" i="2"/>
  <c r="F79" i="2"/>
  <c r="D79" i="2"/>
  <c r="D216" i="2"/>
  <c r="F216" i="2"/>
  <c r="F27" i="2"/>
  <c r="D27" i="2"/>
  <c r="D82" i="2"/>
  <c r="F82" i="2"/>
  <c r="J20" i="2"/>
  <c r="H20" i="2"/>
  <c r="I20" i="2" s="1"/>
  <c r="J92" i="2"/>
  <c r="H92" i="2"/>
  <c r="F227" i="2"/>
  <c r="D227" i="2"/>
  <c r="H73" i="2"/>
  <c r="I73" i="2" s="1"/>
  <c r="J73" i="2"/>
  <c r="D172" i="2"/>
  <c r="F172" i="2"/>
  <c r="F73" i="2"/>
  <c r="D73" i="2"/>
  <c r="J183" i="2"/>
  <c r="H183" i="2"/>
  <c r="D283" i="2"/>
  <c r="F283" i="2"/>
  <c r="J582" i="2"/>
  <c r="H582" i="2"/>
  <c r="I582" i="2" s="1"/>
  <c r="F534" i="2"/>
  <c r="D534" i="2"/>
  <c r="H77" i="2"/>
  <c r="J77" i="2"/>
  <c r="H64" i="2"/>
  <c r="J64" i="2"/>
  <c r="F36" i="2"/>
  <c r="D36" i="2"/>
  <c r="F108" i="2"/>
  <c r="D108" i="2"/>
  <c r="H39" i="2"/>
  <c r="I39" i="2" s="1"/>
  <c r="J39" i="2"/>
  <c r="D103" i="2"/>
  <c r="F103" i="2"/>
  <c r="J248" i="2"/>
  <c r="H248" i="2"/>
  <c r="I248" i="2" s="1"/>
  <c r="D33" i="2"/>
  <c r="F33" i="2"/>
  <c r="H63" i="2"/>
  <c r="J63" i="2"/>
  <c r="H117" i="2"/>
  <c r="J117" i="2"/>
  <c r="H210" i="2"/>
  <c r="I210" i="2" s="1"/>
  <c r="J210" i="2"/>
  <c r="H58" i="2"/>
  <c r="J58" i="2"/>
  <c r="F47" i="2"/>
  <c r="D47" i="2"/>
  <c r="H72" i="2"/>
  <c r="I72" i="2" s="1"/>
  <c r="J72" i="2"/>
  <c r="D224" i="2"/>
  <c r="F224" i="2"/>
  <c r="F127" i="2"/>
  <c r="D127" i="2"/>
  <c r="J47" i="2"/>
  <c r="H47" i="2"/>
  <c r="D118" i="2"/>
  <c r="F118" i="2"/>
  <c r="H264" i="2"/>
  <c r="I264" i="2" s="1"/>
  <c r="J264" i="2"/>
  <c r="H212" i="2"/>
  <c r="I212" i="2" s="1"/>
  <c r="J212" i="2"/>
  <c r="D41" i="2"/>
  <c r="E41" i="2" s="1"/>
  <c r="F41" i="2"/>
  <c r="J68" i="2"/>
  <c r="H68" i="2"/>
  <c r="I68" i="2" s="1"/>
  <c r="D290" i="2"/>
  <c r="F290" i="2"/>
  <c r="F87" i="2"/>
  <c r="D87" i="2"/>
  <c r="J59" i="2"/>
  <c r="H59" i="2"/>
  <c r="D100" i="2"/>
  <c r="F100" i="2"/>
  <c r="J172" i="2"/>
  <c r="H172" i="2"/>
  <c r="D609" i="2"/>
  <c r="F609" i="2"/>
  <c r="J300" i="2"/>
  <c r="H300" i="2"/>
  <c r="I300" i="2" s="1"/>
  <c r="J542" i="2"/>
  <c r="H542" i="2"/>
  <c r="I542" i="2" s="1"/>
  <c r="D243" i="2"/>
  <c r="F243" i="2"/>
  <c r="J328" i="2"/>
  <c r="H328" i="2"/>
  <c r="J563" i="2"/>
  <c r="H563" i="2"/>
  <c r="I563" i="2" s="1"/>
  <c r="F375" i="2"/>
  <c r="D375" i="2"/>
  <c r="D261" i="2"/>
  <c r="F261" i="2"/>
  <c r="F424" i="2"/>
  <c r="D424" i="2"/>
  <c r="J132" i="2"/>
  <c r="H132" i="2"/>
  <c r="H275" i="2"/>
  <c r="J275" i="2"/>
  <c r="J539" i="2"/>
  <c r="H539" i="2"/>
  <c r="H433" i="2"/>
  <c r="I433" i="2" s="1"/>
  <c r="J433" i="2"/>
  <c r="H292" i="2"/>
  <c r="J292" i="2"/>
  <c r="H443" i="2"/>
  <c r="I443" i="2" s="1"/>
  <c r="J443" i="2"/>
  <c r="F368" i="2"/>
  <c r="D368" i="2"/>
  <c r="H291" i="2"/>
  <c r="I291" i="2" s="1"/>
  <c r="J291" i="2"/>
  <c r="H639" i="2"/>
  <c r="I639" i="2" s="1"/>
  <c r="J639" i="2"/>
  <c r="J598" i="2"/>
  <c r="H598" i="2"/>
  <c r="H664" i="2"/>
  <c r="J664" i="2"/>
  <c r="F152" i="2"/>
  <c r="D152" i="2"/>
  <c r="E152" i="2" s="1"/>
  <c r="D301" i="2"/>
  <c r="F301" i="2"/>
  <c r="F639" i="2"/>
  <c r="D639" i="2"/>
  <c r="F590" i="2"/>
  <c r="D590" i="2"/>
  <c r="F119" i="2"/>
  <c r="D119" i="2"/>
  <c r="H431" i="2"/>
  <c r="I431" i="2" s="1"/>
  <c r="J431" i="2"/>
  <c r="D563" i="2"/>
  <c r="F563" i="2"/>
  <c r="H654" i="2"/>
  <c r="J654" i="2"/>
  <c r="F99" i="2"/>
  <c r="D99" i="2"/>
  <c r="F279" i="2"/>
  <c r="D279" i="2"/>
  <c r="F340" i="2"/>
  <c r="D340" i="2"/>
  <c r="H557" i="2"/>
  <c r="I557" i="2" s="1"/>
  <c r="J557" i="2"/>
  <c r="F432" i="2"/>
  <c r="D432" i="2"/>
  <c r="D605" i="2"/>
  <c r="F605" i="2"/>
  <c r="F146" i="2"/>
  <c r="D146" i="2"/>
  <c r="F332" i="2"/>
  <c r="D332" i="2"/>
  <c r="D419" i="2"/>
  <c r="F419" i="2"/>
  <c r="J518" i="2"/>
  <c r="H518" i="2"/>
  <c r="I518" i="2" s="1"/>
  <c r="F585" i="2"/>
  <c r="D585" i="2"/>
  <c r="J108" i="2"/>
  <c r="H108" i="2"/>
  <c r="F372" i="2"/>
  <c r="D372" i="2"/>
  <c r="E372" i="2" s="1"/>
  <c r="F360" i="2"/>
  <c r="D360" i="2"/>
  <c r="F550" i="2"/>
  <c r="D550" i="2"/>
  <c r="J93" i="2"/>
  <c r="H93" i="2"/>
  <c r="H415" i="2"/>
  <c r="I415" i="2" s="1"/>
  <c r="J415" i="2"/>
  <c r="D611" i="2"/>
  <c r="F611" i="2"/>
  <c r="J660" i="2"/>
  <c r="H660" i="2"/>
  <c r="F610" i="2"/>
  <c r="D610" i="2"/>
  <c r="D608" i="2"/>
  <c r="F608" i="2"/>
  <c r="J661" i="2"/>
  <c r="H661" i="2"/>
  <c r="I661" i="2" s="1"/>
  <c r="F635" i="2"/>
  <c r="D635" i="2"/>
  <c r="F486" i="2"/>
  <c r="D486" i="2"/>
  <c r="D595" i="2"/>
  <c r="F595" i="2"/>
  <c r="J434" i="2"/>
  <c r="H434" i="2"/>
  <c r="H521" i="2"/>
  <c r="I521" i="2" s="1"/>
  <c r="J521" i="2"/>
  <c r="D580" i="2"/>
  <c r="F580" i="2"/>
  <c r="J643" i="2"/>
  <c r="H643" i="2"/>
  <c r="I643" i="2" s="1"/>
  <c r="J591" i="2"/>
  <c r="H591" i="2"/>
  <c r="I591" i="2" s="1"/>
  <c r="D536" i="2"/>
  <c r="F536" i="2"/>
  <c r="F638" i="2"/>
  <c r="D638" i="2"/>
  <c r="D581" i="2"/>
  <c r="F581" i="2"/>
  <c r="D544" i="2"/>
  <c r="E544" i="2" s="1"/>
  <c r="F544" i="2"/>
  <c r="H230" i="2"/>
  <c r="I230" i="2" s="1"/>
  <c r="J230" i="2"/>
  <c r="J665" i="2"/>
  <c r="H665" i="2"/>
  <c r="I665" i="2" s="1"/>
  <c r="H624" i="2"/>
  <c r="I624" i="2" s="1"/>
  <c r="J624" i="2"/>
  <c r="D560" i="2"/>
  <c r="E560" i="2" s="1"/>
  <c r="F560" i="2"/>
  <c r="J649" i="2"/>
  <c r="H649" i="2"/>
  <c r="I649" i="2" s="1"/>
  <c r="D552" i="2"/>
  <c r="F552" i="2"/>
  <c r="H618" i="2"/>
  <c r="I618" i="2" s="1"/>
  <c r="J618" i="2"/>
  <c r="J685" i="2"/>
  <c r="H685" i="2"/>
  <c r="F646" i="2"/>
  <c r="D646" i="2"/>
  <c r="D619" i="2"/>
  <c r="F619" i="2"/>
  <c r="H583" i="2"/>
  <c r="I583" i="2" s="1"/>
  <c r="J583" i="2"/>
  <c r="D557" i="2"/>
  <c r="F557" i="2"/>
  <c r="J346" i="2"/>
  <c r="H346" i="2"/>
  <c r="I346" i="2" s="1"/>
  <c r="J512" i="2"/>
  <c r="H512" i="2"/>
  <c r="I512" i="2" s="1"/>
  <c r="F474" i="2"/>
  <c r="D474" i="2"/>
  <c r="J456" i="2"/>
  <c r="H456" i="2"/>
  <c r="I456" i="2" s="1"/>
  <c r="D414" i="2"/>
  <c r="F414" i="2"/>
  <c r="J353" i="2"/>
  <c r="H353" i="2"/>
  <c r="I353" i="2" s="1"/>
  <c r="F262" i="2"/>
  <c r="D262" i="2"/>
  <c r="H495" i="2"/>
  <c r="I495" i="2" s="1"/>
  <c r="J495" i="2"/>
  <c r="F464" i="2"/>
  <c r="D464" i="2"/>
  <c r="F438" i="2"/>
  <c r="D438" i="2"/>
  <c r="H359" i="2"/>
  <c r="I359" i="2" s="1"/>
  <c r="J359" i="2"/>
  <c r="J237" i="2"/>
  <c r="H237" i="2"/>
  <c r="I237" i="2" s="1"/>
  <c r="D493" i="2"/>
  <c r="F493" i="2"/>
  <c r="J448" i="2"/>
  <c r="H448" i="2"/>
  <c r="I448" i="2" s="1"/>
  <c r="J402" i="2"/>
  <c r="H402" i="2"/>
  <c r="I402" i="2" s="1"/>
  <c r="J354" i="2"/>
  <c r="H354" i="2"/>
  <c r="I354" i="2" s="1"/>
  <c r="F310" i="2"/>
  <c r="D310" i="2"/>
  <c r="F508" i="2"/>
  <c r="D508" i="2"/>
  <c r="H477" i="2"/>
  <c r="J477" i="2"/>
  <c r="D425" i="2"/>
  <c r="F425" i="2"/>
  <c r="J372" i="2"/>
  <c r="H372" i="2"/>
  <c r="I372" i="2" s="1"/>
  <c r="H546" i="2"/>
  <c r="I546" i="2" s="1"/>
  <c r="J546" i="2"/>
  <c r="J500" i="2"/>
  <c r="H500" i="2"/>
  <c r="H469" i="2"/>
  <c r="J469" i="2"/>
  <c r="H453" i="2"/>
  <c r="I453" i="2" s="1"/>
  <c r="J453" i="2"/>
  <c r="D402" i="2"/>
  <c r="F402" i="2"/>
  <c r="H356" i="2"/>
  <c r="I356" i="2" s="1"/>
  <c r="J356" i="2"/>
  <c r="D245" i="2"/>
  <c r="F245" i="2"/>
  <c r="J494" i="2"/>
  <c r="H494" i="2"/>
  <c r="I494" i="2" s="1"/>
  <c r="D463" i="2"/>
  <c r="F463" i="2"/>
  <c r="D437" i="2"/>
  <c r="F437" i="2"/>
  <c r="J367" i="2"/>
  <c r="H367" i="2"/>
  <c r="I367" i="2" s="1"/>
  <c r="H309" i="2"/>
  <c r="I309" i="2" s="1"/>
  <c r="J309" i="2"/>
  <c r="D511" i="2"/>
  <c r="F511" i="2"/>
  <c r="J486" i="2"/>
  <c r="H486" i="2"/>
  <c r="I486" i="2" s="1"/>
  <c r="H395" i="2"/>
  <c r="I395" i="2" s="1"/>
  <c r="J395" i="2"/>
  <c r="H351" i="2"/>
  <c r="I351" i="2" s="1"/>
  <c r="J351" i="2"/>
  <c r="F286" i="2"/>
  <c r="D286" i="2"/>
  <c r="H204" i="2"/>
  <c r="I204" i="2" s="1"/>
  <c r="J204" i="2"/>
  <c r="H146" i="2"/>
  <c r="J146" i="2"/>
  <c r="H98" i="2"/>
  <c r="I98" i="2" s="1"/>
  <c r="J98" i="2"/>
  <c r="F221" i="2"/>
  <c r="D221" i="2"/>
  <c r="F163" i="2"/>
  <c r="D163" i="2"/>
  <c r="D85" i="2"/>
  <c r="F85" i="2"/>
  <c r="F171" i="2"/>
  <c r="D171" i="2"/>
  <c r="J125" i="2"/>
  <c r="H125" i="2"/>
  <c r="H40" i="2"/>
  <c r="I40" i="2" s="1"/>
  <c r="J40" i="2"/>
  <c r="D212" i="2"/>
  <c r="F212" i="2"/>
  <c r="D161" i="2"/>
  <c r="F161" i="2"/>
  <c r="F93" i="2"/>
  <c r="D93" i="2"/>
  <c r="D327" i="2"/>
  <c r="F327" i="2"/>
  <c r="D293" i="2"/>
  <c r="F293" i="2"/>
  <c r="D225" i="2"/>
  <c r="F225" i="2"/>
  <c r="D192" i="2"/>
  <c r="F192" i="2"/>
  <c r="J144" i="2"/>
  <c r="H144" i="2"/>
  <c r="I144" i="2" s="1"/>
  <c r="F81" i="2"/>
  <c r="D81" i="2"/>
  <c r="D315" i="2"/>
  <c r="F315" i="2"/>
  <c r="D266" i="2"/>
  <c r="F266" i="2"/>
  <c r="H211" i="2"/>
  <c r="J211" i="2"/>
  <c r="J179" i="2"/>
  <c r="H179" i="2"/>
  <c r="I179" i="2" s="1"/>
  <c r="J129" i="2"/>
  <c r="H129" i="2"/>
  <c r="J320" i="2"/>
  <c r="H320" i="2"/>
  <c r="I320" i="2" s="1"/>
  <c r="F239" i="2"/>
  <c r="D239" i="2"/>
  <c r="J189" i="2"/>
  <c r="H189" i="2"/>
  <c r="I189" i="2" s="1"/>
  <c r="F114" i="2"/>
  <c r="D114" i="2"/>
  <c r="J306" i="2"/>
  <c r="H306" i="2"/>
  <c r="H236" i="2"/>
  <c r="I236" i="2" s="1"/>
  <c r="J236" i="2"/>
  <c r="D177" i="2"/>
  <c r="F177" i="2"/>
  <c r="D101" i="2"/>
  <c r="F101" i="2"/>
  <c r="D30" i="2"/>
  <c r="F30" i="2"/>
  <c r="H49" i="2"/>
  <c r="J49" i="2"/>
  <c r="H130" i="2"/>
  <c r="J130" i="2"/>
  <c r="H243" i="2"/>
  <c r="J243" i="2"/>
  <c r="D353" i="2"/>
  <c r="F353" i="2"/>
  <c r="H371" i="2"/>
  <c r="I371" i="2" s="1"/>
  <c r="J371" i="2"/>
  <c r="H419" i="2"/>
  <c r="J419" i="2"/>
  <c r="D682" i="2"/>
  <c r="F682" i="2"/>
  <c r="J97" i="2"/>
  <c r="H97" i="2"/>
  <c r="F606" i="2"/>
  <c r="D606" i="2"/>
  <c r="F518" i="2"/>
  <c r="D518" i="2"/>
  <c r="J587" i="2"/>
  <c r="H587" i="2"/>
  <c r="I587" i="2" s="1"/>
  <c r="D111" i="2"/>
  <c r="F111" i="2"/>
  <c r="F583" i="2"/>
  <c r="D583" i="2"/>
  <c r="E583" i="2" s="1"/>
  <c r="H514" i="2"/>
  <c r="I514" i="2" s="1"/>
  <c r="J514" i="2"/>
  <c r="H634" i="2"/>
  <c r="J634" i="2"/>
  <c r="D556" i="2"/>
  <c r="F556" i="2"/>
  <c r="D615" i="2"/>
  <c r="F615" i="2"/>
  <c r="J470" i="2"/>
  <c r="H470" i="2"/>
  <c r="F462" i="2"/>
  <c r="D462" i="2"/>
  <c r="J436" i="2"/>
  <c r="H436" i="2"/>
  <c r="I436" i="2" s="1"/>
  <c r="J357" i="2"/>
  <c r="H357" i="2"/>
  <c r="I357" i="2" s="1"/>
  <c r="D491" i="2"/>
  <c r="E491" i="2" s="1"/>
  <c r="F491" i="2"/>
  <c r="F506" i="2"/>
  <c r="D506" i="2"/>
  <c r="H475" i="2"/>
  <c r="J475" i="2"/>
  <c r="H420" i="2"/>
  <c r="J420" i="2"/>
  <c r="J352" i="2"/>
  <c r="H352" i="2"/>
  <c r="I352" i="2" s="1"/>
  <c r="F538" i="2"/>
  <c r="D538" i="2"/>
  <c r="J498" i="2"/>
  <c r="H498" i="2"/>
  <c r="I498" i="2" s="1"/>
  <c r="H467" i="2"/>
  <c r="J467" i="2"/>
  <c r="H451" i="2"/>
  <c r="I451" i="2" s="1"/>
  <c r="J451" i="2"/>
  <c r="H386" i="2"/>
  <c r="I386" i="2" s="1"/>
  <c r="J386" i="2"/>
  <c r="D354" i="2"/>
  <c r="F354" i="2"/>
  <c r="D531" i="2"/>
  <c r="F531" i="2"/>
  <c r="J492" i="2"/>
  <c r="H492" i="2"/>
  <c r="I492" i="2" s="1"/>
  <c r="D461" i="2"/>
  <c r="F461" i="2"/>
  <c r="D429" i="2"/>
  <c r="F429" i="2"/>
  <c r="J358" i="2"/>
  <c r="H358" i="2"/>
  <c r="I358" i="2" s="1"/>
  <c r="H307" i="2"/>
  <c r="J307" i="2"/>
  <c r="H509" i="2"/>
  <c r="J509" i="2"/>
  <c r="J484" i="2"/>
  <c r="H484" i="2"/>
  <c r="I484" i="2" s="1"/>
  <c r="D393" i="2"/>
  <c r="F393" i="2"/>
  <c r="J349" i="2"/>
  <c r="H349" i="2"/>
  <c r="J262" i="2"/>
  <c r="H262" i="2"/>
  <c r="I262" i="2" s="1"/>
  <c r="D202" i="2"/>
  <c r="F202" i="2"/>
  <c r="F143" i="2"/>
  <c r="D143" i="2"/>
  <c r="F282" i="2"/>
  <c r="D282" i="2"/>
  <c r="D206" i="2"/>
  <c r="F206" i="2"/>
  <c r="J161" i="2"/>
  <c r="H161" i="2"/>
  <c r="I161" i="2" s="1"/>
  <c r="H44" i="2"/>
  <c r="I44" i="2" s="1"/>
  <c r="J44" i="2"/>
  <c r="J169" i="2"/>
  <c r="H169" i="2"/>
  <c r="D121" i="2"/>
  <c r="F121" i="2"/>
  <c r="H36" i="2"/>
  <c r="J36" i="2"/>
  <c r="D209" i="2"/>
  <c r="F209" i="2"/>
  <c r="F155" i="2"/>
  <c r="D155" i="2"/>
  <c r="F89" i="2"/>
  <c r="D89" i="2"/>
  <c r="H325" i="2"/>
  <c r="I325" i="2" s="1"/>
  <c r="J325" i="2"/>
  <c r="F278" i="2"/>
  <c r="D278" i="2"/>
  <c r="J217" i="2"/>
  <c r="H217" i="2"/>
  <c r="I217" i="2" s="1"/>
  <c r="F190" i="2"/>
  <c r="D190" i="2"/>
  <c r="D141" i="2"/>
  <c r="F141" i="2"/>
  <c r="D66" i="2"/>
  <c r="F66" i="2"/>
  <c r="D311" i="2"/>
  <c r="F311" i="2"/>
  <c r="D249" i="2"/>
  <c r="F249" i="2"/>
  <c r="D207" i="2"/>
  <c r="F207" i="2"/>
  <c r="J177" i="2"/>
  <c r="H177" i="2"/>
  <c r="I177" i="2" s="1"/>
  <c r="H106" i="2"/>
  <c r="J106" i="2"/>
  <c r="J316" i="2"/>
  <c r="H316" i="2"/>
  <c r="J232" i="2"/>
  <c r="H232" i="2"/>
  <c r="I232" i="2" s="1"/>
  <c r="F179" i="2"/>
  <c r="D179" i="2"/>
  <c r="E179" i="2" s="1"/>
  <c r="F90" i="2"/>
  <c r="D90" i="2"/>
  <c r="H282" i="2"/>
  <c r="I282" i="2" s="1"/>
  <c r="J282" i="2"/>
  <c r="D226" i="2"/>
  <c r="F226" i="2"/>
  <c r="H163" i="2"/>
  <c r="J163" i="2"/>
  <c r="J88" i="2"/>
  <c r="H88" i="2"/>
  <c r="H24" i="2"/>
  <c r="I24" i="2" s="1"/>
  <c r="J24" i="2"/>
  <c r="D107" i="2"/>
  <c r="F107" i="2"/>
  <c r="H194" i="2"/>
  <c r="I194" i="2" s="1"/>
  <c r="J194" i="2"/>
  <c r="D45" i="2"/>
  <c r="F45" i="2"/>
  <c r="J17" i="2"/>
  <c r="H17" i="2"/>
  <c r="F31" i="2"/>
  <c r="D31" i="2"/>
  <c r="J54" i="2"/>
  <c r="H54" i="2"/>
  <c r="J176" i="2"/>
  <c r="H176" i="2"/>
  <c r="I176" i="2" s="1"/>
  <c r="J53" i="2"/>
  <c r="H53" i="2"/>
  <c r="D60" i="2"/>
  <c r="F60" i="2"/>
  <c r="J156" i="2"/>
  <c r="H156" i="2"/>
  <c r="D347" i="2"/>
  <c r="E347" i="2" s="1"/>
  <c r="F347" i="2"/>
  <c r="H384" i="2"/>
  <c r="I384" i="2" s="1"/>
  <c r="J384" i="2"/>
  <c r="J79" i="2"/>
  <c r="H79" i="2"/>
  <c r="J124" i="2"/>
  <c r="H124" i="2"/>
  <c r="J290" i="2"/>
  <c r="H290" i="2"/>
  <c r="I290" i="2" s="1"/>
  <c r="D644" i="2"/>
  <c r="F644" i="2"/>
  <c r="D64" i="2"/>
  <c r="F64" i="2"/>
  <c r="F124" i="2"/>
  <c r="D124" i="2"/>
  <c r="H297" i="2"/>
  <c r="J297" i="2"/>
  <c r="D17" i="2"/>
  <c r="F17" i="2"/>
  <c r="H28" i="2"/>
  <c r="I28" i="2" s="1"/>
  <c r="J28" i="2"/>
  <c r="D72" i="2"/>
  <c r="F72" i="2"/>
  <c r="F144" i="2"/>
  <c r="D144" i="2"/>
  <c r="H15" i="2"/>
  <c r="J15" i="2"/>
  <c r="H78" i="2"/>
  <c r="J78" i="2"/>
  <c r="D112" i="2"/>
  <c r="F112" i="2"/>
  <c r="D267" i="2"/>
  <c r="F267" i="2"/>
  <c r="D238" i="2"/>
  <c r="F238" i="2"/>
  <c r="D339" i="2"/>
  <c r="F339" i="2"/>
  <c r="H662" i="2"/>
  <c r="I662" i="2" s="1"/>
  <c r="J662" i="2"/>
  <c r="H241" i="2"/>
  <c r="I241" i="2" s="1"/>
  <c r="J241" i="2"/>
  <c r="H392" i="2"/>
  <c r="I392" i="2" s="1"/>
  <c r="J392" i="2"/>
  <c r="H670" i="2"/>
  <c r="I670" i="2" s="1"/>
  <c r="J670" i="2"/>
  <c r="H215" i="2"/>
  <c r="J215" i="2"/>
  <c r="J284" i="2"/>
  <c r="H284" i="2"/>
  <c r="I284" i="2" s="1"/>
  <c r="D441" i="2"/>
  <c r="F441" i="2"/>
  <c r="F298" i="2"/>
  <c r="D298" i="2"/>
  <c r="D292" i="2"/>
  <c r="F292" i="2"/>
  <c r="H561" i="2"/>
  <c r="I561" i="2" s="1"/>
  <c r="J561" i="2"/>
  <c r="H234" i="2"/>
  <c r="I234" i="2" s="1"/>
  <c r="J234" i="2"/>
  <c r="F287" i="2"/>
  <c r="D287" i="2"/>
  <c r="J523" i="2"/>
  <c r="H523" i="2"/>
  <c r="H597" i="2"/>
  <c r="I597" i="2" s="1"/>
  <c r="J597" i="2"/>
  <c r="H355" i="2"/>
  <c r="I355" i="2" s="1"/>
  <c r="J355" i="2"/>
  <c r="H81" i="2"/>
  <c r="I81" i="2" s="1"/>
  <c r="J81" i="2"/>
  <c r="F561" i="2"/>
  <c r="D561" i="2"/>
  <c r="E561" i="2" s="1"/>
  <c r="H614" i="2"/>
  <c r="I614" i="2" s="1"/>
  <c r="J614" i="2"/>
  <c r="H109" i="2"/>
  <c r="J109" i="2"/>
  <c r="J417" i="2"/>
  <c r="H417" i="2"/>
  <c r="I417" i="2" s="1"/>
  <c r="H640" i="2"/>
  <c r="I640" i="2" s="1"/>
  <c r="J640" i="2"/>
  <c r="H46" i="2"/>
  <c r="J46" i="2"/>
  <c r="F271" i="2"/>
  <c r="D271" i="2"/>
  <c r="F428" i="2"/>
  <c r="D428" i="2"/>
  <c r="H573" i="2"/>
  <c r="I573" i="2" s="1"/>
  <c r="J573" i="2"/>
  <c r="H537" i="2"/>
  <c r="J537" i="2"/>
  <c r="H113" i="2"/>
  <c r="J113" i="2"/>
  <c r="D367" i="2"/>
  <c r="F367" i="2"/>
  <c r="H581" i="2"/>
  <c r="I581" i="2" s="1"/>
  <c r="J581" i="2"/>
  <c r="J534" i="2"/>
  <c r="H534" i="2"/>
  <c r="I534" i="2" s="1"/>
  <c r="F537" i="2"/>
  <c r="D537" i="2"/>
  <c r="F106" i="2"/>
  <c r="D106" i="2"/>
  <c r="H296" i="2"/>
  <c r="I296" i="2" s="1"/>
  <c r="J296" i="2"/>
  <c r="D351" i="2"/>
  <c r="F351" i="2"/>
  <c r="H671" i="2"/>
  <c r="I671" i="2" s="1"/>
  <c r="J671" i="2"/>
  <c r="J547" i="2"/>
  <c r="H547" i="2"/>
  <c r="I547" i="2" s="1"/>
  <c r="J595" i="2"/>
  <c r="H595" i="2"/>
  <c r="I595" i="2" s="1"/>
  <c r="D178" i="2"/>
  <c r="F178" i="2"/>
  <c r="F348" i="2"/>
  <c r="D348" i="2"/>
  <c r="F553" i="2"/>
  <c r="D553" i="2"/>
  <c r="H666" i="2"/>
  <c r="I666" i="2" s="1"/>
  <c r="J666" i="2"/>
  <c r="H245" i="2"/>
  <c r="I245" i="2" s="1"/>
  <c r="J245" i="2"/>
  <c r="H401" i="2"/>
  <c r="I401" i="2" s="1"/>
  <c r="J401" i="2"/>
  <c r="D381" i="2"/>
  <c r="F381" i="2"/>
  <c r="D597" i="2"/>
  <c r="F597" i="2"/>
  <c r="D689" i="2"/>
  <c r="F689" i="2"/>
  <c r="F543" i="2"/>
  <c r="D543" i="2"/>
  <c r="J644" i="2"/>
  <c r="H644" i="2"/>
  <c r="I644" i="2" s="1"/>
  <c r="J389" i="2"/>
  <c r="H389" i="2"/>
  <c r="F637" i="2"/>
  <c r="D637" i="2"/>
  <c r="F578" i="2"/>
  <c r="D578" i="2"/>
  <c r="H556" i="2"/>
  <c r="I556" i="2" s="1"/>
  <c r="J556" i="2"/>
  <c r="D507" i="2"/>
  <c r="F507" i="2"/>
  <c r="D685" i="2"/>
  <c r="F685" i="2"/>
  <c r="H626" i="2"/>
  <c r="J626" i="2"/>
  <c r="J567" i="2"/>
  <c r="H567" i="2"/>
  <c r="I567" i="2" s="1"/>
  <c r="J472" i="2"/>
  <c r="H472" i="2"/>
  <c r="F623" i="2"/>
  <c r="D623" i="2"/>
  <c r="J568" i="2"/>
  <c r="H568" i="2"/>
  <c r="I568" i="2" s="1"/>
  <c r="H503" i="2"/>
  <c r="I503" i="2" s="1"/>
  <c r="J503" i="2"/>
  <c r="D653" i="2"/>
  <c r="F653" i="2"/>
  <c r="D604" i="2"/>
  <c r="F604" i="2"/>
  <c r="H538" i="2"/>
  <c r="J538" i="2"/>
  <c r="J637" i="2"/>
  <c r="H637" i="2"/>
  <c r="I637" i="2" s="1"/>
  <c r="H519" i="2"/>
  <c r="I519" i="2" s="1"/>
  <c r="J519" i="2"/>
  <c r="F586" i="2"/>
  <c r="D586" i="2"/>
  <c r="J676" i="2"/>
  <c r="H676" i="2"/>
  <c r="J635" i="2"/>
  <c r="H635" i="2"/>
  <c r="I635" i="2" s="1"/>
  <c r="J612" i="2"/>
  <c r="H612" i="2"/>
  <c r="H578" i="2"/>
  <c r="I578" i="2" s="1"/>
  <c r="J578" i="2"/>
  <c r="H545" i="2"/>
  <c r="I545" i="2" s="1"/>
  <c r="J545" i="2"/>
  <c r="D547" i="2"/>
  <c r="F547" i="2"/>
  <c r="H501" i="2"/>
  <c r="I501" i="2" s="1"/>
  <c r="J501" i="2"/>
  <c r="J468" i="2"/>
  <c r="H468" i="2"/>
  <c r="J452" i="2"/>
  <c r="H452" i="2"/>
  <c r="I452" i="2" s="1"/>
  <c r="D397" i="2"/>
  <c r="F397" i="2"/>
  <c r="F330" i="2"/>
  <c r="D330" i="2"/>
  <c r="D516" i="2"/>
  <c r="E516" i="2" s="1"/>
  <c r="F516" i="2"/>
  <c r="H491" i="2"/>
  <c r="I491" i="2" s="1"/>
  <c r="J491" i="2"/>
  <c r="F460" i="2"/>
  <c r="D460" i="2"/>
  <c r="D434" i="2"/>
  <c r="F434" i="2"/>
  <c r="H348" i="2"/>
  <c r="I348" i="2" s="1"/>
  <c r="J348" i="2"/>
  <c r="F532" i="2"/>
  <c r="D532" i="2"/>
  <c r="D489" i="2"/>
  <c r="F489" i="2"/>
  <c r="F440" i="2"/>
  <c r="D440" i="2"/>
  <c r="J394" i="2"/>
  <c r="H394" i="2"/>
  <c r="I394" i="2" s="1"/>
  <c r="D346" i="2"/>
  <c r="F346" i="2"/>
  <c r="F289" i="2"/>
  <c r="D289" i="2"/>
  <c r="J502" i="2"/>
  <c r="H502" i="2"/>
  <c r="I502" i="2" s="1"/>
  <c r="H473" i="2"/>
  <c r="J473" i="2"/>
  <c r="D418" i="2"/>
  <c r="F418" i="2"/>
  <c r="F350" i="2"/>
  <c r="D350" i="2"/>
  <c r="D533" i="2"/>
  <c r="F533" i="2"/>
  <c r="J496" i="2"/>
  <c r="H496" i="2"/>
  <c r="I496" i="2" s="1"/>
  <c r="H465" i="2"/>
  <c r="I465" i="2" s="1"/>
  <c r="J465" i="2"/>
  <c r="F448" i="2"/>
  <c r="D448" i="2"/>
  <c r="D385" i="2"/>
  <c r="F385" i="2"/>
  <c r="H343" i="2"/>
  <c r="J343" i="2"/>
  <c r="F522" i="2"/>
  <c r="D522" i="2"/>
  <c r="J490" i="2"/>
  <c r="H490" i="2"/>
  <c r="I490" i="2" s="1"/>
  <c r="F459" i="2"/>
  <c r="D459" i="2"/>
  <c r="H422" i="2"/>
  <c r="J422" i="2"/>
  <c r="J345" i="2"/>
  <c r="H345" i="2"/>
  <c r="I345" i="2" s="1"/>
  <c r="F304" i="2"/>
  <c r="D304" i="2"/>
  <c r="H507" i="2"/>
  <c r="J507" i="2"/>
  <c r="J482" i="2"/>
  <c r="H482" i="2"/>
  <c r="I482" i="2" s="1"/>
  <c r="H388" i="2"/>
  <c r="I388" i="2" s="1"/>
  <c r="J388" i="2"/>
  <c r="H335" i="2"/>
  <c r="I335" i="2" s="1"/>
  <c r="J335" i="2"/>
  <c r="D236" i="2"/>
  <c r="F236" i="2"/>
  <c r="D193" i="2"/>
  <c r="F193" i="2"/>
  <c r="J140" i="2"/>
  <c r="H140" i="2"/>
  <c r="F264" i="2"/>
  <c r="D264" i="2"/>
  <c r="D204" i="2"/>
  <c r="F204" i="2"/>
  <c r="J155" i="2"/>
  <c r="H155" i="2"/>
  <c r="I155" i="2" s="1"/>
  <c r="F215" i="2"/>
  <c r="D215" i="2"/>
  <c r="F167" i="2"/>
  <c r="D167" i="2"/>
  <c r="H115" i="2"/>
  <c r="J115" i="2"/>
  <c r="H256" i="2"/>
  <c r="J256" i="2"/>
  <c r="H205" i="2"/>
  <c r="I205" i="2" s="1"/>
  <c r="J205" i="2"/>
  <c r="J153" i="2"/>
  <c r="H153" i="2"/>
  <c r="I153" i="2" s="1"/>
  <c r="F50" i="2"/>
  <c r="D50" i="2"/>
  <c r="H319" i="2"/>
  <c r="I319" i="2" s="1"/>
  <c r="J319" i="2"/>
  <c r="F270" i="2"/>
  <c r="D270" i="2"/>
  <c r="H214" i="2"/>
  <c r="I214" i="2" s="1"/>
  <c r="J214" i="2"/>
  <c r="J188" i="2"/>
  <c r="H188" i="2"/>
  <c r="D137" i="2"/>
  <c r="F137" i="2"/>
  <c r="D26" i="2"/>
  <c r="F26" i="2"/>
  <c r="J308" i="2"/>
  <c r="H308" i="2"/>
  <c r="D246" i="2"/>
  <c r="E246" i="2" s="1"/>
  <c r="F246" i="2"/>
  <c r="D203" i="2"/>
  <c r="F203" i="2"/>
  <c r="H170" i="2"/>
  <c r="I170" i="2" s="1"/>
  <c r="J170" i="2"/>
  <c r="D96" i="2"/>
  <c r="F96" i="2"/>
  <c r="J312" i="2"/>
  <c r="H312" i="2"/>
  <c r="F229" i="2"/>
  <c r="D229" i="2"/>
  <c r="H165" i="2"/>
  <c r="J165" i="2"/>
  <c r="H86" i="2"/>
  <c r="J86" i="2"/>
  <c r="H279" i="2"/>
  <c r="J279" i="2"/>
  <c r="J213" i="2"/>
  <c r="H213" i="2"/>
  <c r="I213" i="2" s="1"/>
  <c r="D148" i="2"/>
  <c r="F148" i="2"/>
  <c r="D86" i="2"/>
  <c r="F86" i="2"/>
  <c r="H16" i="2"/>
  <c r="J16" i="2"/>
  <c r="F12" i="5"/>
  <c r="D12" i="2"/>
  <c r="H12" i="2"/>
  <c r="C5" i="2"/>
  <c r="G12" i="5"/>
  <c r="H12" i="5"/>
  <c r="E611" i="2" l="1"/>
  <c r="I500" i="2"/>
  <c r="E240" i="2"/>
  <c r="E239" i="2"/>
  <c r="I183" i="2"/>
  <c r="I200" i="2"/>
  <c r="I182" i="2"/>
  <c r="I239" i="2"/>
  <c r="I181" i="2"/>
  <c r="I207" i="2"/>
  <c r="I201" i="2"/>
  <c r="E245" i="2"/>
  <c r="I393" i="2"/>
  <c r="E203" i="2"/>
  <c r="E193" i="2"/>
  <c r="E212" i="2"/>
  <c r="I446" i="2"/>
  <c r="I22" i="2"/>
  <c r="I377" i="2"/>
  <c r="E333" i="2"/>
  <c r="I188" i="2"/>
  <c r="E440" i="2"/>
  <c r="I235" i="2"/>
  <c r="I55" i="2"/>
  <c r="I53" i="2"/>
  <c r="I598" i="2"/>
  <c r="I626" i="2"/>
  <c r="I646" i="2"/>
  <c r="I385" i="2"/>
  <c r="I331" i="2"/>
  <c r="I132" i="2"/>
  <c r="I47" i="2"/>
  <c r="I231" i="2"/>
  <c r="I261" i="2"/>
  <c r="I196" i="2"/>
  <c r="I442" i="2"/>
  <c r="E132" i="2"/>
  <c r="E587" i="2"/>
  <c r="I650" i="2"/>
  <c r="E592" i="2"/>
  <c r="E387" i="2"/>
  <c r="I202" i="2"/>
  <c r="I51" i="2"/>
  <c r="I52" i="2"/>
  <c r="E25" i="2"/>
  <c r="E133" i="2"/>
  <c r="E657" i="2"/>
  <c r="I642" i="2"/>
  <c r="I48" i="2"/>
  <c r="E629" i="2"/>
  <c r="E449" i="2"/>
  <c r="E232" i="2"/>
  <c r="E640" i="2"/>
  <c r="E134" i="2"/>
  <c r="E196" i="2"/>
  <c r="I381" i="2"/>
  <c r="I389" i="2"/>
  <c r="E143" i="2"/>
  <c r="E262" i="2"/>
  <c r="I56" i="2"/>
  <c r="I330" i="2"/>
  <c r="I438" i="2"/>
  <c r="I507" i="2"/>
  <c r="I49" i="2"/>
  <c r="I211" i="2"/>
  <c r="I329" i="2"/>
  <c r="I638" i="2"/>
  <c r="I373" i="2"/>
  <c r="I422" i="2"/>
  <c r="I473" i="2"/>
  <c r="E604" i="2"/>
  <c r="I537" i="2"/>
  <c r="I297" i="2"/>
  <c r="I471" i="2"/>
  <c r="E497" i="2"/>
  <c r="I621" i="2"/>
  <c r="I423" i="2"/>
  <c r="I149" i="2"/>
  <c r="E471" i="2"/>
  <c r="I163" i="2"/>
  <c r="I612" i="2"/>
  <c r="I156" i="2"/>
  <c r="E163" i="2"/>
  <c r="E149" i="2"/>
  <c r="I584" i="2"/>
  <c r="I192" i="2"/>
  <c r="I616" i="2"/>
  <c r="I604" i="2"/>
  <c r="I656" i="2"/>
  <c r="I539" i="2"/>
  <c r="I413" i="2"/>
  <c r="I344" i="2"/>
  <c r="I475" i="2"/>
  <c r="I585" i="2"/>
  <c r="I414" i="2"/>
  <c r="I594" i="2"/>
  <c r="I593" i="2"/>
  <c r="I660" i="2"/>
  <c r="I101" i="2"/>
  <c r="I608" i="2"/>
  <c r="I538" i="2"/>
  <c r="I340" i="2"/>
  <c r="I27" i="2"/>
  <c r="I424" i="2"/>
  <c r="I617" i="2"/>
  <c r="I497" i="2"/>
  <c r="I589" i="2"/>
  <c r="I676" i="2"/>
  <c r="I470" i="2"/>
  <c r="I421" i="2"/>
  <c r="I26" i="2"/>
  <c r="I603" i="2"/>
  <c r="E605" i="2"/>
  <c r="E296" i="2"/>
  <c r="E311" i="2"/>
  <c r="E606" i="2"/>
  <c r="E228" i="2"/>
  <c r="E229" i="2"/>
  <c r="I299" i="2"/>
  <c r="E267" i="2"/>
  <c r="E369" i="2"/>
  <c r="E371" i="2"/>
  <c r="E356" i="2"/>
  <c r="E321" i="2"/>
  <c r="E527" i="2"/>
  <c r="E571" i="2"/>
  <c r="E534" i="2"/>
  <c r="E73" i="2"/>
  <c r="E92" i="2"/>
  <c r="E93" i="2"/>
  <c r="I146" i="2"/>
  <c r="E425" i="2"/>
  <c r="E329" i="2"/>
  <c r="E424" i="2"/>
  <c r="I263" i="2"/>
  <c r="I77" i="2"/>
  <c r="E75" i="2"/>
  <c r="I265" i="2"/>
  <c r="I91" i="2"/>
  <c r="I279" i="2"/>
  <c r="I75" i="2"/>
  <c r="I79" i="2"/>
  <c r="I78" i="2"/>
  <c r="I165" i="2"/>
  <c r="I88" i="2"/>
  <c r="I90" i="2"/>
  <c r="I280" i="2"/>
  <c r="I166" i="2"/>
  <c r="I92" i="2"/>
  <c r="I167" i="2"/>
  <c r="I93" i="2"/>
  <c r="I89" i="2"/>
  <c r="I33" i="2"/>
  <c r="I80" i="2"/>
  <c r="I276" i="2"/>
  <c r="I277" i="2"/>
  <c r="I278" i="2"/>
  <c r="I275" i="2"/>
  <c r="I162" i="2"/>
  <c r="I76" i="2"/>
  <c r="E490" i="2"/>
  <c r="E504" i="2"/>
  <c r="E366" i="2"/>
  <c r="E392" i="2"/>
  <c r="E634" i="2"/>
  <c r="E632" i="2"/>
  <c r="E322" i="2"/>
  <c r="E484" i="2"/>
  <c r="E574" i="2"/>
  <c r="E519" i="2"/>
  <c r="E651" i="2"/>
  <c r="E628" i="2"/>
  <c r="E40" i="2"/>
  <c r="E187" i="2"/>
  <c r="E502" i="2"/>
  <c r="E470" i="2"/>
  <c r="E526" i="2"/>
  <c r="E412" i="2"/>
  <c r="E388" i="2"/>
  <c r="E294" i="2"/>
  <c r="E44" i="2"/>
  <c r="E533" i="2"/>
  <c r="E209" i="2"/>
  <c r="E393" i="2"/>
  <c r="E615" i="2"/>
  <c r="E327" i="2"/>
  <c r="E608" i="2"/>
  <c r="E609" i="2"/>
  <c r="E33" i="2"/>
  <c r="E20" i="2"/>
  <c r="E386" i="2"/>
  <c r="E599" i="2"/>
  <c r="E32" i="2"/>
  <c r="E503" i="2"/>
  <c r="E341" i="2"/>
  <c r="E626" i="2"/>
  <c r="E242" i="2"/>
  <c r="E214" i="2"/>
  <c r="E589" i="2"/>
  <c r="E648" i="2"/>
  <c r="E603" i="2"/>
  <c r="E652" i="2"/>
  <c r="E67" i="2"/>
  <c r="E102" i="2"/>
  <c r="E621" i="2"/>
  <c r="E303" i="2"/>
  <c r="E39" i="2"/>
  <c r="E168" i="2"/>
  <c r="E548" i="2"/>
  <c r="E180" i="2"/>
  <c r="E663" i="2"/>
  <c r="E335" i="2"/>
  <c r="E658" i="2"/>
  <c r="E383" i="2"/>
  <c r="E363" i="2"/>
  <c r="E24" i="2"/>
  <c r="E401" i="2"/>
  <c r="E325" i="2"/>
  <c r="E421" i="2"/>
  <c r="E359" i="2"/>
  <c r="E21" i="2"/>
  <c r="E153" i="2"/>
  <c r="E198" i="2"/>
  <c r="E394" i="2"/>
  <c r="E662" i="2"/>
  <c r="E650" i="2"/>
  <c r="E300" i="2"/>
  <c r="E579" i="2"/>
  <c r="E156" i="2"/>
  <c r="E539" i="2"/>
  <c r="E576" i="2"/>
  <c r="E355" i="2"/>
  <c r="E204" i="2"/>
  <c r="E597" i="2"/>
  <c r="E66" i="2"/>
  <c r="E581" i="2"/>
  <c r="E167" i="2"/>
  <c r="E264" i="2"/>
  <c r="E304" i="2"/>
  <c r="E448" i="2"/>
  <c r="E289" i="2"/>
  <c r="E460" i="2"/>
  <c r="E287" i="2"/>
  <c r="E298" i="2"/>
  <c r="E31" i="2"/>
  <c r="E286" i="2"/>
  <c r="E438" i="2"/>
  <c r="E638" i="2"/>
  <c r="E486" i="2"/>
  <c r="E610" i="2"/>
  <c r="E590" i="2"/>
  <c r="E368" i="2"/>
  <c r="E569" i="2"/>
  <c r="E465" i="2"/>
  <c r="E450" i="2"/>
  <c r="E643" i="2"/>
  <c r="E400" i="2"/>
  <c r="E344" i="2"/>
  <c r="E191" i="2"/>
  <c r="E197" i="2"/>
  <c r="E577" i="2"/>
  <c r="E272" i="2"/>
  <c r="E23" i="2"/>
  <c r="E76" i="2"/>
  <c r="E195" i="2"/>
  <c r="E233" i="2"/>
  <c r="E442" i="2"/>
  <c r="E501" i="2"/>
  <c r="E566" i="2"/>
  <c r="E183" i="2"/>
  <c r="E457" i="2"/>
  <c r="E199" i="2"/>
  <c r="E211" i="2"/>
  <c r="E326" i="2"/>
  <c r="E342" i="2"/>
  <c r="E679" i="2"/>
  <c r="E223" i="2"/>
  <c r="E248" i="2"/>
  <c r="E575" i="2"/>
  <c r="E236" i="2"/>
  <c r="E507" i="2"/>
  <c r="E531" i="2"/>
  <c r="E595" i="2"/>
  <c r="E96" i="2"/>
  <c r="E489" i="2"/>
  <c r="E547" i="2"/>
  <c r="E367" i="2"/>
  <c r="E339" i="2"/>
  <c r="E107" i="2"/>
  <c r="E226" i="2"/>
  <c r="E207" i="2"/>
  <c r="E354" i="2"/>
  <c r="E353" i="2"/>
  <c r="E30" i="2"/>
  <c r="E266" i="2"/>
  <c r="E463" i="2"/>
  <c r="E402" i="2"/>
  <c r="E619" i="2"/>
  <c r="E580" i="2"/>
  <c r="E261" i="2"/>
  <c r="E290" i="2"/>
  <c r="E224" i="2"/>
  <c r="E676" i="2"/>
  <c r="E37" i="2"/>
  <c r="E34" i="2"/>
  <c r="E309" i="2"/>
  <c r="E588" i="2"/>
  <c r="E361" i="2"/>
  <c r="E186" i="2"/>
  <c r="E379" i="2"/>
  <c r="E633" i="2"/>
  <c r="E263" i="2"/>
  <c r="E443" i="2"/>
  <c r="E411" i="2"/>
  <c r="E185" i="2"/>
  <c r="E230" i="2"/>
  <c r="E274" i="2"/>
  <c r="E473" i="2"/>
  <c r="E499" i="2"/>
  <c r="E568" i="2"/>
  <c r="E572" i="2"/>
  <c r="E600" i="2"/>
  <c r="E540" i="2"/>
  <c r="E43" i="2"/>
  <c r="E567" i="2"/>
  <c r="E447" i="2"/>
  <c r="E475" i="2"/>
  <c r="E370" i="2"/>
  <c r="E678" i="2"/>
  <c r="E549" i="2"/>
  <c r="E403" i="2"/>
  <c r="E680" i="2"/>
  <c r="E439" i="2"/>
  <c r="E345" i="2"/>
  <c r="E656" i="2"/>
  <c r="E641" i="2"/>
  <c r="E188" i="2"/>
  <c r="E573" i="2"/>
  <c r="E565" i="2"/>
  <c r="E395" i="2"/>
  <c r="E365" i="2"/>
  <c r="E416" i="2"/>
  <c r="E217" i="2"/>
  <c r="E389" i="2"/>
  <c r="E584" i="2"/>
  <c r="E265" i="2"/>
  <c r="E520" i="2"/>
  <c r="E532" i="2"/>
  <c r="E348" i="2"/>
  <c r="E89" i="2"/>
  <c r="E538" i="2"/>
  <c r="E310" i="2"/>
  <c r="E464" i="2"/>
  <c r="E646" i="2"/>
  <c r="E635" i="2"/>
  <c r="E550" i="2"/>
  <c r="E585" i="2"/>
  <c r="E146" i="2"/>
  <c r="E340" i="2"/>
  <c r="E639" i="2"/>
  <c r="E444" i="2"/>
  <c r="E364" i="2"/>
  <c r="E235" i="2"/>
  <c r="E358" i="2"/>
  <c r="E498" i="2"/>
  <c r="E314" i="2"/>
  <c r="E466" i="2"/>
  <c r="E422" i="2"/>
  <c r="E598" i="2"/>
  <c r="E234" i="2"/>
  <c r="E334" i="2"/>
  <c r="E104" i="2"/>
  <c r="E244" i="2"/>
  <c r="E219" i="2"/>
  <c r="E213" i="2"/>
  <c r="E492" i="2"/>
  <c r="E451" i="2"/>
  <c r="E659" i="2"/>
  <c r="E295" i="2"/>
  <c r="E77" i="2"/>
  <c r="E482" i="2"/>
  <c r="E170" i="2"/>
  <c r="E494" i="2"/>
  <c r="E453" i="2"/>
  <c r="E374" i="2"/>
  <c r="E480" i="2"/>
  <c r="E594" i="2"/>
  <c r="E616" i="2"/>
  <c r="E231" i="2"/>
  <c r="E631" i="2"/>
  <c r="E68" i="2"/>
  <c r="E189" i="2"/>
  <c r="E496" i="2"/>
  <c r="E455" i="2"/>
  <c r="E485" i="2"/>
  <c r="E417" i="2"/>
  <c r="E647" i="2"/>
  <c r="E618" i="2"/>
  <c r="E630" i="2"/>
  <c r="E297" i="2"/>
  <c r="E268" i="2"/>
  <c r="E522" i="2"/>
  <c r="E543" i="2"/>
  <c r="E462" i="2"/>
  <c r="E26" i="2"/>
  <c r="E346" i="2"/>
  <c r="E441" i="2"/>
  <c r="E238" i="2"/>
  <c r="E644" i="2"/>
  <c r="E249" i="2"/>
  <c r="E461" i="2"/>
  <c r="E101" i="2"/>
  <c r="E315" i="2"/>
  <c r="E225" i="2"/>
  <c r="E161" i="2"/>
  <c r="E493" i="2"/>
  <c r="E414" i="2"/>
  <c r="E536" i="2"/>
  <c r="E563" i="2"/>
  <c r="E100" i="2"/>
  <c r="E118" i="2"/>
  <c r="E103" i="2"/>
  <c r="E82" i="2"/>
  <c r="E29" i="2"/>
  <c r="E445" i="2"/>
  <c r="E661" i="2"/>
  <c r="E495" i="2"/>
  <c r="E505" i="2"/>
  <c r="E649" i="2"/>
  <c r="E413" i="2"/>
  <c r="E200" i="2"/>
  <c r="E642" i="2"/>
  <c r="E94" i="2"/>
  <c r="E302" i="2"/>
  <c r="E481" i="2"/>
  <c r="E410" i="2"/>
  <c r="E398" i="2"/>
  <c r="E285" i="2"/>
  <c r="E591" i="2"/>
  <c r="E612" i="2"/>
  <c r="E535" i="2"/>
  <c r="E210" i="2"/>
  <c r="E636" i="2"/>
  <c r="E253" i="2"/>
  <c r="E399" i="2"/>
  <c r="E194" i="2"/>
  <c r="E65" i="2"/>
  <c r="E241" i="2"/>
  <c r="E222" i="2"/>
  <c r="E74" i="2"/>
  <c r="E218" i="2"/>
  <c r="E483" i="2"/>
  <c r="E362" i="2"/>
  <c r="E645" i="2"/>
  <c r="E607" i="2"/>
  <c r="E613" i="2"/>
  <c r="E415" i="2"/>
  <c r="E337" i="2"/>
  <c r="E98" i="2"/>
  <c r="E423" i="2"/>
  <c r="E208" i="2"/>
  <c r="E252" i="2"/>
  <c r="E273" i="2"/>
  <c r="E515" i="2"/>
  <c r="E28" i="2"/>
  <c r="E338" i="2"/>
  <c r="E357" i="2"/>
  <c r="E541" i="2"/>
  <c r="E660" i="2"/>
  <c r="E528" i="2"/>
  <c r="E653" i="2"/>
  <c r="E72" i="2"/>
  <c r="E578" i="2"/>
  <c r="E537" i="2"/>
  <c r="E190" i="2"/>
  <c r="E506" i="2"/>
  <c r="E586" i="2"/>
  <c r="E623" i="2"/>
  <c r="E637" i="2"/>
  <c r="E144" i="2"/>
  <c r="E90" i="2"/>
  <c r="E155" i="2"/>
  <c r="E518" i="2"/>
  <c r="E81" i="2"/>
  <c r="E360" i="2"/>
  <c r="E27" i="2"/>
  <c r="E83" i="2"/>
  <c r="E95" i="2"/>
  <c r="E181" i="2"/>
  <c r="E299" i="2"/>
  <c r="E250" i="2"/>
  <c r="E562" i="2"/>
  <c r="E546" i="2"/>
  <c r="E545" i="2"/>
  <c r="E614" i="2"/>
  <c r="E284" i="2"/>
  <c r="E446" i="2"/>
  <c r="E617" i="2"/>
  <c r="E38" i="2"/>
  <c r="E135" i="2"/>
  <c r="E452" i="2"/>
  <c r="E336" i="2"/>
  <c r="E182" i="2"/>
  <c r="E593" i="2"/>
  <c r="E622" i="2"/>
  <c r="E487" i="2"/>
  <c r="E396" i="2"/>
  <c r="E320" i="2"/>
  <c r="E454" i="2"/>
  <c r="E291" i="2"/>
  <c r="E542" i="2"/>
  <c r="E601" i="2"/>
  <c r="E237" i="2"/>
  <c r="E627" i="2"/>
  <c r="E488" i="2"/>
  <c r="E521" i="2"/>
  <c r="E288" i="2"/>
  <c r="E205" i="2"/>
  <c r="E530" i="2"/>
  <c r="E456" i="2"/>
  <c r="E162" i="2"/>
  <c r="E376" i="2"/>
  <c r="E582" i="2"/>
  <c r="E91" i="2"/>
  <c r="E382" i="2"/>
  <c r="E380" i="2"/>
  <c r="E570" i="2"/>
  <c r="I106" i="2"/>
  <c r="I130" i="2"/>
  <c r="E557" i="2"/>
  <c r="I63" i="2"/>
  <c r="I14" i="2"/>
  <c r="E281" i="2"/>
  <c r="I57" i="2"/>
  <c r="I60" i="2"/>
  <c r="I126" i="2"/>
  <c r="E138" i="2"/>
  <c r="E42" i="2"/>
  <c r="E14" i="2"/>
  <c r="I137" i="2"/>
  <c r="I112" i="2"/>
  <c r="I84" i="2"/>
  <c r="I71" i="2"/>
  <c r="E137" i="2"/>
  <c r="E99" i="2"/>
  <c r="E119" i="2"/>
  <c r="E108" i="2"/>
  <c r="E404" i="2"/>
  <c r="E554" i="2"/>
  <c r="E558" i="2"/>
  <c r="E70" i="2"/>
  <c r="E136" i="2"/>
  <c r="E142" i="2"/>
  <c r="I121" i="2"/>
  <c r="E139" i="2"/>
  <c r="I173" i="2"/>
  <c r="E278" i="2"/>
  <c r="I16" i="2"/>
  <c r="I115" i="2"/>
  <c r="E385" i="2"/>
  <c r="E112" i="2"/>
  <c r="I58" i="2"/>
  <c r="E276" i="2"/>
  <c r="I142" i="2"/>
  <c r="I116" i="2"/>
  <c r="I123" i="2"/>
  <c r="I111" i="2"/>
  <c r="E80" i="2"/>
  <c r="E63" i="2"/>
  <c r="E390" i="2"/>
  <c r="E559" i="2"/>
  <c r="E378" i="2"/>
  <c r="I127" i="2"/>
  <c r="I87" i="2"/>
  <c r="E78" i="2"/>
  <c r="I154" i="2"/>
  <c r="I140" i="2"/>
  <c r="E553" i="2"/>
  <c r="E106" i="2"/>
  <c r="I97" i="2"/>
  <c r="I125" i="2"/>
  <c r="I108" i="2"/>
  <c r="I172" i="2"/>
  <c r="E36" i="2"/>
  <c r="E79" i="2"/>
  <c r="I136" i="2"/>
  <c r="E269" i="2"/>
  <c r="E115" i="2"/>
  <c r="I114" i="2"/>
  <c r="E71" i="2"/>
  <c r="I42" i="2"/>
  <c r="E19" i="2"/>
  <c r="E113" i="2"/>
  <c r="I141" i="2"/>
  <c r="E15" i="2"/>
  <c r="E271" i="2"/>
  <c r="I86" i="2"/>
  <c r="E64" i="2"/>
  <c r="E141" i="2"/>
  <c r="I36" i="2"/>
  <c r="E556" i="2"/>
  <c r="E111" i="2"/>
  <c r="E552" i="2"/>
  <c r="E116" i="2"/>
  <c r="E555" i="2"/>
  <c r="E97" i="2"/>
  <c r="E391" i="2"/>
  <c r="I99" i="2"/>
  <c r="E105" i="2"/>
  <c r="E140" i="2"/>
  <c r="E275" i="2"/>
  <c r="E16" i="2"/>
  <c r="E114" i="2"/>
  <c r="I129" i="2"/>
  <c r="E375" i="2"/>
  <c r="I119" i="2"/>
  <c r="E62" i="2"/>
  <c r="I61" i="2"/>
  <c r="E270" i="2"/>
  <c r="I113" i="2"/>
  <c r="I109" i="2"/>
  <c r="I64" i="2"/>
  <c r="E283" i="2"/>
  <c r="E69" i="2"/>
  <c r="I139" i="2"/>
  <c r="E109" i="2"/>
  <c r="E551" i="2"/>
  <c r="I70" i="2"/>
  <c r="E384" i="2"/>
  <c r="I174" i="2"/>
  <c r="I19" i="2"/>
  <c r="I105" i="2"/>
  <c r="E280" i="2"/>
  <c r="E13" i="2"/>
  <c r="E169" i="2"/>
  <c r="E110" i="2"/>
  <c r="E61" i="2"/>
  <c r="I122" i="2"/>
  <c r="I69" i="2"/>
  <c r="I12" i="2"/>
  <c r="I15" i="2"/>
  <c r="I169" i="2"/>
  <c r="E282" i="2"/>
  <c r="E279" i="2"/>
  <c r="I59" i="2"/>
  <c r="E277" i="2"/>
  <c r="E154" i="2"/>
  <c r="I62" i="2"/>
  <c r="I138" i="2"/>
  <c r="I110" i="2"/>
  <c r="I13" i="2"/>
  <c r="E84" i="2"/>
  <c r="I481" i="2"/>
  <c r="I85" i="2"/>
  <c r="I687" i="2"/>
  <c r="I686" i="2"/>
  <c r="I151" i="2"/>
  <c r="E178" i="2"/>
  <c r="I46" i="2"/>
  <c r="E177" i="2"/>
  <c r="E85" i="2"/>
  <c r="E88" i="2"/>
  <c r="E166" i="2"/>
  <c r="I226" i="2"/>
  <c r="E317" i="2"/>
  <c r="E686" i="2"/>
  <c r="I655" i="2"/>
  <c r="E46" i="2"/>
  <c r="I150" i="2"/>
  <c r="E176" i="2"/>
  <c r="E50" i="2"/>
  <c r="I54" i="2"/>
  <c r="E87" i="2"/>
  <c r="E127" i="2"/>
  <c r="E318" i="2"/>
  <c r="E56" i="2"/>
  <c r="E53" i="2"/>
  <c r="E151" i="2"/>
  <c r="E123" i="2"/>
  <c r="E687" i="2"/>
  <c r="E52" i="2"/>
  <c r="E122" i="2"/>
  <c r="E51" i="2"/>
  <c r="E55" i="2"/>
  <c r="E174" i="2"/>
  <c r="E671" i="2"/>
  <c r="E130" i="2"/>
  <c r="E165" i="2"/>
  <c r="E667" i="2"/>
  <c r="E86" i="2"/>
  <c r="E172" i="2"/>
  <c r="E126" i="2"/>
  <c r="E49" i="2"/>
  <c r="E665" i="2"/>
  <c r="E57" i="2"/>
  <c r="E173" i="2"/>
  <c r="E669" i="2"/>
  <c r="E48" i="2"/>
  <c r="E319" i="2"/>
  <c r="E164" i="2"/>
  <c r="E150" i="2"/>
  <c r="E54" i="2"/>
  <c r="I50" i="2"/>
  <c r="E47" i="2"/>
  <c r="E673" i="2"/>
  <c r="E131" i="2"/>
  <c r="E675" i="2"/>
  <c r="I225" i="2"/>
  <c r="I343" i="2"/>
  <c r="E351" i="2"/>
  <c r="E215" i="2"/>
  <c r="E117" i="2"/>
  <c r="E666" i="2"/>
  <c r="E420" i="2"/>
  <c r="I184" i="2"/>
  <c r="E184" i="2"/>
  <c r="E251" i="2"/>
  <c r="E59" i="2"/>
  <c r="I17" i="2"/>
  <c r="I316" i="2"/>
  <c r="E478" i="2"/>
  <c r="I260" i="2"/>
  <c r="E688" i="2"/>
  <c r="E408" i="2"/>
  <c r="E316" i="2"/>
  <c r="E260" i="2"/>
  <c r="E685" i="2"/>
  <c r="E689" i="2"/>
  <c r="E407" i="2"/>
  <c r="I147" i="2"/>
  <c r="E147" i="2"/>
  <c r="E406" i="2"/>
  <c r="E330" i="2"/>
  <c r="I312" i="2"/>
  <c r="E350" i="2"/>
  <c r="E428" i="2"/>
  <c r="E418" i="2"/>
  <c r="E17" i="2"/>
  <c r="E121" i="2"/>
  <c r="E206" i="2"/>
  <c r="I509" i="2"/>
  <c r="I243" i="2"/>
  <c r="I117" i="2"/>
  <c r="E523" i="2"/>
  <c r="E306" i="2"/>
  <c r="E431" i="2"/>
  <c r="E159" i="2"/>
  <c r="E668" i="2"/>
  <c r="E670" i="2"/>
  <c r="E690" i="2"/>
  <c r="E259" i="2"/>
  <c r="E479" i="2"/>
  <c r="E18" i="2"/>
  <c r="I349" i="2"/>
  <c r="I434" i="2"/>
  <c r="E157" i="2"/>
  <c r="I157" i="2"/>
  <c r="I159" i="2"/>
  <c r="I681" i="2"/>
  <c r="E469" i="2"/>
  <c r="I625" i="2"/>
  <c r="E436" i="2"/>
  <c r="E45" i="2"/>
  <c r="I307" i="2"/>
  <c r="I419" i="2"/>
  <c r="I292" i="2"/>
  <c r="E257" i="2"/>
  <c r="E427" i="2"/>
  <c r="E128" i="2"/>
  <c r="E524" i="2"/>
  <c r="E467" i="2"/>
  <c r="I690" i="2"/>
  <c r="I524" i="2"/>
  <c r="E525" i="2"/>
  <c r="I158" i="2"/>
  <c r="E258" i="2"/>
  <c r="I430" i="2"/>
  <c r="I259" i="2"/>
  <c r="I523" i="2"/>
  <c r="E124" i="2"/>
  <c r="E432" i="2"/>
  <c r="I328" i="2"/>
  <c r="I426" i="2"/>
  <c r="E468" i="2"/>
  <c r="E655" i="2"/>
  <c r="E158" i="2"/>
  <c r="E683" i="2"/>
  <c r="E513" i="2"/>
  <c r="E305" i="2"/>
  <c r="E256" i="2"/>
  <c r="E328" i="2"/>
  <c r="I508" i="2"/>
  <c r="E433" i="2"/>
  <c r="E434" i="2"/>
  <c r="E292" i="2"/>
  <c r="I215" i="2"/>
  <c r="I420" i="2"/>
  <c r="E437" i="2"/>
  <c r="E419" i="2"/>
  <c r="E216" i="2"/>
  <c r="E343" i="2"/>
  <c r="E120" i="2"/>
  <c r="E129" i="2"/>
  <c r="E426" i="2"/>
  <c r="I216" i="2"/>
  <c r="E509" i="2"/>
  <c r="I323" i="2"/>
  <c r="E681" i="2"/>
  <c r="E684" i="2"/>
  <c r="I251" i="2"/>
  <c r="E654" i="2"/>
  <c r="E674" i="2"/>
  <c r="E58" i="2"/>
  <c r="E323" i="2"/>
  <c r="I306" i="2"/>
  <c r="E508" i="2"/>
  <c r="E332" i="2"/>
  <c r="E510" i="2"/>
  <c r="E514" i="2"/>
  <c r="E664" i="2"/>
  <c r="E512" i="2"/>
  <c r="I305" i="2"/>
  <c r="E352" i="2"/>
  <c r="I510" i="2"/>
  <c r="E247" i="2"/>
  <c r="E60" i="2"/>
  <c r="E429" i="2"/>
  <c r="I654" i="2"/>
  <c r="E243" i="2"/>
  <c r="E625" i="2"/>
  <c r="E312" i="2"/>
  <c r="E125" i="2"/>
  <c r="I247" i="2"/>
  <c r="E435" i="2"/>
  <c r="I332" i="2"/>
  <c r="E349" i="2"/>
  <c r="E430" i="2"/>
  <c r="E477" i="2"/>
  <c r="E672" i="2"/>
  <c r="I525" i="2"/>
  <c r="E331" i="2"/>
  <c r="E405" i="2"/>
  <c r="I324" i="2"/>
  <c r="I308" i="2"/>
  <c r="I293" i="2"/>
  <c r="E677" i="2"/>
  <c r="I634" i="2"/>
  <c r="E377" i="2"/>
  <c r="I511" i="2"/>
  <c r="I477" i="2"/>
  <c r="I467" i="2"/>
  <c r="I206" i="2"/>
  <c r="E148" i="2"/>
  <c r="I145" i="2"/>
  <c r="E22" i="2"/>
  <c r="E682" i="2"/>
  <c r="E145" i="2"/>
  <c r="E602" i="2"/>
  <c r="E381" i="2"/>
  <c r="I409" i="2"/>
  <c r="E293" i="2"/>
  <c r="I469" i="2"/>
  <c r="I459" i="2"/>
  <c r="I405" i="2"/>
  <c r="E202" i="2"/>
  <c r="I479" i="2"/>
  <c r="E472" i="2"/>
  <c r="E307" i="2"/>
  <c r="I257" i="2"/>
  <c r="I128" i="2"/>
  <c r="I683" i="2"/>
  <c r="E397" i="2"/>
  <c r="E373" i="2"/>
  <c r="I175" i="2"/>
  <c r="I407" i="2"/>
  <c r="I171" i="2"/>
  <c r="E171" i="2"/>
  <c r="I668" i="2"/>
  <c r="E324" i="2"/>
  <c r="E529" i="2"/>
  <c r="E500" i="2"/>
  <c r="I418" i="2"/>
  <c r="E175" i="2"/>
  <c r="I256" i="2"/>
  <c r="E221" i="2"/>
  <c r="I478" i="2"/>
  <c r="E459" i="2"/>
  <c r="I221" i="2"/>
  <c r="E192" i="2"/>
  <c r="I529" i="2"/>
  <c r="E474" i="2"/>
  <c r="E458" i="2"/>
  <c r="I685" i="2"/>
  <c r="I258" i="2"/>
  <c r="I468" i="2"/>
  <c r="E476" i="2"/>
  <c r="E409" i="2"/>
  <c r="E511" i="2"/>
  <c r="I18" i="2"/>
  <c r="I684" i="2"/>
  <c r="I458" i="2"/>
  <c r="I474" i="2"/>
  <c r="E308" i="2"/>
  <c r="I677" i="2"/>
  <c r="I602" i="2"/>
  <c r="I472" i="2"/>
  <c r="I406" i="2"/>
  <c r="E301" i="2"/>
  <c r="I476" i="2"/>
  <c r="I301" i="2"/>
  <c r="I45" i="2"/>
  <c r="I124" i="2"/>
  <c r="I227" i="2"/>
  <c r="I682" i="2"/>
  <c r="E255" i="2"/>
  <c r="I148" i="2"/>
  <c r="E227" i="2"/>
  <c r="I120" i="2"/>
  <c r="I255" i="2"/>
  <c r="I672" i="2"/>
  <c r="I664" i="2"/>
  <c r="I408" i="2"/>
  <c r="E12" i="2"/>
  <c r="C510" i="4"/>
  <c r="D510" i="4" s="1"/>
  <c r="F510" i="4" s="1"/>
  <c r="C509" i="4"/>
  <c r="C508" i="4"/>
  <c r="D508" i="4" s="1"/>
  <c r="F508" i="4" s="1"/>
  <c r="C507" i="4"/>
  <c r="C506" i="4"/>
  <c r="D506" i="4" s="1"/>
  <c r="F506" i="4" s="1"/>
  <c r="C505" i="4"/>
  <c r="C504" i="4"/>
  <c r="D505" i="4" s="1"/>
  <c r="C503" i="4"/>
  <c r="C502" i="4"/>
  <c r="C501" i="4"/>
  <c r="C500" i="4"/>
  <c r="D500" i="4" s="1"/>
  <c r="F500" i="4" s="1"/>
  <c r="C499" i="4"/>
  <c r="C498" i="4"/>
  <c r="C497" i="4"/>
  <c r="D497" i="4" s="1"/>
  <c r="F497" i="4" s="1"/>
  <c r="C496" i="4"/>
  <c r="C495" i="4"/>
  <c r="D495" i="4" s="1"/>
  <c r="F495" i="4" s="1"/>
  <c r="C494" i="4"/>
  <c r="C493" i="4"/>
  <c r="C492" i="4"/>
  <c r="D492" i="4" s="1"/>
  <c r="F492" i="4" s="1"/>
  <c r="C491" i="4"/>
  <c r="C490" i="4"/>
  <c r="C489" i="4"/>
  <c r="C488" i="4"/>
  <c r="C487" i="4"/>
  <c r="C486" i="4"/>
  <c r="C485" i="4"/>
  <c r="C484" i="4"/>
  <c r="D484" i="4" s="1"/>
  <c r="C483" i="4"/>
  <c r="C482" i="4"/>
  <c r="C481" i="4"/>
  <c r="C480" i="4"/>
  <c r="C479" i="4"/>
  <c r="C478" i="4"/>
  <c r="C477" i="4"/>
  <c r="C476" i="4"/>
  <c r="D476" i="4" s="1"/>
  <c r="F476" i="4" s="1"/>
  <c r="C475" i="4"/>
  <c r="C474" i="4"/>
  <c r="C473" i="4"/>
  <c r="C472" i="4"/>
  <c r="C471" i="4"/>
  <c r="C470" i="4"/>
  <c r="D470" i="4" s="1"/>
  <c r="F470" i="4" s="1"/>
  <c r="C469" i="4"/>
  <c r="C468" i="4"/>
  <c r="D468" i="4" s="1"/>
  <c r="F468" i="4" s="1"/>
  <c r="C467" i="4"/>
  <c r="C466" i="4"/>
  <c r="C465" i="4"/>
  <c r="C464" i="4"/>
  <c r="C463" i="4"/>
  <c r="C462" i="4"/>
  <c r="C461" i="4"/>
  <c r="C460" i="4"/>
  <c r="D460" i="4" s="1"/>
  <c r="F460" i="4" s="1"/>
  <c r="C459" i="4"/>
  <c r="C458" i="4"/>
  <c r="D458" i="4" s="1"/>
  <c r="F458" i="4" s="1"/>
  <c r="C457" i="4"/>
  <c r="C456" i="4"/>
  <c r="C455" i="4"/>
  <c r="C454" i="4"/>
  <c r="C453" i="4"/>
  <c r="C452" i="4"/>
  <c r="D452" i="4" s="1"/>
  <c r="C451" i="4"/>
  <c r="C450" i="4"/>
  <c r="C449" i="4"/>
  <c r="C448" i="4"/>
  <c r="C447" i="4"/>
  <c r="D447" i="4" s="1"/>
  <c r="F447" i="4" s="1"/>
  <c r="C446" i="4"/>
  <c r="C445" i="4"/>
  <c r="C444" i="4"/>
  <c r="D444" i="4" s="1"/>
  <c r="C443" i="4"/>
  <c r="C442" i="4"/>
  <c r="C441" i="4"/>
  <c r="C440" i="4"/>
  <c r="C439" i="4"/>
  <c r="D439" i="4" s="1"/>
  <c r="F439" i="4" s="1"/>
  <c r="C438" i="4"/>
  <c r="C437" i="4"/>
  <c r="C436" i="4"/>
  <c r="D436" i="4" s="1"/>
  <c r="F436" i="4" s="1"/>
  <c r="C435" i="4"/>
  <c r="C434" i="4"/>
  <c r="C433" i="4"/>
  <c r="C432" i="4"/>
  <c r="C431" i="4"/>
  <c r="D431" i="4" s="1"/>
  <c r="F431" i="4" s="1"/>
  <c r="C430" i="4"/>
  <c r="C429" i="4"/>
  <c r="C428" i="4"/>
  <c r="D428" i="4" s="1"/>
  <c r="F428" i="4" s="1"/>
  <c r="C427" i="4"/>
  <c r="C426" i="4"/>
  <c r="C425" i="4"/>
  <c r="C424" i="4"/>
  <c r="C423" i="4"/>
  <c r="D423" i="4" s="1"/>
  <c r="F423" i="4" s="1"/>
  <c r="C422" i="4"/>
  <c r="C421" i="4"/>
  <c r="C420" i="4"/>
  <c r="D420" i="4" s="1"/>
  <c r="F420" i="4" s="1"/>
  <c r="C419" i="4"/>
  <c r="C418" i="4"/>
  <c r="C417" i="4"/>
  <c r="C416" i="4"/>
  <c r="C415" i="4"/>
  <c r="D415" i="4" s="1"/>
  <c r="F415" i="4" s="1"/>
  <c r="C414" i="4"/>
  <c r="C413" i="4"/>
  <c r="C412" i="4"/>
  <c r="D412" i="4" s="1"/>
  <c r="F412" i="4" s="1"/>
  <c r="C411" i="4"/>
  <c r="C410" i="4"/>
  <c r="C409" i="4"/>
  <c r="C408" i="4"/>
  <c r="C407" i="4"/>
  <c r="C406" i="4"/>
  <c r="C405" i="4"/>
  <c r="C404" i="4"/>
  <c r="D404" i="4" s="1"/>
  <c r="F404" i="4" s="1"/>
  <c r="C403" i="4"/>
  <c r="C402" i="4"/>
  <c r="C401" i="4"/>
  <c r="C400" i="4"/>
  <c r="C399" i="4"/>
  <c r="D399" i="4" s="1"/>
  <c r="F399" i="4" s="1"/>
  <c r="C398" i="4"/>
  <c r="C397" i="4"/>
  <c r="C396" i="4"/>
  <c r="D396" i="4" s="1"/>
  <c r="F396" i="4" s="1"/>
  <c r="C395" i="4"/>
  <c r="C394" i="4"/>
  <c r="D394" i="4" s="1"/>
  <c r="F394" i="4" s="1"/>
  <c r="C393" i="4"/>
  <c r="C392" i="4"/>
  <c r="C391" i="4"/>
  <c r="C390" i="4"/>
  <c r="C389" i="4"/>
  <c r="C388" i="4"/>
  <c r="D388" i="4" s="1"/>
  <c r="F388" i="4" s="1"/>
  <c r="C387" i="4"/>
  <c r="C386" i="4"/>
  <c r="C385" i="4"/>
  <c r="C384" i="4"/>
  <c r="C383" i="4"/>
  <c r="D383" i="4" s="1"/>
  <c r="F383" i="4" s="1"/>
  <c r="C382" i="4"/>
  <c r="C381" i="4"/>
  <c r="C380" i="4"/>
  <c r="D380" i="4" s="1"/>
  <c r="F380" i="4" s="1"/>
  <c r="C379" i="4"/>
  <c r="C378" i="4"/>
  <c r="C377" i="4"/>
  <c r="C376" i="4"/>
  <c r="C375" i="4"/>
  <c r="D375" i="4" s="1"/>
  <c r="F375" i="4" s="1"/>
  <c r="C374" i="4"/>
  <c r="C373" i="4"/>
  <c r="C372" i="4"/>
  <c r="D372" i="4" s="1"/>
  <c r="F372" i="4" s="1"/>
  <c r="C371" i="4"/>
  <c r="C370" i="4"/>
  <c r="C369" i="4"/>
  <c r="C368" i="4"/>
  <c r="C367" i="4"/>
  <c r="D367" i="4" s="1"/>
  <c r="F367" i="4" s="1"/>
  <c r="C366" i="4"/>
  <c r="C365" i="4"/>
  <c r="C364" i="4"/>
  <c r="D364" i="4" s="1"/>
  <c r="F364" i="4" s="1"/>
  <c r="C363" i="4"/>
  <c r="C362" i="4"/>
  <c r="C361" i="4"/>
  <c r="C360" i="4"/>
  <c r="C359" i="4"/>
  <c r="D359" i="4" s="1"/>
  <c r="F359" i="4" s="1"/>
  <c r="C358" i="4"/>
  <c r="C357" i="4"/>
  <c r="C356" i="4"/>
  <c r="D356" i="4" s="1"/>
  <c r="F356" i="4" s="1"/>
  <c r="C355" i="4"/>
  <c r="C354" i="4"/>
  <c r="C353" i="4"/>
  <c r="C352" i="4"/>
  <c r="C351" i="4"/>
  <c r="D351" i="4" s="1"/>
  <c r="F351" i="4" s="1"/>
  <c r="C350" i="4"/>
  <c r="C349" i="4"/>
  <c r="C348" i="4"/>
  <c r="C347" i="4"/>
  <c r="C346" i="4"/>
  <c r="C345" i="4"/>
  <c r="C344" i="4"/>
  <c r="C343" i="4"/>
  <c r="D343" i="4" s="1"/>
  <c r="F343" i="4" s="1"/>
  <c r="C342" i="4"/>
  <c r="C341" i="4"/>
  <c r="C340" i="4"/>
  <c r="C339" i="4"/>
  <c r="C338" i="4"/>
  <c r="C337" i="4"/>
  <c r="C336" i="4"/>
  <c r="C335" i="4"/>
  <c r="D335" i="4" s="1"/>
  <c r="F335" i="4" s="1"/>
  <c r="C334" i="4"/>
  <c r="C333" i="4"/>
  <c r="C332" i="4"/>
  <c r="C331" i="4"/>
  <c r="C330" i="4"/>
  <c r="C329" i="4"/>
  <c r="C328" i="4"/>
  <c r="C327" i="4"/>
  <c r="D327" i="4" s="1"/>
  <c r="F327" i="4" s="1"/>
  <c r="C326" i="4"/>
  <c r="C325" i="4"/>
  <c r="C324" i="4"/>
  <c r="C323" i="4"/>
  <c r="C322" i="4"/>
  <c r="C321" i="4"/>
  <c r="C320" i="4"/>
  <c r="C319" i="4"/>
  <c r="D319" i="4" s="1"/>
  <c r="F319" i="4" s="1"/>
  <c r="C318" i="4"/>
  <c r="C317" i="4"/>
  <c r="C316" i="4"/>
  <c r="C315" i="4"/>
  <c r="C314" i="4"/>
  <c r="C313" i="4"/>
  <c r="C312" i="4"/>
  <c r="C311" i="4"/>
  <c r="D311" i="4" s="1"/>
  <c r="C310" i="4"/>
  <c r="C309" i="4"/>
  <c r="C308" i="4"/>
  <c r="C307" i="4"/>
  <c r="C306" i="4"/>
  <c r="C305" i="4"/>
  <c r="C304" i="4"/>
  <c r="C303" i="4"/>
  <c r="D303" i="4" s="1"/>
  <c r="F303" i="4" s="1"/>
  <c r="C302" i="4"/>
  <c r="C301" i="4"/>
  <c r="C300" i="4"/>
  <c r="C299" i="4"/>
  <c r="C298" i="4"/>
  <c r="C297" i="4"/>
  <c r="C296" i="4"/>
  <c r="C295" i="4"/>
  <c r="D295" i="4" s="1"/>
  <c r="E295" i="4" s="1"/>
  <c r="C294" i="4"/>
  <c r="C293" i="4"/>
  <c r="C292" i="4"/>
  <c r="C291" i="4"/>
  <c r="C290" i="4"/>
  <c r="C289" i="4"/>
  <c r="C288" i="4"/>
  <c r="C287" i="4"/>
  <c r="D287" i="4" s="1"/>
  <c r="F287" i="4" s="1"/>
  <c r="C286" i="4"/>
  <c r="C285" i="4"/>
  <c r="C284" i="4"/>
  <c r="C283" i="4"/>
  <c r="C282" i="4"/>
  <c r="C281" i="4"/>
  <c r="C280" i="4"/>
  <c r="C279" i="4"/>
  <c r="D279" i="4" s="1"/>
  <c r="C278" i="4"/>
  <c r="C277" i="4"/>
  <c r="C276" i="4"/>
  <c r="C275" i="4"/>
  <c r="C274" i="4"/>
  <c r="C273" i="4"/>
  <c r="C272" i="4"/>
  <c r="C271" i="4"/>
  <c r="D271" i="4" s="1"/>
  <c r="F271" i="4" s="1"/>
  <c r="C270" i="4"/>
  <c r="C269" i="4"/>
  <c r="C268" i="4"/>
  <c r="C267" i="4"/>
  <c r="C266" i="4"/>
  <c r="C265" i="4"/>
  <c r="C264" i="4"/>
  <c r="C263" i="4"/>
  <c r="D263" i="4" s="1"/>
  <c r="C262" i="4"/>
  <c r="C261" i="4"/>
  <c r="C260" i="4"/>
  <c r="C259" i="4"/>
  <c r="C258" i="4"/>
  <c r="C257" i="4"/>
  <c r="C256" i="4"/>
  <c r="C255" i="4"/>
  <c r="D255" i="4" s="1"/>
  <c r="F255" i="4" s="1"/>
  <c r="C254" i="4"/>
  <c r="C253" i="4"/>
  <c r="C252" i="4"/>
  <c r="C251" i="4"/>
  <c r="C250" i="4"/>
  <c r="C249" i="4"/>
  <c r="C248" i="4"/>
  <c r="C247" i="4"/>
  <c r="D247" i="4" s="1"/>
  <c r="F247" i="4" s="1"/>
  <c r="C246" i="4"/>
  <c r="C245" i="4"/>
  <c r="C244" i="4"/>
  <c r="C243" i="4"/>
  <c r="C242" i="4"/>
  <c r="C241" i="4"/>
  <c r="C240" i="4"/>
  <c r="C239" i="4"/>
  <c r="D239" i="4" s="1"/>
  <c r="F239" i="4" s="1"/>
  <c r="C238" i="4"/>
  <c r="C237" i="4"/>
  <c r="C236" i="4"/>
  <c r="C235" i="4"/>
  <c r="C234" i="4"/>
  <c r="C233" i="4"/>
  <c r="C232" i="4"/>
  <c r="C231" i="4"/>
  <c r="D231" i="4" s="1"/>
  <c r="F231" i="4" s="1"/>
  <c r="C230" i="4"/>
  <c r="C229" i="4"/>
  <c r="C228" i="4"/>
  <c r="C227" i="4"/>
  <c r="C226" i="4"/>
  <c r="C225" i="4"/>
  <c r="C224" i="4"/>
  <c r="C223" i="4"/>
  <c r="D223" i="4" s="1"/>
  <c r="F223" i="4" s="1"/>
  <c r="C222" i="4"/>
  <c r="C221" i="4"/>
  <c r="D221" i="4" s="1"/>
  <c r="F221" i="4" s="1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D207" i="4" s="1"/>
  <c r="F207" i="4" s="1"/>
  <c r="C206" i="4"/>
  <c r="C205" i="4"/>
  <c r="C204" i="4"/>
  <c r="C203" i="4"/>
  <c r="C202" i="4"/>
  <c r="C201" i="4"/>
  <c r="C200" i="4"/>
  <c r="C199" i="4"/>
  <c r="D199" i="4" s="1"/>
  <c r="F199" i="4" s="1"/>
  <c r="C198" i="4"/>
  <c r="C197" i="4"/>
  <c r="C196" i="4"/>
  <c r="C195" i="4"/>
  <c r="C194" i="4"/>
  <c r="C193" i="4"/>
  <c r="C192" i="4"/>
  <c r="C191" i="4"/>
  <c r="D191" i="4" s="1"/>
  <c r="F191" i="4" s="1"/>
  <c r="C190" i="4"/>
  <c r="C189" i="4"/>
  <c r="C188" i="4"/>
  <c r="C187" i="4"/>
  <c r="C186" i="4"/>
  <c r="C185" i="4"/>
  <c r="C184" i="4"/>
  <c r="C183" i="4"/>
  <c r="D183" i="4" s="1"/>
  <c r="F183" i="4" s="1"/>
  <c r="C182" i="4"/>
  <c r="C181" i="4"/>
  <c r="C180" i="4"/>
  <c r="C179" i="4"/>
  <c r="C178" i="4"/>
  <c r="C177" i="4"/>
  <c r="C176" i="4"/>
  <c r="C175" i="4"/>
  <c r="D175" i="4" s="1"/>
  <c r="F175" i="4" s="1"/>
  <c r="C174" i="4"/>
  <c r="C173" i="4"/>
  <c r="C172" i="4"/>
  <c r="C171" i="4"/>
  <c r="C170" i="4"/>
  <c r="C169" i="4"/>
  <c r="C168" i="4"/>
  <c r="C167" i="4"/>
  <c r="D167" i="4" s="1"/>
  <c r="E167" i="4" s="1"/>
  <c r="C166" i="4"/>
  <c r="C165" i="4"/>
  <c r="C164" i="4"/>
  <c r="C163" i="4"/>
  <c r="C162" i="4"/>
  <c r="C161" i="4"/>
  <c r="C160" i="4"/>
  <c r="C159" i="4"/>
  <c r="D159" i="4" s="1"/>
  <c r="F159" i="4" s="1"/>
  <c r="C158" i="4"/>
  <c r="C157" i="4"/>
  <c r="C156" i="4"/>
  <c r="C155" i="4"/>
  <c r="C154" i="4"/>
  <c r="C153" i="4"/>
  <c r="C152" i="4"/>
  <c r="C151" i="4"/>
  <c r="D151" i="4" s="1"/>
  <c r="F151" i="4" s="1"/>
  <c r="C150" i="4"/>
  <c r="C149" i="4"/>
  <c r="C148" i="4"/>
  <c r="C147" i="4"/>
  <c r="C146" i="4"/>
  <c r="C145" i="4"/>
  <c r="C144" i="4"/>
  <c r="C143" i="4"/>
  <c r="D143" i="4" s="1"/>
  <c r="F143" i="4" s="1"/>
  <c r="C142" i="4"/>
  <c r="C141" i="4"/>
  <c r="C140" i="4"/>
  <c r="C139" i="4"/>
  <c r="C138" i="4"/>
  <c r="C137" i="4"/>
  <c r="C136" i="4"/>
  <c r="C135" i="4"/>
  <c r="D135" i="4" s="1"/>
  <c r="F135" i="4" s="1"/>
  <c r="C134" i="4"/>
  <c r="C133" i="4"/>
  <c r="C132" i="4"/>
  <c r="C131" i="4"/>
  <c r="C130" i="4"/>
  <c r="C129" i="4"/>
  <c r="C128" i="4"/>
  <c r="C127" i="4"/>
  <c r="D127" i="4" s="1"/>
  <c r="F127" i="4" s="1"/>
  <c r="C126" i="4"/>
  <c r="C125" i="4"/>
  <c r="C124" i="4"/>
  <c r="C123" i="4"/>
  <c r="C122" i="4"/>
  <c r="C121" i="4"/>
  <c r="C120" i="4"/>
  <c r="C119" i="4"/>
  <c r="D119" i="4" s="1"/>
  <c r="F119" i="4" s="1"/>
  <c r="C118" i="4"/>
  <c r="C117" i="4"/>
  <c r="C116" i="4"/>
  <c r="C115" i="4"/>
  <c r="C114" i="4"/>
  <c r="C113" i="4"/>
  <c r="C112" i="4"/>
  <c r="C111" i="4"/>
  <c r="D111" i="4" s="1"/>
  <c r="F111" i="4" s="1"/>
  <c r="C110" i="4"/>
  <c r="C109" i="4"/>
  <c r="C108" i="4"/>
  <c r="C107" i="4"/>
  <c r="C106" i="4"/>
  <c r="C105" i="4"/>
  <c r="C104" i="4"/>
  <c r="C103" i="4"/>
  <c r="D103" i="4" s="1"/>
  <c r="F103" i="4" s="1"/>
  <c r="C102" i="4"/>
  <c r="C101" i="4"/>
  <c r="C100" i="4"/>
  <c r="C99" i="4"/>
  <c r="C98" i="4"/>
  <c r="C97" i="4"/>
  <c r="C96" i="4"/>
  <c r="C95" i="4"/>
  <c r="D95" i="4" s="1"/>
  <c r="F95" i="4" s="1"/>
  <c r="C94" i="4"/>
  <c r="C93" i="4"/>
  <c r="C92" i="4"/>
  <c r="C91" i="4"/>
  <c r="C90" i="4"/>
  <c r="C89" i="4"/>
  <c r="C88" i="4"/>
  <c r="C87" i="4"/>
  <c r="D87" i="4" s="1"/>
  <c r="F87" i="4" s="1"/>
  <c r="C86" i="4"/>
  <c r="C85" i="4"/>
  <c r="C84" i="4"/>
  <c r="C83" i="4"/>
  <c r="C82" i="4"/>
  <c r="C81" i="4"/>
  <c r="C80" i="4"/>
  <c r="C79" i="4"/>
  <c r="D79" i="4" s="1"/>
  <c r="F79" i="4" s="1"/>
  <c r="C78" i="4"/>
  <c r="C77" i="4"/>
  <c r="C76" i="4"/>
  <c r="C75" i="4"/>
  <c r="C74" i="4"/>
  <c r="C73" i="4"/>
  <c r="C72" i="4"/>
  <c r="C71" i="4"/>
  <c r="D71" i="4" s="1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D55" i="4" s="1"/>
  <c r="F55" i="4" s="1"/>
  <c r="C54" i="4"/>
  <c r="C53" i="4"/>
  <c r="C52" i="4"/>
  <c r="C51" i="4"/>
  <c r="C50" i="4"/>
  <c r="C49" i="4"/>
  <c r="C48" i="4"/>
  <c r="C47" i="4"/>
  <c r="D47" i="4" s="1"/>
  <c r="F47" i="4" s="1"/>
  <c r="C46" i="4"/>
  <c r="C45" i="4"/>
  <c r="C44" i="4"/>
  <c r="C43" i="4"/>
  <c r="C42" i="4"/>
  <c r="C41" i="4"/>
  <c r="C40" i="4"/>
  <c r="C39" i="4"/>
  <c r="D39" i="4" s="1"/>
  <c r="F39" i="4" s="1"/>
  <c r="C38" i="4"/>
  <c r="C37" i="4"/>
  <c r="C36" i="4"/>
  <c r="C35" i="4"/>
  <c r="C34" i="4"/>
  <c r="C33" i="4"/>
  <c r="C32" i="4"/>
  <c r="C31" i="4"/>
  <c r="D31" i="4" s="1"/>
  <c r="F31" i="4" s="1"/>
  <c r="C30" i="4"/>
  <c r="C29" i="4"/>
  <c r="C28" i="4"/>
  <c r="C27" i="4"/>
  <c r="C26" i="4"/>
  <c r="C25" i="4"/>
  <c r="C24" i="4"/>
  <c r="C23" i="4"/>
  <c r="D23" i="4" s="1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D2" i="4" s="1"/>
  <c r="D478" i="4" l="1"/>
  <c r="F478" i="4" s="1"/>
  <c r="D502" i="4"/>
  <c r="F502" i="4" s="1"/>
  <c r="D38" i="4"/>
  <c r="D455" i="4"/>
  <c r="F455" i="4" s="1"/>
  <c r="D463" i="4"/>
  <c r="F463" i="4" s="1"/>
  <c r="D471" i="4"/>
  <c r="F471" i="4" s="1"/>
  <c r="D479" i="4"/>
  <c r="F479" i="4" s="1"/>
  <c r="D487" i="4"/>
  <c r="D503" i="4"/>
  <c r="F503" i="4" s="1"/>
  <c r="F167" i="4"/>
  <c r="D393" i="4"/>
  <c r="F393" i="4" s="1"/>
  <c r="F295" i="4"/>
  <c r="D17" i="4"/>
  <c r="F17" i="4" s="1"/>
  <c r="D25" i="4"/>
  <c r="F25" i="4" s="1"/>
  <c r="D41" i="4"/>
  <c r="F41" i="4" s="1"/>
  <c r="D121" i="4"/>
  <c r="F121" i="4" s="1"/>
  <c r="D194" i="4"/>
  <c r="F194" i="4" s="1"/>
  <c r="D241" i="4"/>
  <c r="D266" i="4"/>
  <c r="F266" i="4" s="1"/>
  <c r="D289" i="4"/>
  <c r="F289" i="4" s="1"/>
  <c r="D433" i="4"/>
  <c r="D299" i="4"/>
  <c r="D371" i="4"/>
  <c r="F371" i="4" s="1"/>
  <c r="D403" i="4"/>
  <c r="F403" i="4" s="1"/>
  <c r="D443" i="4"/>
  <c r="F443" i="4" s="1"/>
  <c r="D467" i="4"/>
  <c r="F467" i="4" s="1"/>
  <c r="D483" i="4"/>
  <c r="F483" i="4" s="1"/>
  <c r="D509" i="4"/>
  <c r="F509" i="4" s="1"/>
  <c r="D419" i="4"/>
  <c r="F419" i="4" s="1"/>
  <c r="D14" i="4"/>
  <c r="F14" i="4" s="1"/>
  <c r="D406" i="4"/>
  <c r="F406" i="4" s="1"/>
  <c r="D430" i="4"/>
  <c r="D494" i="4"/>
  <c r="F494" i="4" s="1"/>
  <c r="D72" i="4"/>
  <c r="D168" i="4"/>
  <c r="D248" i="4"/>
  <c r="F248" i="4" s="1"/>
  <c r="D313" i="4"/>
  <c r="F313" i="4" s="1"/>
  <c r="D15" i="4"/>
  <c r="F15" i="4" s="1"/>
  <c r="D6" i="4"/>
  <c r="F6" i="4" s="1"/>
  <c r="D353" i="4"/>
  <c r="D377" i="4"/>
  <c r="F377" i="4" s="1"/>
  <c r="D417" i="4"/>
  <c r="D457" i="4"/>
  <c r="D481" i="4"/>
  <c r="D3" i="4"/>
  <c r="F3" i="4" s="1"/>
  <c r="D11" i="4"/>
  <c r="F11" i="4" s="1"/>
  <c r="D19" i="4"/>
  <c r="D27" i="4"/>
  <c r="D35" i="4"/>
  <c r="F35" i="4" s="1"/>
  <c r="D43" i="4"/>
  <c r="D51" i="4"/>
  <c r="D59" i="4"/>
  <c r="F59" i="4" s="1"/>
  <c r="D67" i="4"/>
  <c r="F67" i="4" s="1"/>
  <c r="D75" i="4"/>
  <c r="F75" i="4" s="1"/>
  <c r="D83" i="4"/>
  <c r="F83" i="4" s="1"/>
  <c r="D91" i="4"/>
  <c r="F91" i="4" s="1"/>
  <c r="D99" i="4"/>
  <c r="F99" i="4" s="1"/>
  <c r="D107" i="4"/>
  <c r="F107" i="4" s="1"/>
  <c r="D115" i="4"/>
  <c r="D123" i="4"/>
  <c r="D131" i="4"/>
  <c r="F131" i="4" s="1"/>
  <c r="D139" i="4"/>
  <c r="F139" i="4" s="1"/>
  <c r="D147" i="4"/>
  <c r="F147" i="4" s="1"/>
  <c r="D155" i="4"/>
  <c r="F155" i="4" s="1"/>
  <c r="D163" i="4"/>
  <c r="F163" i="4" s="1"/>
  <c r="D171" i="4"/>
  <c r="D179" i="4"/>
  <c r="D187" i="4"/>
  <c r="D195" i="4"/>
  <c r="F195" i="4" s="1"/>
  <c r="D203" i="4"/>
  <c r="F203" i="4" s="1"/>
  <c r="D211" i="4"/>
  <c r="F211" i="4" s="1"/>
  <c r="D219" i="4"/>
  <c r="D227" i="4"/>
  <c r="F227" i="4" s="1"/>
  <c r="D235" i="4"/>
  <c r="D243" i="4"/>
  <c r="D251" i="4"/>
  <c r="F251" i="4" s="1"/>
  <c r="D259" i="4"/>
  <c r="F259" i="4" s="1"/>
  <c r="D267" i="4"/>
  <c r="F267" i="4" s="1"/>
  <c r="D275" i="4"/>
  <c r="F275" i="4" s="1"/>
  <c r="D283" i="4"/>
  <c r="D291" i="4"/>
  <c r="F291" i="4" s="1"/>
  <c r="D307" i="4"/>
  <c r="F307" i="4" s="1"/>
  <c r="D315" i="4"/>
  <c r="D323" i="4"/>
  <c r="F323" i="4" s="1"/>
  <c r="D331" i="4"/>
  <c r="F331" i="4" s="1"/>
  <c r="D339" i="4"/>
  <c r="F339" i="4" s="1"/>
  <c r="D347" i="4"/>
  <c r="F347" i="4" s="1"/>
  <c r="D355" i="4"/>
  <c r="F355" i="4" s="1"/>
  <c r="D363" i="4"/>
  <c r="F363" i="4" s="1"/>
  <c r="D379" i="4"/>
  <c r="F379" i="4" s="1"/>
  <c r="D387" i="4"/>
  <c r="D395" i="4"/>
  <c r="F395" i="4" s="1"/>
  <c r="D411" i="4"/>
  <c r="F411" i="4" s="1"/>
  <c r="D427" i="4"/>
  <c r="F427" i="4" s="1"/>
  <c r="D435" i="4"/>
  <c r="F435" i="4" s="1"/>
  <c r="D451" i="4"/>
  <c r="F451" i="4" s="1"/>
  <c r="D459" i="4"/>
  <c r="F459" i="4" s="1"/>
  <c r="D475" i="4"/>
  <c r="F475" i="4" s="1"/>
  <c r="D491" i="4"/>
  <c r="D499" i="4"/>
  <c r="D507" i="4"/>
  <c r="F507" i="4" s="1"/>
  <c r="D504" i="4"/>
  <c r="F504" i="4" s="1"/>
  <c r="G14" i="4"/>
  <c r="E14" i="4"/>
  <c r="G23" i="4"/>
  <c r="E175" i="4"/>
  <c r="G175" i="4"/>
  <c r="G406" i="4"/>
  <c r="E455" i="4"/>
  <c r="G471" i="4"/>
  <c r="E471" i="4"/>
  <c r="G494" i="4"/>
  <c r="E494" i="4"/>
  <c r="G248" i="4"/>
  <c r="G313" i="4"/>
  <c r="E313" i="4"/>
  <c r="G393" i="4"/>
  <c r="E393" i="4"/>
  <c r="E505" i="4"/>
  <c r="G505" i="4"/>
  <c r="E17" i="4"/>
  <c r="G289" i="4"/>
  <c r="E289" i="4"/>
  <c r="E457" i="4"/>
  <c r="G481" i="4"/>
  <c r="G25" i="4"/>
  <c r="E25" i="4"/>
  <c r="E121" i="4"/>
  <c r="G266" i="4"/>
  <c r="E266" i="4"/>
  <c r="G377" i="4"/>
  <c r="E377" i="4"/>
  <c r="G6" i="4"/>
  <c r="E6" i="4"/>
  <c r="E41" i="4"/>
  <c r="G41" i="4"/>
  <c r="G194" i="4"/>
  <c r="E194" i="4"/>
  <c r="G147" i="4"/>
  <c r="E147" i="4"/>
  <c r="G195" i="4"/>
  <c r="E195" i="4"/>
  <c r="G267" i="4"/>
  <c r="E267" i="4"/>
  <c r="G307" i="4"/>
  <c r="E307" i="4"/>
  <c r="G331" i="4"/>
  <c r="E331" i="4"/>
  <c r="G91" i="4"/>
  <c r="E91" i="4"/>
  <c r="G123" i="4"/>
  <c r="G219" i="4"/>
  <c r="G251" i="4"/>
  <c r="E251" i="4"/>
  <c r="G283" i="4"/>
  <c r="G347" i="4"/>
  <c r="E347" i="4"/>
  <c r="G379" i="4"/>
  <c r="E379" i="4"/>
  <c r="G411" i="4"/>
  <c r="E411" i="4"/>
  <c r="G435" i="4"/>
  <c r="E435" i="4"/>
  <c r="G459" i="4"/>
  <c r="E459" i="4"/>
  <c r="G475" i="4"/>
  <c r="E475" i="4"/>
  <c r="G15" i="4"/>
  <c r="E15" i="4"/>
  <c r="G403" i="4"/>
  <c r="E403" i="4"/>
  <c r="D330" i="4"/>
  <c r="F330" i="4" s="1"/>
  <c r="G241" i="4"/>
  <c r="D40" i="4"/>
  <c r="F40" i="4" s="1"/>
  <c r="D4" i="4"/>
  <c r="F4" i="4" s="1"/>
  <c r="D12" i="4"/>
  <c r="F12" i="4" s="1"/>
  <c r="D20" i="4"/>
  <c r="F20" i="4" s="1"/>
  <c r="D28" i="4"/>
  <c r="F28" i="4" s="1"/>
  <c r="D36" i="4"/>
  <c r="F36" i="4" s="1"/>
  <c r="D44" i="4"/>
  <c r="F44" i="4" s="1"/>
  <c r="D52" i="4"/>
  <c r="F52" i="4" s="1"/>
  <c r="D60" i="4"/>
  <c r="F60" i="4" s="1"/>
  <c r="D68" i="4"/>
  <c r="D76" i="4"/>
  <c r="F76" i="4" s="1"/>
  <c r="D84" i="4"/>
  <c r="F84" i="4" s="1"/>
  <c r="D92" i="4"/>
  <c r="F92" i="4" s="1"/>
  <c r="D93" i="4"/>
  <c r="D100" i="4"/>
  <c r="F100" i="4" s="1"/>
  <c r="D108" i="4"/>
  <c r="F108" i="4" s="1"/>
  <c r="D116" i="4"/>
  <c r="F116" i="4" s="1"/>
  <c r="D124" i="4"/>
  <c r="F124" i="4" s="1"/>
  <c r="D132" i="4"/>
  <c r="F132" i="4" s="1"/>
  <c r="D140" i="4"/>
  <c r="F140" i="4" s="1"/>
  <c r="D141" i="4"/>
  <c r="F141" i="4" s="1"/>
  <c r="D148" i="4"/>
  <c r="F148" i="4" s="1"/>
  <c r="D156" i="4"/>
  <c r="F156" i="4" s="1"/>
  <c r="D164" i="4"/>
  <c r="F164" i="4" s="1"/>
  <c r="D172" i="4"/>
  <c r="F172" i="4" s="1"/>
  <c r="D180" i="4"/>
  <c r="F180" i="4" s="1"/>
  <c r="D188" i="4"/>
  <c r="F188" i="4" s="1"/>
  <c r="D196" i="4"/>
  <c r="F196" i="4" s="1"/>
  <c r="D204" i="4"/>
  <c r="F204" i="4" s="1"/>
  <c r="D212" i="4"/>
  <c r="F212" i="4" s="1"/>
  <c r="D220" i="4"/>
  <c r="F220" i="4" s="1"/>
  <c r="D252" i="4"/>
  <c r="F252" i="4" s="1"/>
  <c r="G497" i="4"/>
  <c r="E497" i="4"/>
  <c r="G467" i="4"/>
  <c r="E467" i="4"/>
  <c r="G431" i="4"/>
  <c r="E431" i="4"/>
  <c r="G394" i="4"/>
  <c r="E394" i="4"/>
  <c r="D222" i="4"/>
  <c r="F222" i="4" s="1"/>
  <c r="D122" i="4"/>
  <c r="F122" i="4" s="1"/>
  <c r="D13" i="4"/>
  <c r="F13" i="4" s="1"/>
  <c r="D21" i="4"/>
  <c r="F21" i="4" s="1"/>
  <c r="D29" i="4"/>
  <c r="F29" i="4" s="1"/>
  <c r="D61" i="4"/>
  <c r="F61" i="4" s="1"/>
  <c r="D157" i="4"/>
  <c r="F157" i="4" s="1"/>
  <c r="D205" i="4"/>
  <c r="F205" i="4" s="1"/>
  <c r="D213" i="4"/>
  <c r="F213" i="4" s="1"/>
  <c r="G478" i="4"/>
  <c r="E478" i="4"/>
  <c r="G502" i="4"/>
  <c r="E502" i="4"/>
  <c r="G509" i="4"/>
  <c r="E509" i="4"/>
  <c r="D7" i="4"/>
  <c r="F7" i="4" s="1"/>
  <c r="G495" i="4"/>
  <c r="E495" i="4"/>
  <c r="G458" i="4"/>
  <c r="E458" i="4"/>
  <c r="G221" i="4"/>
  <c r="E221" i="4"/>
  <c r="E19" i="4"/>
  <c r="D22" i="4"/>
  <c r="F22" i="4" s="1"/>
  <c r="D30" i="4"/>
  <c r="F30" i="4" s="1"/>
  <c r="D150" i="4"/>
  <c r="F150" i="4" s="1"/>
  <c r="D158" i="4"/>
  <c r="F158" i="4" s="1"/>
  <c r="D166" i="4"/>
  <c r="F166" i="4" s="1"/>
  <c r="D230" i="4"/>
  <c r="F230" i="4" s="1"/>
  <c r="D398" i="4"/>
  <c r="F398" i="4" s="1"/>
  <c r="D414" i="4"/>
  <c r="F414" i="4" s="1"/>
  <c r="D422" i="4"/>
  <c r="F422" i="4" s="1"/>
  <c r="D438" i="4"/>
  <c r="F438" i="4" s="1"/>
  <c r="D454" i="4"/>
  <c r="F454" i="4" s="1"/>
  <c r="D462" i="4"/>
  <c r="F462" i="4" s="1"/>
  <c r="D486" i="4"/>
  <c r="F486" i="4" s="1"/>
  <c r="G419" i="4"/>
  <c r="E419" i="4"/>
  <c r="D290" i="4"/>
  <c r="F290" i="4" s="1"/>
  <c r="D102" i="4"/>
  <c r="F102" i="4" s="1"/>
  <c r="G35" i="4"/>
  <c r="E35" i="4"/>
  <c r="G75" i="4"/>
  <c r="E75" i="4"/>
  <c r="G107" i="4"/>
  <c r="E107" i="4"/>
  <c r="G155" i="4"/>
  <c r="E155" i="4"/>
  <c r="G211" i="4"/>
  <c r="E211" i="4"/>
  <c r="G275" i="4"/>
  <c r="E275" i="4"/>
  <c r="E39" i="4"/>
  <c r="G39" i="4"/>
  <c r="D63" i="4"/>
  <c r="F63" i="4" s="1"/>
  <c r="D62" i="4"/>
  <c r="F62" i="4" s="1"/>
  <c r="E95" i="4"/>
  <c r="G95" i="4"/>
  <c r="E127" i="4"/>
  <c r="G127" i="4"/>
  <c r="E151" i="4"/>
  <c r="G151" i="4"/>
  <c r="G183" i="4"/>
  <c r="E183" i="4"/>
  <c r="G207" i="4"/>
  <c r="E207" i="4"/>
  <c r="D215" i="4"/>
  <c r="F215" i="4" s="1"/>
  <c r="D214" i="4"/>
  <c r="F214" i="4" s="1"/>
  <c r="E239" i="4"/>
  <c r="G239" i="4"/>
  <c r="G255" i="4"/>
  <c r="E255" i="4"/>
  <c r="G263" i="4"/>
  <c r="G271" i="4"/>
  <c r="E271" i="4"/>
  <c r="G279" i="4"/>
  <c r="G287" i="4"/>
  <c r="E287" i="4"/>
  <c r="E303" i="4"/>
  <c r="G303" i="4"/>
  <c r="G311" i="4"/>
  <c r="G319" i="4"/>
  <c r="E319" i="4"/>
  <c r="G327" i="4"/>
  <c r="E327" i="4"/>
  <c r="G335" i="4"/>
  <c r="E335" i="4"/>
  <c r="E343" i="4"/>
  <c r="G343" i="4"/>
  <c r="G351" i="4"/>
  <c r="E351" i="4"/>
  <c r="E359" i="4"/>
  <c r="G359" i="4"/>
  <c r="E367" i="4"/>
  <c r="G367" i="4"/>
  <c r="G375" i="4"/>
  <c r="E375" i="4"/>
  <c r="G383" i="4"/>
  <c r="E383" i="4"/>
  <c r="D391" i="4"/>
  <c r="F391" i="4" s="1"/>
  <c r="D390" i="4"/>
  <c r="F390" i="4" s="1"/>
  <c r="G399" i="4"/>
  <c r="E399" i="4"/>
  <c r="G415" i="4"/>
  <c r="E415" i="4"/>
  <c r="E423" i="4"/>
  <c r="G423" i="4"/>
  <c r="G439" i="4"/>
  <c r="E439" i="4"/>
  <c r="G447" i="4"/>
  <c r="E447" i="4"/>
  <c r="G463" i="4"/>
  <c r="E463" i="4"/>
  <c r="G479" i="4"/>
  <c r="E479" i="4"/>
  <c r="G487" i="4"/>
  <c r="G503" i="4"/>
  <c r="E503" i="4"/>
  <c r="G2" i="4"/>
  <c r="D5" i="4"/>
  <c r="F5" i="4" s="1"/>
  <c r="G483" i="4"/>
  <c r="E483" i="4"/>
  <c r="D418" i="4"/>
  <c r="F418" i="4" s="1"/>
  <c r="G371" i="4"/>
  <c r="E371" i="4"/>
  <c r="D94" i="4"/>
  <c r="F94" i="4" s="1"/>
  <c r="G3" i="4"/>
  <c r="E3" i="4"/>
  <c r="G67" i="4"/>
  <c r="E67" i="4"/>
  <c r="E179" i="4"/>
  <c r="G299" i="4"/>
  <c r="G507" i="4"/>
  <c r="E507" i="4"/>
  <c r="G71" i="4"/>
  <c r="E111" i="4"/>
  <c r="G111" i="4"/>
  <c r="G223" i="4"/>
  <c r="E223" i="4"/>
  <c r="D32" i="4"/>
  <c r="F32" i="4" s="1"/>
  <c r="D80" i="4"/>
  <c r="F80" i="4" s="1"/>
  <c r="D112" i="4"/>
  <c r="F112" i="4" s="1"/>
  <c r="D144" i="4"/>
  <c r="F144" i="4" s="1"/>
  <c r="D184" i="4"/>
  <c r="F184" i="4" s="1"/>
  <c r="D224" i="4"/>
  <c r="F224" i="4" s="1"/>
  <c r="D264" i="4"/>
  <c r="F264" i="4" s="1"/>
  <c r="D288" i="4"/>
  <c r="F288" i="4" s="1"/>
  <c r="D296" i="4"/>
  <c r="F296" i="4" s="1"/>
  <c r="D320" i="4"/>
  <c r="F320" i="4" s="1"/>
  <c r="D328" i="4"/>
  <c r="F328" i="4" s="1"/>
  <c r="D336" i="4"/>
  <c r="F336" i="4" s="1"/>
  <c r="D344" i="4"/>
  <c r="F344" i="4" s="1"/>
  <c r="D352" i="4"/>
  <c r="F352" i="4" s="1"/>
  <c r="D360" i="4"/>
  <c r="F360" i="4" s="1"/>
  <c r="D368" i="4"/>
  <c r="F368" i="4" s="1"/>
  <c r="D376" i="4"/>
  <c r="F376" i="4" s="1"/>
  <c r="D384" i="4"/>
  <c r="F384" i="4" s="1"/>
  <c r="D392" i="4"/>
  <c r="F392" i="4" s="1"/>
  <c r="D400" i="4"/>
  <c r="F400" i="4" s="1"/>
  <c r="D408" i="4"/>
  <c r="F408" i="4" s="1"/>
  <c r="D416" i="4"/>
  <c r="F416" i="4" s="1"/>
  <c r="D424" i="4"/>
  <c r="F424" i="4" s="1"/>
  <c r="D432" i="4"/>
  <c r="F432" i="4" s="1"/>
  <c r="D440" i="4"/>
  <c r="F440" i="4" s="1"/>
  <c r="D448" i="4"/>
  <c r="F448" i="4" s="1"/>
  <c r="D456" i="4"/>
  <c r="F456" i="4" s="1"/>
  <c r="D464" i="4"/>
  <c r="F464" i="4" s="1"/>
  <c r="D472" i="4"/>
  <c r="F472" i="4" s="1"/>
  <c r="D480" i="4"/>
  <c r="F480" i="4" s="1"/>
  <c r="D488" i="4"/>
  <c r="F488" i="4" s="1"/>
  <c r="D496" i="4"/>
  <c r="F496" i="4" s="1"/>
  <c r="D482" i="4"/>
  <c r="F482" i="4" s="1"/>
  <c r="D446" i="4"/>
  <c r="F446" i="4" s="1"/>
  <c r="D354" i="4"/>
  <c r="F354" i="4" s="1"/>
  <c r="G295" i="4"/>
  <c r="G11" i="4"/>
  <c r="E11" i="4"/>
  <c r="G83" i="4"/>
  <c r="E83" i="4"/>
  <c r="G131" i="4"/>
  <c r="E131" i="4"/>
  <c r="G163" i="4"/>
  <c r="E163" i="4"/>
  <c r="G203" i="4"/>
  <c r="E203" i="4"/>
  <c r="G291" i="4"/>
  <c r="E291" i="4"/>
  <c r="G323" i="4"/>
  <c r="E323" i="4"/>
  <c r="G355" i="4"/>
  <c r="E355" i="4"/>
  <c r="G427" i="4"/>
  <c r="E427" i="4"/>
  <c r="G470" i="4"/>
  <c r="E470" i="4"/>
  <c r="E55" i="4"/>
  <c r="G55" i="4"/>
  <c r="E87" i="4"/>
  <c r="G87" i="4"/>
  <c r="E119" i="4"/>
  <c r="G119" i="4"/>
  <c r="E143" i="4"/>
  <c r="G143" i="4"/>
  <c r="G191" i="4"/>
  <c r="E191" i="4"/>
  <c r="E231" i="4"/>
  <c r="G231" i="4"/>
  <c r="D8" i="4"/>
  <c r="F8" i="4" s="1"/>
  <c r="D24" i="4"/>
  <c r="F24" i="4" s="1"/>
  <c r="D48" i="4"/>
  <c r="F48" i="4" s="1"/>
  <c r="D64" i="4"/>
  <c r="F64" i="4" s="1"/>
  <c r="D88" i="4"/>
  <c r="F88" i="4" s="1"/>
  <c r="D104" i="4"/>
  <c r="F104" i="4" s="1"/>
  <c r="D128" i="4"/>
  <c r="F128" i="4" s="1"/>
  <c r="D152" i="4"/>
  <c r="F152" i="4" s="1"/>
  <c r="D176" i="4"/>
  <c r="F176" i="4" s="1"/>
  <c r="D200" i="4"/>
  <c r="F200" i="4" s="1"/>
  <c r="D216" i="4"/>
  <c r="F216" i="4" s="1"/>
  <c r="D240" i="4"/>
  <c r="F240" i="4" s="1"/>
  <c r="D256" i="4"/>
  <c r="F256" i="4" s="1"/>
  <c r="D304" i="4"/>
  <c r="F304" i="4" s="1"/>
  <c r="D9" i="4"/>
  <c r="F9" i="4" s="1"/>
  <c r="D49" i="4"/>
  <c r="F49" i="4" s="1"/>
  <c r="D65" i="4"/>
  <c r="F65" i="4" s="1"/>
  <c r="D81" i="4"/>
  <c r="F81" i="4" s="1"/>
  <c r="D97" i="4"/>
  <c r="F97" i="4" s="1"/>
  <c r="D105" i="4"/>
  <c r="F105" i="4" s="1"/>
  <c r="D137" i="4"/>
  <c r="F137" i="4" s="1"/>
  <c r="D153" i="4"/>
  <c r="F153" i="4" s="1"/>
  <c r="D177" i="4"/>
  <c r="F177" i="4" s="1"/>
  <c r="D193" i="4"/>
  <c r="F193" i="4" s="1"/>
  <c r="D209" i="4"/>
  <c r="F209" i="4" s="1"/>
  <c r="D225" i="4"/>
  <c r="D257" i="4"/>
  <c r="F257" i="4" s="1"/>
  <c r="D281" i="4"/>
  <c r="D297" i="4"/>
  <c r="F297" i="4" s="1"/>
  <c r="D329" i="4"/>
  <c r="F329" i="4" s="1"/>
  <c r="D345" i="4"/>
  <c r="D369" i="4"/>
  <c r="F369" i="4" s="1"/>
  <c r="D370" i="4"/>
  <c r="F370" i="4" s="1"/>
  <c r="D385" i="4"/>
  <c r="F385" i="4" s="1"/>
  <c r="D401" i="4"/>
  <c r="D409" i="4"/>
  <c r="F409" i="4" s="1"/>
  <c r="D425" i="4"/>
  <c r="F425" i="4" s="1"/>
  <c r="D441" i="4"/>
  <c r="F441" i="4" s="1"/>
  <c r="D449" i="4"/>
  <c r="F449" i="4" s="1"/>
  <c r="D465" i="4"/>
  <c r="F465" i="4" s="1"/>
  <c r="D473" i="4"/>
  <c r="F473" i="4" s="1"/>
  <c r="D489" i="4"/>
  <c r="F489" i="4" s="1"/>
  <c r="G506" i="4"/>
  <c r="E506" i="4"/>
  <c r="G443" i="4"/>
  <c r="E443" i="4"/>
  <c r="D407" i="4"/>
  <c r="F407" i="4" s="1"/>
  <c r="D70" i="4"/>
  <c r="F70" i="4" s="1"/>
  <c r="G59" i="4"/>
  <c r="E59" i="4"/>
  <c r="G99" i="4"/>
  <c r="E99" i="4"/>
  <c r="G139" i="4"/>
  <c r="E139" i="4"/>
  <c r="G227" i="4"/>
  <c r="E227" i="4"/>
  <c r="G259" i="4"/>
  <c r="E259" i="4"/>
  <c r="G339" i="4"/>
  <c r="E339" i="4"/>
  <c r="G363" i="4"/>
  <c r="E363" i="4"/>
  <c r="G395" i="4"/>
  <c r="E395" i="4"/>
  <c r="G451" i="4"/>
  <c r="E451" i="4"/>
  <c r="G504" i="4"/>
  <c r="E504" i="4"/>
  <c r="E31" i="4"/>
  <c r="G31" i="4"/>
  <c r="E47" i="4"/>
  <c r="G47" i="4"/>
  <c r="E79" i="4"/>
  <c r="G79" i="4"/>
  <c r="E103" i="4"/>
  <c r="G103" i="4"/>
  <c r="E135" i="4"/>
  <c r="G135" i="4"/>
  <c r="E159" i="4"/>
  <c r="G159" i="4"/>
  <c r="G199" i="4"/>
  <c r="E199" i="4"/>
  <c r="G247" i="4"/>
  <c r="E247" i="4"/>
  <c r="D16" i="4"/>
  <c r="F16" i="4" s="1"/>
  <c r="D56" i="4"/>
  <c r="F56" i="4" s="1"/>
  <c r="D96" i="4"/>
  <c r="F96" i="4" s="1"/>
  <c r="D120" i="4"/>
  <c r="F120" i="4" s="1"/>
  <c r="D136" i="4"/>
  <c r="F136" i="4" s="1"/>
  <c r="D160" i="4"/>
  <c r="F160" i="4" s="1"/>
  <c r="D192" i="4"/>
  <c r="F192" i="4" s="1"/>
  <c r="D208" i="4"/>
  <c r="F208" i="4" s="1"/>
  <c r="D232" i="4"/>
  <c r="F232" i="4" s="1"/>
  <c r="D272" i="4"/>
  <c r="F272" i="4" s="1"/>
  <c r="D280" i="4"/>
  <c r="F280" i="4" s="1"/>
  <c r="D312" i="4"/>
  <c r="F312" i="4" s="1"/>
  <c r="D33" i="4"/>
  <c r="F33" i="4" s="1"/>
  <c r="D57" i="4"/>
  <c r="F57" i="4" s="1"/>
  <c r="D73" i="4"/>
  <c r="F73" i="4" s="1"/>
  <c r="D89" i="4"/>
  <c r="F89" i="4" s="1"/>
  <c r="D113" i="4"/>
  <c r="F113" i="4" s="1"/>
  <c r="D129" i="4"/>
  <c r="F129" i="4" s="1"/>
  <c r="D145" i="4"/>
  <c r="F145" i="4" s="1"/>
  <c r="D161" i="4"/>
  <c r="F161" i="4" s="1"/>
  <c r="D169" i="4"/>
  <c r="F169" i="4" s="1"/>
  <c r="D185" i="4"/>
  <c r="D201" i="4"/>
  <c r="F201" i="4" s="1"/>
  <c r="D217" i="4"/>
  <c r="F217" i="4" s="1"/>
  <c r="D233" i="4"/>
  <c r="F233" i="4" s="1"/>
  <c r="D249" i="4"/>
  <c r="F249" i="4" s="1"/>
  <c r="D265" i="4"/>
  <c r="F265" i="4" s="1"/>
  <c r="D273" i="4"/>
  <c r="F273" i="4" s="1"/>
  <c r="D305" i="4"/>
  <c r="F305" i="4" s="1"/>
  <c r="D306" i="4"/>
  <c r="F306" i="4" s="1"/>
  <c r="D321" i="4"/>
  <c r="F321" i="4" s="1"/>
  <c r="D337" i="4"/>
  <c r="F337" i="4" s="1"/>
  <c r="D361" i="4"/>
  <c r="F361" i="4" s="1"/>
  <c r="D10" i="4"/>
  <c r="F10" i="4" s="1"/>
  <c r="D18" i="4"/>
  <c r="F18" i="4" s="1"/>
  <c r="D50" i="4"/>
  <c r="F50" i="4" s="1"/>
  <c r="D82" i="4"/>
  <c r="F82" i="4" s="1"/>
  <c r="D130" i="4"/>
  <c r="F130" i="4" s="1"/>
  <c r="D138" i="4"/>
  <c r="F138" i="4" s="1"/>
  <c r="D186" i="4"/>
  <c r="F186" i="4" s="1"/>
  <c r="D202" i="4"/>
  <c r="F202" i="4" s="1"/>
  <c r="D250" i="4"/>
  <c r="F250" i="4" s="1"/>
  <c r="D258" i="4"/>
  <c r="F258" i="4" s="1"/>
  <c r="D274" i="4"/>
  <c r="D282" i="4"/>
  <c r="D298" i="4"/>
  <c r="F298" i="4" s="1"/>
  <c r="D314" i="4"/>
  <c r="F314" i="4" s="1"/>
  <c r="D322" i="4"/>
  <c r="F322" i="4" s="1"/>
  <c r="D338" i="4"/>
  <c r="F338" i="4" s="1"/>
  <c r="D346" i="4"/>
  <c r="F346" i="4" s="1"/>
  <c r="D362" i="4"/>
  <c r="F362" i="4" s="1"/>
  <c r="D378" i="4"/>
  <c r="F378" i="4" s="1"/>
  <c r="D386" i="4"/>
  <c r="F386" i="4" s="1"/>
  <c r="D402" i="4"/>
  <c r="F402" i="4" s="1"/>
  <c r="D410" i="4"/>
  <c r="D426" i="4"/>
  <c r="F426" i="4" s="1"/>
  <c r="D434" i="4"/>
  <c r="F434" i="4" s="1"/>
  <c r="D450" i="4"/>
  <c r="F450" i="4" s="1"/>
  <c r="D466" i="4"/>
  <c r="F466" i="4" s="1"/>
  <c r="D474" i="4"/>
  <c r="F474" i="4" s="1"/>
  <c r="D490" i="4"/>
  <c r="F490" i="4" s="1"/>
  <c r="D498" i="4"/>
  <c r="F498" i="4" s="1"/>
  <c r="D442" i="4"/>
  <c r="F442" i="4" s="1"/>
  <c r="D149" i="4"/>
  <c r="E433" i="4"/>
  <c r="G167" i="4"/>
  <c r="G38" i="4"/>
  <c r="D26" i="4"/>
  <c r="F26" i="4" s="1"/>
  <c r="D34" i="4"/>
  <c r="F34" i="4" s="1"/>
  <c r="D42" i="4"/>
  <c r="F42" i="4" s="1"/>
  <c r="D58" i="4"/>
  <c r="F58" i="4" s="1"/>
  <c r="D66" i="4"/>
  <c r="F66" i="4" s="1"/>
  <c r="D74" i="4"/>
  <c r="F74" i="4" s="1"/>
  <c r="D90" i="4"/>
  <c r="F90" i="4" s="1"/>
  <c r="D98" i="4"/>
  <c r="F98" i="4" s="1"/>
  <c r="D106" i="4"/>
  <c r="F106" i="4" s="1"/>
  <c r="D114" i="4"/>
  <c r="F114" i="4" s="1"/>
  <c r="D146" i="4"/>
  <c r="F146" i="4" s="1"/>
  <c r="D154" i="4"/>
  <c r="F154" i="4" s="1"/>
  <c r="D162" i="4"/>
  <c r="F162" i="4" s="1"/>
  <c r="D170" i="4"/>
  <c r="D178" i="4"/>
  <c r="F178" i="4" s="1"/>
  <c r="D210" i="4"/>
  <c r="F210" i="4" s="1"/>
  <c r="D218" i="4"/>
  <c r="F218" i="4" s="1"/>
  <c r="D226" i="4"/>
  <c r="F226" i="4" s="1"/>
  <c r="D234" i="4"/>
  <c r="F234" i="4" s="1"/>
  <c r="D242" i="4"/>
  <c r="F242" i="4" s="1"/>
  <c r="D292" i="4"/>
  <c r="F292" i="4" s="1"/>
  <c r="D332" i="4"/>
  <c r="F332" i="4" s="1"/>
  <c r="D348" i="4"/>
  <c r="F348" i="4" s="1"/>
  <c r="G356" i="4"/>
  <c r="E356" i="4"/>
  <c r="G380" i="4"/>
  <c r="E380" i="4"/>
  <c r="G388" i="4"/>
  <c r="E388" i="4"/>
  <c r="G396" i="4"/>
  <c r="E396" i="4"/>
  <c r="G404" i="4"/>
  <c r="E404" i="4"/>
  <c r="G412" i="4"/>
  <c r="E412" i="4"/>
  <c r="G420" i="4"/>
  <c r="E420" i="4"/>
  <c r="G428" i="4"/>
  <c r="E428" i="4"/>
  <c r="G436" i="4"/>
  <c r="E436" i="4"/>
  <c r="G444" i="4"/>
  <c r="G452" i="4"/>
  <c r="G460" i="4"/>
  <c r="E460" i="4"/>
  <c r="G468" i="4"/>
  <c r="E468" i="4"/>
  <c r="G476" i="4"/>
  <c r="E476" i="4"/>
  <c r="G484" i="4"/>
  <c r="G492" i="4"/>
  <c r="E492" i="4"/>
  <c r="G500" i="4"/>
  <c r="E500" i="4"/>
  <c r="G508" i="4"/>
  <c r="E508" i="4"/>
  <c r="G510" i="4"/>
  <c r="E510" i="4"/>
  <c r="D501" i="4"/>
  <c r="D228" i="4"/>
  <c r="F228" i="4" s="1"/>
  <c r="D244" i="4"/>
  <c r="F244" i="4" s="1"/>
  <c r="D268" i="4"/>
  <c r="F268" i="4" s="1"/>
  <c r="D284" i="4"/>
  <c r="F284" i="4" s="1"/>
  <c r="D308" i="4"/>
  <c r="F308" i="4" s="1"/>
  <c r="D324" i="4"/>
  <c r="F324" i="4" s="1"/>
  <c r="G364" i="4"/>
  <c r="E364" i="4"/>
  <c r="D45" i="4"/>
  <c r="F45" i="4" s="1"/>
  <c r="D77" i="4"/>
  <c r="F77" i="4" s="1"/>
  <c r="D101" i="4"/>
  <c r="F101" i="4" s="1"/>
  <c r="D109" i="4"/>
  <c r="F109" i="4" s="1"/>
  <c r="D117" i="4"/>
  <c r="F117" i="4" s="1"/>
  <c r="D125" i="4"/>
  <c r="F125" i="4" s="1"/>
  <c r="D133" i="4"/>
  <c r="F133" i="4" s="1"/>
  <c r="D165" i="4"/>
  <c r="F165" i="4" s="1"/>
  <c r="D173" i="4"/>
  <c r="F173" i="4" s="1"/>
  <c r="D181" i="4"/>
  <c r="F181" i="4" s="1"/>
  <c r="D189" i="4"/>
  <c r="F189" i="4" s="1"/>
  <c r="D197" i="4"/>
  <c r="F197" i="4" s="1"/>
  <c r="D229" i="4"/>
  <c r="F229" i="4" s="1"/>
  <c r="D237" i="4"/>
  <c r="F237" i="4" s="1"/>
  <c r="D245" i="4"/>
  <c r="F245" i="4" s="1"/>
  <c r="D253" i="4"/>
  <c r="F253" i="4" s="1"/>
  <c r="D261" i="4"/>
  <c r="F261" i="4" s="1"/>
  <c r="D269" i="4"/>
  <c r="F269" i="4" s="1"/>
  <c r="D277" i="4"/>
  <c r="F277" i="4" s="1"/>
  <c r="D285" i="4"/>
  <c r="F285" i="4" s="1"/>
  <c r="D293" i="4"/>
  <c r="F293" i="4" s="1"/>
  <c r="D301" i="4"/>
  <c r="F301" i="4" s="1"/>
  <c r="D309" i="4"/>
  <c r="F309" i="4" s="1"/>
  <c r="D317" i="4"/>
  <c r="F317" i="4" s="1"/>
  <c r="D325" i="4"/>
  <c r="F325" i="4" s="1"/>
  <c r="D333" i="4"/>
  <c r="F333" i="4" s="1"/>
  <c r="D341" i="4"/>
  <c r="F341" i="4" s="1"/>
  <c r="D349" i="4"/>
  <c r="D357" i="4"/>
  <c r="F357" i="4" s="1"/>
  <c r="D365" i="4"/>
  <c r="D373" i="4"/>
  <c r="F373" i="4" s="1"/>
  <c r="D381" i="4"/>
  <c r="F381" i="4" s="1"/>
  <c r="D389" i="4"/>
  <c r="F389" i="4" s="1"/>
  <c r="D397" i="4"/>
  <c r="F397" i="4" s="1"/>
  <c r="D405" i="4"/>
  <c r="F405" i="4" s="1"/>
  <c r="D413" i="4"/>
  <c r="F413" i="4" s="1"/>
  <c r="D421" i="4"/>
  <c r="F421" i="4" s="1"/>
  <c r="D429" i="4"/>
  <c r="F429" i="4" s="1"/>
  <c r="D437" i="4"/>
  <c r="F437" i="4" s="1"/>
  <c r="D445" i="4"/>
  <c r="F445" i="4" s="1"/>
  <c r="D453" i="4"/>
  <c r="F453" i="4" s="1"/>
  <c r="D461" i="4"/>
  <c r="D469" i="4"/>
  <c r="F469" i="4" s="1"/>
  <c r="D477" i="4"/>
  <c r="F477" i="4" s="1"/>
  <c r="D485" i="4"/>
  <c r="F485" i="4" s="1"/>
  <c r="D493" i="4"/>
  <c r="F493" i="4" s="1"/>
  <c r="D236" i="4"/>
  <c r="F236" i="4" s="1"/>
  <c r="D260" i="4"/>
  <c r="F260" i="4" s="1"/>
  <c r="D276" i="4"/>
  <c r="F276" i="4" s="1"/>
  <c r="D300" i="4"/>
  <c r="F300" i="4" s="1"/>
  <c r="D316" i="4"/>
  <c r="F316" i="4" s="1"/>
  <c r="D340" i="4"/>
  <c r="F340" i="4" s="1"/>
  <c r="G372" i="4"/>
  <c r="E372" i="4"/>
  <c r="D37" i="4"/>
  <c r="F37" i="4" s="1"/>
  <c r="D53" i="4"/>
  <c r="F53" i="4" s="1"/>
  <c r="D69" i="4"/>
  <c r="F69" i="4" s="1"/>
  <c r="D85" i="4"/>
  <c r="F85" i="4" s="1"/>
  <c r="D46" i="4"/>
  <c r="F46" i="4" s="1"/>
  <c r="D54" i="4"/>
  <c r="D78" i="4"/>
  <c r="F78" i="4" s="1"/>
  <c r="D86" i="4"/>
  <c r="F86" i="4" s="1"/>
  <c r="D110" i="4"/>
  <c r="F110" i="4" s="1"/>
  <c r="D118" i="4"/>
  <c r="F118" i="4" s="1"/>
  <c r="D126" i="4"/>
  <c r="F126" i="4" s="1"/>
  <c r="D134" i="4"/>
  <c r="F134" i="4" s="1"/>
  <c r="D142" i="4"/>
  <c r="F142" i="4" s="1"/>
  <c r="D174" i="4"/>
  <c r="F174" i="4" s="1"/>
  <c r="D182" i="4"/>
  <c r="F182" i="4" s="1"/>
  <c r="D190" i="4"/>
  <c r="F190" i="4" s="1"/>
  <c r="D198" i="4"/>
  <c r="F198" i="4" s="1"/>
  <c r="D206" i="4"/>
  <c r="F206" i="4" s="1"/>
  <c r="D238" i="4"/>
  <c r="F238" i="4" s="1"/>
  <c r="D246" i="4"/>
  <c r="F246" i="4" s="1"/>
  <c r="D254" i="4"/>
  <c r="F254" i="4" s="1"/>
  <c r="D262" i="4"/>
  <c r="F262" i="4" s="1"/>
  <c r="D270" i="4"/>
  <c r="F270" i="4" s="1"/>
  <c r="D278" i="4"/>
  <c r="F278" i="4" s="1"/>
  <c r="D286" i="4"/>
  <c r="F286" i="4" s="1"/>
  <c r="D294" i="4"/>
  <c r="D302" i="4"/>
  <c r="F302" i="4" s="1"/>
  <c r="D310" i="4"/>
  <c r="F310" i="4" s="1"/>
  <c r="D318" i="4"/>
  <c r="F318" i="4" s="1"/>
  <c r="D326" i="4"/>
  <c r="F326" i="4" s="1"/>
  <c r="D334" i="4"/>
  <c r="F334" i="4" s="1"/>
  <c r="D342" i="4"/>
  <c r="F342" i="4" s="1"/>
  <c r="D350" i="4"/>
  <c r="F350" i="4" s="1"/>
  <c r="D358" i="4"/>
  <c r="F358" i="4" s="1"/>
  <c r="D366" i="4"/>
  <c r="F366" i="4" s="1"/>
  <c r="D374" i="4"/>
  <c r="F374" i="4" s="1"/>
  <c r="D382" i="4"/>
  <c r="F505" i="4"/>
  <c r="G499" i="4" l="1"/>
  <c r="F499" i="4"/>
  <c r="G187" i="4"/>
  <c r="F187" i="4"/>
  <c r="E123" i="4"/>
  <c r="F123" i="4"/>
  <c r="E481" i="4"/>
  <c r="G433" i="4"/>
  <c r="F433" i="4"/>
  <c r="G491" i="4"/>
  <c r="F491" i="4"/>
  <c r="G387" i="4"/>
  <c r="F387" i="4"/>
  <c r="G315" i="4"/>
  <c r="F315" i="4"/>
  <c r="G243" i="4"/>
  <c r="F243" i="4"/>
  <c r="G179" i="4"/>
  <c r="F179" i="4"/>
  <c r="G115" i="4"/>
  <c r="F115" i="4"/>
  <c r="G51" i="4"/>
  <c r="F51" i="4"/>
  <c r="G457" i="4"/>
  <c r="G168" i="4"/>
  <c r="F168" i="4"/>
  <c r="G235" i="4"/>
  <c r="F235" i="4"/>
  <c r="G171" i="4"/>
  <c r="F171" i="4"/>
  <c r="G43" i="4"/>
  <c r="F43" i="4"/>
  <c r="G417" i="4"/>
  <c r="F417" i="4"/>
  <c r="E72" i="4"/>
  <c r="F72" i="4"/>
  <c r="E444" i="4"/>
  <c r="E283" i="4"/>
  <c r="F283" i="4"/>
  <c r="E219" i="4"/>
  <c r="F219" i="4"/>
  <c r="G27" i="4"/>
  <c r="F27" i="4"/>
  <c r="G353" i="4"/>
  <c r="F353" i="4"/>
  <c r="G430" i="4"/>
  <c r="F430" i="4"/>
  <c r="G19" i="4"/>
  <c r="F19" i="4"/>
  <c r="G455" i="4"/>
  <c r="E279" i="4"/>
  <c r="F281" i="4"/>
  <c r="G121" i="4"/>
  <c r="G17" i="4"/>
  <c r="E248" i="4"/>
  <c r="E406" i="4"/>
  <c r="E311" i="4"/>
  <c r="E235" i="4"/>
  <c r="E115" i="4"/>
  <c r="E51" i="4"/>
  <c r="E417" i="4"/>
  <c r="E168" i="4"/>
  <c r="E263" i="4"/>
  <c r="E387" i="4"/>
  <c r="E171" i="4"/>
  <c r="E43" i="4"/>
  <c r="E2" i="4"/>
  <c r="E499" i="4"/>
  <c r="E315" i="4"/>
  <c r="E187" i="4"/>
  <c r="E27" i="4"/>
  <c r="E353" i="4"/>
  <c r="G72" i="4"/>
  <c r="E430" i="4"/>
  <c r="E299" i="4"/>
  <c r="E243" i="4"/>
  <c r="E491" i="4"/>
  <c r="E71" i="4"/>
  <c r="E86" i="4"/>
  <c r="G86" i="4"/>
  <c r="G429" i="4"/>
  <c r="E429" i="4"/>
  <c r="E125" i="4"/>
  <c r="G125" i="4"/>
  <c r="G242" i="4"/>
  <c r="E242" i="4"/>
  <c r="G426" i="4"/>
  <c r="E426" i="4"/>
  <c r="G217" i="4"/>
  <c r="E217" i="4"/>
  <c r="E441" i="4"/>
  <c r="G441" i="4"/>
  <c r="G416" i="4"/>
  <c r="E416" i="4"/>
  <c r="G391" i="4"/>
  <c r="E391" i="4"/>
  <c r="G290" i="4"/>
  <c r="E290" i="4"/>
  <c r="E78" i="4"/>
  <c r="G78" i="4"/>
  <c r="G357" i="4"/>
  <c r="E357" i="4"/>
  <c r="E117" i="4"/>
  <c r="G117" i="4"/>
  <c r="G234" i="4"/>
  <c r="E234" i="4"/>
  <c r="G410" i="4"/>
  <c r="E410" i="4"/>
  <c r="G201" i="4"/>
  <c r="E201" i="4"/>
  <c r="G297" i="4"/>
  <c r="E297" i="4"/>
  <c r="E88" i="4"/>
  <c r="G88" i="4"/>
  <c r="G398" i="4"/>
  <c r="E398" i="4"/>
  <c r="G212" i="4"/>
  <c r="E212" i="4"/>
  <c r="G330" i="4"/>
  <c r="E330" i="4"/>
  <c r="G262" i="4"/>
  <c r="E262" i="4"/>
  <c r="G413" i="4"/>
  <c r="E413" i="4"/>
  <c r="G197" i="4"/>
  <c r="E197" i="4"/>
  <c r="G114" i="4"/>
  <c r="E114" i="4"/>
  <c r="G130" i="4"/>
  <c r="E130" i="4"/>
  <c r="E57" i="4"/>
  <c r="G57" i="4"/>
  <c r="G409" i="4"/>
  <c r="E409" i="4"/>
  <c r="E64" i="4"/>
  <c r="G64" i="4"/>
  <c r="E144" i="4"/>
  <c r="G144" i="4"/>
  <c r="G204" i="4"/>
  <c r="E204" i="4"/>
  <c r="E141" i="4"/>
  <c r="G141" i="4"/>
  <c r="G92" i="4"/>
  <c r="E92" i="4"/>
  <c r="G28" i="4"/>
  <c r="E28" i="4"/>
  <c r="G382" i="4"/>
  <c r="E382" i="4"/>
  <c r="G318" i="4"/>
  <c r="E318" i="4"/>
  <c r="G254" i="4"/>
  <c r="E254" i="4"/>
  <c r="E142" i="4"/>
  <c r="G142" i="4"/>
  <c r="E46" i="4"/>
  <c r="G46" i="4"/>
  <c r="G316" i="4"/>
  <c r="E316" i="4"/>
  <c r="G469" i="4"/>
  <c r="E469" i="4"/>
  <c r="G405" i="4"/>
  <c r="E405" i="4"/>
  <c r="G341" i="4"/>
  <c r="E341" i="4"/>
  <c r="G277" i="4"/>
  <c r="E277" i="4"/>
  <c r="E189" i="4"/>
  <c r="G189" i="4"/>
  <c r="E101" i="4"/>
  <c r="G101" i="4"/>
  <c r="G268" i="4"/>
  <c r="E268" i="4"/>
  <c r="G218" i="4"/>
  <c r="E218" i="4"/>
  <c r="G106" i="4"/>
  <c r="E106" i="4"/>
  <c r="G26" i="4"/>
  <c r="E26" i="4"/>
  <c r="G490" i="4"/>
  <c r="E490" i="4"/>
  <c r="G386" i="4"/>
  <c r="E386" i="4"/>
  <c r="G282" i="4"/>
  <c r="E282" i="4"/>
  <c r="G82" i="4"/>
  <c r="E82" i="4"/>
  <c r="G305" i="4"/>
  <c r="E305" i="4"/>
  <c r="E169" i="4"/>
  <c r="G169" i="4"/>
  <c r="E33" i="4"/>
  <c r="G33" i="4"/>
  <c r="E136" i="4"/>
  <c r="G136" i="4"/>
  <c r="G401" i="4"/>
  <c r="E401" i="4"/>
  <c r="E257" i="4"/>
  <c r="G257" i="4"/>
  <c r="E97" i="4"/>
  <c r="G97" i="4"/>
  <c r="E216" i="4"/>
  <c r="G216" i="4"/>
  <c r="E48" i="4"/>
  <c r="G48" i="4"/>
  <c r="G354" i="4"/>
  <c r="E354" i="4"/>
  <c r="G456" i="4"/>
  <c r="E456" i="4"/>
  <c r="G392" i="4"/>
  <c r="E392" i="4"/>
  <c r="G328" i="4"/>
  <c r="E328" i="4"/>
  <c r="E112" i="4"/>
  <c r="G112" i="4"/>
  <c r="G214" i="4"/>
  <c r="E214" i="4"/>
  <c r="G486" i="4"/>
  <c r="E486" i="4"/>
  <c r="E166" i="4"/>
  <c r="G166" i="4"/>
  <c r="G21" i="4"/>
  <c r="E21" i="4"/>
  <c r="G196" i="4"/>
  <c r="E196" i="4"/>
  <c r="G140" i="4"/>
  <c r="E140" i="4"/>
  <c r="G84" i="4"/>
  <c r="E84" i="4"/>
  <c r="G20" i="4"/>
  <c r="E20" i="4"/>
  <c r="G342" i="4"/>
  <c r="E342" i="4"/>
  <c r="G365" i="4"/>
  <c r="E365" i="4"/>
  <c r="G154" i="4"/>
  <c r="E154" i="4"/>
  <c r="G322" i="4"/>
  <c r="E322" i="4"/>
  <c r="G208" i="4"/>
  <c r="E208" i="4"/>
  <c r="E153" i="4"/>
  <c r="G153" i="4"/>
  <c r="G480" i="4"/>
  <c r="E480" i="4"/>
  <c r="G100" i="4"/>
  <c r="E100" i="4"/>
  <c r="G146" i="4"/>
  <c r="E146" i="4"/>
  <c r="G138" i="4"/>
  <c r="E138" i="4"/>
  <c r="G192" i="4"/>
  <c r="E192" i="4"/>
  <c r="E137" i="4"/>
  <c r="G137" i="4"/>
  <c r="E344" i="4"/>
  <c r="G344" i="4"/>
  <c r="G148" i="4"/>
  <c r="E148" i="4"/>
  <c r="E54" i="4"/>
  <c r="G54" i="4"/>
  <c r="G349" i="4"/>
  <c r="E349" i="4"/>
  <c r="G284" i="4"/>
  <c r="E284" i="4"/>
  <c r="G498" i="4"/>
  <c r="E498" i="4"/>
  <c r="E185" i="4"/>
  <c r="G185" i="4"/>
  <c r="E105" i="4"/>
  <c r="G105" i="4"/>
  <c r="E464" i="4"/>
  <c r="G464" i="4"/>
  <c r="E29" i="4"/>
  <c r="G29" i="4"/>
  <c r="G374" i="4"/>
  <c r="E374" i="4"/>
  <c r="G310" i="4"/>
  <c r="E310" i="4"/>
  <c r="G246" i="4"/>
  <c r="E246" i="4"/>
  <c r="E134" i="4"/>
  <c r="G134" i="4"/>
  <c r="E85" i="4"/>
  <c r="G85" i="4"/>
  <c r="G300" i="4"/>
  <c r="E300" i="4"/>
  <c r="G461" i="4"/>
  <c r="E461" i="4"/>
  <c r="G397" i="4"/>
  <c r="E397" i="4"/>
  <c r="G333" i="4"/>
  <c r="E333" i="4"/>
  <c r="G269" i="4"/>
  <c r="E269" i="4"/>
  <c r="E181" i="4"/>
  <c r="G181" i="4"/>
  <c r="E77" i="4"/>
  <c r="G77" i="4"/>
  <c r="G244" i="4"/>
  <c r="E244" i="4"/>
  <c r="G210" i="4"/>
  <c r="E210" i="4"/>
  <c r="G98" i="4"/>
  <c r="E98" i="4"/>
  <c r="G474" i="4"/>
  <c r="E474" i="4"/>
  <c r="G378" i="4"/>
  <c r="E378" i="4"/>
  <c r="G274" i="4"/>
  <c r="E274" i="4"/>
  <c r="G50" i="4"/>
  <c r="E50" i="4"/>
  <c r="G273" i="4"/>
  <c r="E273" i="4"/>
  <c r="E161" i="4"/>
  <c r="G161" i="4"/>
  <c r="G312" i="4"/>
  <c r="E312" i="4"/>
  <c r="E120" i="4"/>
  <c r="G120" i="4"/>
  <c r="E489" i="4"/>
  <c r="G489" i="4"/>
  <c r="E385" i="4"/>
  <c r="G385" i="4"/>
  <c r="G225" i="4"/>
  <c r="E225" i="4"/>
  <c r="E81" i="4"/>
  <c r="G81" i="4"/>
  <c r="G200" i="4"/>
  <c r="E200" i="4"/>
  <c r="E24" i="4"/>
  <c r="G24" i="4"/>
  <c r="G446" i="4"/>
  <c r="E446" i="4"/>
  <c r="E448" i="4"/>
  <c r="G448" i="4"/>
  <c r="E384" i="4"/>
  <c r="G384" i="4"/>
  <c r="E320" i="4"/>
  <c r="G320" i="4"/>
  <c r="E80" i="4"/>
  <c r="G80" i="4"/>
  <c r="E94" i="4"/>
  <c r="G94" i="4"/>
  <c r="E215" i="4"/>
  <c r="G215" i="4"/>
  <c r="G462" i="4"/>
  <c r="E462" i="4"/>
  <c r="E158" i="4"/>
  <c r="G158" i="4"/>
  <c r="G13" i="4"/>
  <c r="E13" i="4"/>
  <c r="G188" i="4"/>
  <c r="E188" i="4"/>
  <c r="G132" i="4"/>
  <c r="E132" i="4"/>
  <c r="G76" i="4"/>
  <c r="E76" i="4"/>
  <c r="G12" i="4"/>
  <c r="E12" i="4"/>
  <c r="G493" i="4"/>
  <c r="E493" i="4"/>
  <c r="G186" i="4"/>
  <c r="E186" i="4"/>
  <c r="E104" i="4"/>
  <c r="G104" i="4"/>
  <c r="E157" i="4"/>
  <c r="G157" i="4"/>
  <c r="G334" i="4"/>
  <c r="E334" i="4"/>
  <c r="G293" i="4"/>
  <c r="E293" i="4"/>
  <c r="G42" i="4"/>
  <c r="E42" i="4"/>
  <c r="G425" i="4"/>
  <c r="E425" i="4"/>
  <c r="E184" i="4"/>
  <c r="G184" i="4"/>
  <c r="G477" i="4"/>
  <c r="E477" i="4"/>
  <c r="G402" i="4"/>
  <c r="E402" i="4"/>
  <c r="E400" i="4"/>
  <c r="G400" i="4"/>
  <c r="G366" i="4"/>
  <c r="E366" i="4"/>
  <c r="E126" i="4"/>
  <c r="G126" i="4"/>
  <c r="G325" i="4"/>
  <c r="E325" i="4"/>
  <c r="G228" i="4"/>
  <c r="E228" i="4"/>
  <c r="G178" i="4"/>
  <c r="E178" i="4"/>
  <c r="G362" i="4"/>
  <c r="E362" i="4"/>
  <c r="E145" i="4"/>
  <c r="G145" i="4"/>
  <c r="G209" i="4"/>
  <c r="E209" i="4"/>
  <c r="G176" i="4"/>
  <c r="E176" i="4"/>
  <c r="G482" i="4"/>
  <c r="E482" i="4"/>
  <c r="G440" i="4"/>
  <c r="E440" i="4"/>
  <c r="G376" i="4"/>
  <c r="E376" i="4"/>
  <c r="G296" i="4"/>
  <c r="E296" i="4"/>
  <c r="E32" i="4"/>
  <c r="G32" i="4"/>
  <c r="G454" i="4"/>
  <c r="E454" i="4"/>
  <c r="E150" i="4"/>
  <c r="G150" i="4"/>
  <c r="G122" i="4"/>
  <c r="E122" i="4"/>
  <c r="G180" i="4"/>
  <c r="E180" i="4"/>
  <c r="G124" i="4"/>
  <c r="E124" i="4"/>
  <c r="G68" i="4"/>
  <c r="E68" i="4"/>
  <c r="G4" i="4"/>
  <c r="E4" i="4"/>
  <c r="E23" i="4"/>
  <c r="G278" i="4"/>
  <c r="E278" i="4"/>
  <c r="G301" i="4"/>
  <c r="E301" i="4"/>
  <c r="G58" i="4"/>
  <c r="E58" i="4"/>
  <c r="E89" i="4"/>
  <c r="G89" i="4"/>
  <c r="G304" i="4"/>
  <c r="E304" i="4"/>
  <c r="G224" i="4"/>
  <c r="E224" i="4"/>
  <c r="G414" i="4"/>
  <c r="E414" i="4"/>
  <c r="G156" i="4"/>
  <c r="E156" i="4"/>
  <c r="G270" i="4"/>
  <c r="E270" i="4"/>
  <c r="G421" i="4"/>
  <c r="E421" i="4"/>
  <c r="G308" i="4"/>
  <c r="E308" i="4"/>
  <c r="G442" i="4"/>
  <c r="E442" i="4"/>
  <c r="E321" i="4"/>
  <c r="G321" i="4"/>
  <c r="E256" i="4"/>
  <c r="G256" i="4"/>
  <c r="G408" i="4"/>
  <c r="E408" i="4"/>
  <c r="E61" i="4"/>
  <c r="G61" i="4"/>
  <c r="G36" i="4"/>
  <c r="E36" i="4"/>
  <c r="E174" i="4"/>
  <c r="G174" i="4"/>
  <c r="G285" i="4"/>
  <c r="E285" i="4"/>
  <c r="G226" i="4"/>
  <c r="E226" i="4"/>
  <c r="G298" i="4"/>
  <c r="E298" i="4"/>
  <c r="E160" i="4"/>
  <c r="G160" i="4"/>
  <c r="G240" i="4"/>
  <c r="E240" i="4"/>
  <c r="G230" i="4"/>
  <c r="E230" i="4"/>
  <c r="G238" i="4"/>
  <c r="E238" i="4"/>
  <c r="G276" i="4"/>
  <c r="E276" i="4"/>
  <c r="G389" i="4"/>
  <c r="E389" i="4"/>
  <c r="E173" i="4"/>
  <c r="G173" i="4"/>
  <c r="G348" i="4"/>
  <c r="E348" i="4"/>
  <c r="G90" i="4"/>
  <c r="E90" i="4"/>
  <c r="G466" i="4"/>
  <c r="E466" i="4"/>
  <c r="G18" i="4"/>
  <c r="E18" i="4"/>
  <c r="E96" i="4"/>
  <c r="G96" i="4"/>
  <c r="G473" i="4"/>
  <c r="E473" i="4"/>
  <c r="G206" i="4"/>
  <c r="E206" i="4"/>
  <c r="E53" i="4"/>
  <c r="G53" i="4"/>
  <c r="G260" i="4"/>
  <c r="E260" i="4"/>
  <c r="G445" i="4"/>
  <c r="E445" i="4"/>
  <c r="G381" i="4"/>
  <c r="E381" i="4"/>
  <c r="G317" i="4"/>
  <c r="E317" i="4"/>
  <c r="G253" i="4"/>
  <c r="E253" i="4"/>
  <c r="E165" i="4"/>
  <c r="G165" i="4"/>
  <c r="G501" i="4"/>
  <c r="E501" i="4"/>
  <c r="G332" i="4"/>
  <c r="E332" i="4"/>
  <c r="G170" i="4"/>
  <c r="E170" i="4"/>
  <c r="G74" i="4"/>
  <c r="E74" i="4"/>
  <c r="G450" i="4"/>
  <c r="E450" i="4"/>
  <c r="G346" i="4"/>
  <c r="E346" i="4"/>
  <c r="G250" i="4"/>
  <c r="E250" i="4"/>
  <c r="G10" i="4"/>
  <c r="E10" i="4"/>
  <c r="G249" i="4"/>
  <c r="E249" i="4"/>
  <c r="E129" i="4"/>
  <c r="G129" i="4"/>
  <c r="G272" i="4"/>
  <c r="E272" i="4"/>
  <c r="E56" i="4"/>
  <c r="G56" i="4"/>
  <c r="E70" i="4"/>
  <c r="G70" i="4"/>
  <c r="G465" i="4"/>
  <c r="E465" i="4"/>
  <c r="G369" i="4"/>
  <c r="E369" i="4"/>
  <c r="G193" i="4"/>
  <c r="E193" i="4"/>
  <c r="E49" i="4"/>
  <c r="G49" i="4"/>
  <c r="E152" i="4"/>
  <c r="G152" i="4"/>
  <c r="G496" i="4"/>
  <c r="E496" i="4"/>
  <c r="G432" i="4"/>
  <c r="E432" i="4"/>
  <c r="G368" i="4"/>
  <c r="E368" i="4"/>
  <c r="G288" i="4"/>
  <c r="E288" i="4"/>
  <c r="G438" i="4"/>
  <c r="E438" i="4"/>
  <c r="E30" i="4"/>
  <c r="G30" i="4"/>
  <c r="G213" i="4"/>
  <c r="E213" i="4"/>
  <c r="G222" i="4"/>
  <c r="E222" i="4"/>
  <c r="G172" i="4"/>
  <c r="E172" i="4"/>
  <c r="G116" i="4"/>
  <c r="E116" i="4"/>
  <c r="G60" i="4"/>
  <c r="E60" i="4"/>
  <c r="E40" i="4"/>
  <c r="G40" i="4"/>
  <c r="G190" i="4"/>
  <c r="E190" i="4"/>
  <c r="G237" i="4"/>
  <c r="E237" i="4"/>
  <c r="G324" i="4"/>
  <c r="E324" i="4"/>
  <c r="E149" i="4"/>
  <c r="G149" i="4"/>
  <c r="G337" i="4"/>
  <c r="E337" i="4"/>
  <c r="G329" i="4"/>
  <c r="E329" i="4"/>
  <c r="G352" i="4"/>
  <c r="E352" i="4"/>
  <c r="E487" i="4"/>
  <c r="E63" i="4"/>
  <c r="G63" i="4"/>
  <c r="G220" i="4"/>
  <c r="E220" i="4"/>
  <c r="G44" i="4"/>
  <c r="E44" i="4"/>
  <c r="E182" i="4"/>
  <c r="G182" i="4"/>
  <c r="G485" i="4"/>
  <c r="E485" i="4"/>
  <c r="G229" i="4"/>
  <c r="E229" i="4"/>
  <c r="G314" i="4"/>
  <c r="E314" i="4"/>
  <c r="E73" i="4"/>
  <c r="G73" i="4"/>
  <c r="G472" i="4"/>
  <c r="E472" i="4"/>
  <c r="E93" i="4"/>
  <c r="G93" i="4"/>
  <c r="G326" i="4"/>
  <c r="E326" i="4"/>
  <c r="G340" i="4"/>
  <c r="E340" i="4"/>
  <c r="E109" i="4"/>
  <c r="G109" i="4"/>
  <c r="G34" i="4"/>
  <c r="E34" i="4"/>
  <c r="G306" i="4"/>
  <c r="E306" i="4"/>
  <c r="G281" i="4"/>
  <c r="E281" i="4"/>
  <c r="E336" i="4"/>
  <c r="G336" i="4"/>
  <c r="G5" i="4"/>
  <c r="E5" i="4"/>
  <c r="G302" i="4"/>
  <c r="E302" i="4"/>
  <c r="E69" i="4"/>
  <c r="G69" i="4"/>
  <c r="G453" i="4"/>
  <c r="E453" i="4"/>
  <c r="G261" i="4"/>
  <c r="E261" i="4"/>
  <c r="E45" i="4"/>
  <c r="G45" i="4"/>
  <c r="E38" i="4"/>
  <c r="G258" i="4"/>
  <c r="E258" i="4"/>
  <c r="G265" i="4"/>
  <c r="E265" i="4"/>
  <c r="E280" i="4"/>
  <c r="G280" i="4"/>
  <c r="G370" i="4"/>
  <c r="E370" i="4"/>
  <c r="E65" i="4"/>
  <c r="G65" i="4"/>
  <c r="G8" i="4"/>
  <c r="E8" i="4"/>
  <c r="G358" i="4"/>
  <c r="E358" i="4"/>
  <c r="G294" i="4"/>
  <c r="E294" i="4"/>
  <c r="E118" i="4"/>
  <c r="G118" i="4"/>
  <c r="G350" i="4"/>
  <c r="E350" i="4"/>
  <c r="G286" i="4"/>
  <c r="E286" i="4"/>
  <c r="G198" i="4"/>
  <c r="E198" i="4"/>
  <c r="E110" i="4"/>
  <c r="G110" i="4"/>
  <c r="E37" i="4"/>
  <c r="G37" i="4"/>
  <c r="G236" i="4"/>
  <c r="E236" i="4"/>
  <c r="G437" i="4"/>
  <c r="E437" i="4"/>
  <c r="G373" i="4"/>
  <c r="E373" i="4"/>
  <c r="G309" i="4"/>
  <c r="E309" i="4"/>
  <c r="G245" i="4"/>
  <c r="E245" i="4"/>
  <c r="E133" i="4"/>
  <c r="G133" i="4"/>
  <c r="E484" i="4"/>
  <c r="E452" i="4"/>
  <c r="G292" i="4"/>
  <c r="E292" i="4"/>
  <c r="G162" i="4"/>
  <c r="E162" i="4"/>
  <c r="G66" i="4"/>
  <c r="E66" i="4"/>
  <c r="G434" i="4"/>
  <c r="E434" i="4"/>
  <c r="G338" i="4"/>
  <c r="E338" i="4"/>
  <c r="G202" i="4"/>
  <c r="E202" i="4"/>
  <c r="G361" i="4"/>
  <c r="E361" i="4"/>
  <c r="E233" i="4"/>
  <c r="G233" i="4"/>
  <c r="E113" i="4"/>
  <c r="G113" i="4"/>
  <c r="G232" i="4"/>
  <c r="E232" i="4"/>
  <c r="E16" i="4"/>
  <c r="G16" i="4"/>
  <c r="E407" i="4"/>
  <c r="G407" i="4"/>
  <c r="E449" i="4"/>
  <c r="G449" i="4"/>
  <c r="G345" i="4"/>
  <c r="E345" i="4"/>
  <c r="E177" i="4"/>
  <c r="G177" i="4"/>
  <c r="G9" i="4"/>
  <c r="E9" i="4"/>
  <c r="E128" i="4"/>
  <c r="G128" i="4"/>
  <c r="G488" i="4"/>
  <c r="E488" i="4"/>
  <c r="G424" i="4"/>
  <c r="E424" i="4"/>
  <c r="G360" i="4"/>
  <c r="E360" i="4"/>
  <c r="G264" i="4"/>
  <c r="E264" i="4"/>
  <c r="G418" i="4"/>
  <c r="E418" i="4"/>
  <c r="G390" i="4"/>
  <c r="E390" i="4"/>
  <c r="E62" i="4"/>
  <c r="G62" i="4"/>
  <c r="E102" i="4"/>
  <c r="G102" i="4"/>
  <c r="G422" i="4"/>
  <c r="E422" i="4"/>
  <c r="G22" i="4"/>
  <c r="E22" i="4"/>
  <c r="G7" i="4"/>
  <c r="E7" i="4"/>
  <c r="G205" i="4"/>
  <c r="E205" i="4"/>
  <c r="G252" i="4"/>
  <c r="E252" i="4"/>
  <c r="G164" i="4"/>
  <c r="E164" i="4"/>
  <c r="G108" i="4"/>
  <c r="E108" i="4"/>
  <c r="G52" i="4"/>
  <c r="E52" i="4"/>
  <c r="E241" i="4"/>
  <c r="C4" i="2"/>
  <c r="AF4" i="2" s="1"/>
  <c r="F401" i="4"/>
  <c r="F279" i="4"/>
  <c r="F38" i="4"/>
  <c r="F263" i="4"/>
  <c r="F410" i="4"/>
  <c r="F484" i="4"/>
  <c r="F294" i="4"/>
  <c r="F185" i="4"/>
  <c r="F71" i="4"/>
  <c r="F23" i="4"/>
  <c r="F481" i="4"/>
  <c r="F487" i="4"/>
  <c r="F68" i="4"/>
  <c r="F349" i="4"/>
  <c r="F345" i="4"/>
  <c r="F282" i="4"/>
  <c r="F444" i="4"/>
  <c r="F452" i="4"/>
  <c r="F382" i="4"/>
  <c r="F274" i="4"/>
  <c r="F461" i="4"/>
  <c r="F457" i="4"/>
  <c r="F170" i="4"/>
  <c r="F241" i="4"/>
  <c r="F365" i="4"/>
  <c r="F2" i="4"/>
  <c r="F311" i="4"/>
  <c r="F93" i="4"/>
  <c r="F501" i="4"/>
  <c r="F299" i="4"/>
  <c r="F54" i="4"/>
  <c r="F149" i="4"/>
  <c r="F225" i="4"/>
  <c r="B8" i="2" l="1"/>
  <c r="H149" i="4"/>
  <c r="H299" i="4"/>
  <c r="H263" i="4"/>
</calcChain>
</file>

<file path=xl/sharedStrings.xml><?xml version="1.0" encoding="utf-8"?>
<sst xmlns="http://schemas.openxmlformats.org/spreadsheetml/2006/main" count="30296" uniqueCount="2057">
  <si>
    <t>signalName</t>
  </si>
  <si>
    <t>ACH</t>
  </si>
  <si>
    <t>ARD</t>
  </si>
  <si>
    <t>BEA</t>
  </si>
  <si>
    <t>BEI</t>
  </si>
  <si>
    <t>BLD</t>
  </si>
  <si>
    <t>BRY</t>
  </si>
  <si>
    <t>CAR</t>
  </si>
  <si>
    <t>CAU</t>
  </si>
  <si>
    <t>DAL</t>
  </si>
  <si>
    <t>FAR</t>
  </si>
  <si>
    <t>FFY</t>
  </si>
  <si>
    <t>GAL</t>
  </si>
  <si>
    <t>GLK</t>
  </si>
  <si>
    <t>GOR</t>
  </si>
  <si>
    <t>HOF</t>
  </si>
  <si>
    <t>KIR</t>
  </si>
  <si>
    <t>LAM</t>
  </si>
  <si>
    <t>LIS</t>
  </si>
  <si>
    <t>LLY</t>
  </si>
  <si>
    <t>LSP</t>
  </si>
  <si>
    <t>MIN</t>
  </si>
  <si>
    <t>MYN</t>
  </si>
  <si>
    <t>MYG</t>
  </si>
  <si>
    <t>NST</t>
  </si>
  <si>
    <t>NOV</t>
  </si>
  <si>
    <t>RHE</t>
  </si>
  <si>
    <t>SEA</t>
  </si>
  <si>
    <t>SIS</t>
  </si>
  <si>
    <t>TAF</t>
  </si>
  <si>
    <t>TED</t>
  </si>
  <si>
    <t>TOW</t>
  </si>
  <si>
    <t>TRY</t>
  </si>
  <si>
    <t>WST</t>
  </si>
  <si>
    <t>WNT</t>
  </si>
  <si>
    <t>Wind speed</t>
  </si>
  <si>
    <t>NaT</t>
  </si>
  <si>
    <t>Wind direction</t>
  </si>
  <si>
    <t>Nacelle position</t>
  </si>
  <si>
    <t>Energy Export</t>
  </si>
  <si>
    <t>Power</t>
  </si>
  <si>
    <t>Power factor (cosphi)</t>
  </si>
  <si>
    <t>Reactive power</t>
  </si>
  <si>
    <t>Spinner temperature</t>
  </si>
  <si>
    <t>Front bearing temperature</t>
  </si>
  <si>
    <t>Rear bearing temperature</t>
  </si>
  <si>
    <t>Blade A pitch heat sink</t>
  </si>
  <si>
    <t>Blade B pitch heat sink</t>
  </si>
  <si>
    <t>Blade C pitch heat sink</t>
  </si>
  <si>
    <t>Blade A pitch control box</t>
  </si>
  <si>
    <t>Blade B pitch control box</t>
  </si>
  <si>
    <t>Blade C pitch control box</t>
  </si>
  <si>
    <t>Blade A temperature</t>
  </si>
  <si>
    <t>Blade B temperature</t>
  </si>
  <si>
    <t>Blade C temperature</t>
  </si>
  <si>
    <t>Rotor temperature 1</t>
  </si>
  <si>
    <t>Rotor temperature 2</t>
  </si>
  <si>
    <t>Stator temperature 1</t>
  </si>
  <si>
    <t>Stator temperature 2</t>
  </si>
  <si>
    <t>Nacelle ambient temperature</t>
  </si>
  <si>
    <t>Nacelle temperature</t>
  </si>
  <si>
    <t>Nacelle control cabinet temperature</t>
  </si>
  <si>
    <t>Rectifier 1 heat sink</t>
  </si>
  <si>
    <t>Rectifier 2 heat sink</t>
  </si>
  <si>
    <t>Rectifier cabinet temperature</t>
  </si>
  <si>
    <t>Excitation heat sink</t>
  </si>
  <si>
    <t>Ambient temperature</t>
  </si>
  <si>
    <t>Tower temperature</t>
  </si>
  <si>
    <t>Control cabinet temperature</t>
  </si>
  <si>
    <t>Transformer temperature</t>
  </si>
  <si>
    <t>Sys 1. Power cabinet 1</t>
  </si>
  <si>
    <t>Sys 1. Power cabinet 2</t>
  </si>
  <si>
    <t>Sys 1. Power cabinet 3</t>
  </si>
  <si>
    <t>Sys 1. Power cabinet 4</t>
  </si>
  <si>
    <t>Sys 1. Power cabinet 5</t>
  </si>
  <si>
    <t>Sys 1. Power cabinet 6</t>
  </si>
  <si>
    <t>Sys 1. Power cabinet 7</t>
  </si>
  <si>
    <t>Sys 1. Power cabinet 8</t>
  </si>
  <si>
    <t>Sys 1. Power cabinet 9</t>
  </si>
  <si>
    <t>Sys 1. Power cabinet 10</t>
  </si>
  <si>
    <t>Sys 1. Power cabinet 11</t>
  </si>
  <si>
    <t>Voltage L1 / U</t>
  </si>
  <si>
    <t>Voltage L2 / V</t>
  </si>
  <si>
    <t>Voltage L3 / W</t>
  </si>
  <si>
    <t>Current L1 / U</t>
  </si>
  <si>
    <t>Current L2 / V</t>
  </si>
  <si>
    <t>Current L3 / W</t>
  </si>
  <si>
    <t>Operating Time</t>
  </si>
  <si>
    <t>Rotor speed</t>
  </si>
  <si>
    <t>Manufacturer potential power</t>
  </si>
  <si>
    <t>Manufacturer potential power (limited by technical problems)</t>
  </si>
  <si>
    <t>Manufacturer potential power (limited by force majeure)</t>
  </si>
  <si>
    <t>Manufacturer potential power (limited by external factors)</t>
  </si>
  <si>
    <t>Blade angle (pitch position) A</t>
  </si>
  <si>
    <t>Blade angle (pitch position) B</t>
  </si>
  <si>
    <t>Blade angle (pitch position) C</t>
  </si>
  <si>
    <t>Blade angle (pitch position)</t>
  </si>
  <si>
    <t>Blade pressure (hydraulic)</t>
  </si>
  <si>
    <t>Grid frequency</t>
  </si>
  <si>
    <t>Generator RPM</t>
  </si>
  <si>
    <t>Reactive Energy Export</t>
  </si>
  <si>
    <t>Energy Import</t>
  </si>
  <si>
    <t>Reactive Energy Import</t>
  </si>
  <si>
    <t>High speed bearing temperature</t>
  </si>
  <si>
    <t>Gear Bearing 1 Temperature</t>
  </si>
  <si>
    <t>Gear Bearing 2 Temperature</t>
  </si>
  <si>
    <t>Generator temperature L1</t>
  </si>
  <si>
    <t>Generator temperature L2</t>
  </si>
  <si>
    <t>Generator temperature L3</t>
  </si>
  <si>
    <t>Hydraulic oil temperature</t>
  </si>
  <si>
    <t>Generator cooling water temperature</t>
  </si>
  <si>
    <t>Hydraulic oil pressure</t>
  </si>
  <si>
    <t>Gear main bearing temperature</t>
  </si>
  <si>
    <t>Gear oil inlet temperature</t>
  </si>
  <si>
    <t>Generator bearing rear temperature</t>
  </si>
  <si>
    <t>Generator bearing front temperature</t>
  </si>
  <si>
    <t>Generator bearing 1 temperature</t>
  </si>
  <si>
    <t>Phase 1 temperature</t>
  </si>
  <si>
    <t>Phase 2 temperature</t>
  </si>
  <si>
    <t>Phase 3 temperature</t>
  </si>
  <si>
    <t>Grid busbar temperature</t>
  </si>
  <si>
    <t>Rotor inverter temperature L1</t>
  </si>
  <si>
    <t>Rotor inverter temperature L2</t>
  </si>
  <si>
    <t>Rotor inverter temperature L3</t>
  </si>
  <si>
    <t>Grid inverter temperature L1</t>
  </si>
  <si>
    <t>Grid On Time</t>
  </si>
  <si>
    <t>Maintenance Time</t>
  </si>
  <si>
    <t>Production Time</t>
  </si>
  <si>
    <t>Turbine OK Time</t>
  </si>
  <si>
    <t>Wind OK Time</t>
  </si>
  <si>
    <t>Yaw Time</t>
  </si>
  <si>
    <t>Hub controller temp.</t>
  </si>
  <si>
    <t>Top controller temp.</t>
  </si>
  <si>
    <t>Gear bearing temp.</t>
  </si>
  <si>
    <t>Gear oil temperature</t>
  </si>
  <si>
    <t>Generator phase 1 temp</t>
  </si>
  <si>
    <t>Generator phase 2 temp</t>
  </si>
  <si>
    <t>Generator phase 3 temp</t>
  </si>
  <si>
    <t>Generator slipring temp</t>
  </si>
  <si>
    <t>Ground controller temp</t>
  </si>
  <si>
    <t>Gear bearing hollow shaft gen. temp.</t>
  </si>
  <si>
    <t>Gear bearing hollow shaft rotor temp.</t>
  </si>
  <si>
    <t>Gear bearing hollow shaft gen. end temp.</t>
  </si>
  <si>
    <t>Gear bearing hollow shaft middle temp.</t>
  </si>
  <si>
    <t>Gear bearing hollow shaft rotor end temp.</t>
  </si>
  <si>
    <t>Gear oil temperature basis</t>
  </si>
  <si>
    <t>Gear oil L1 temperature</t>
  </si>
  <si>
    <t>Gear oil L2 and L3 temperature</t>
  </si>
  <si>
    <t>Spinner slip ring temperature</t>
  </si>
  <si>
    <t>Generator 1 Time</t>
  </si>
  <si>
    <t>Generator 2 Time</t>
  </si>
  <si>
    <t>Grid OK Time</t>
  </si>
  <si>
    <t>First alarm in 10 min frame</t>
  </si>
  <si>
    <t>First alarm parameter 1 in 10 min frame</t>
  </si>
  <si>
    <t>First alarm parameter 2 in 10 min frame</t>
  </si>
  <si>
    <t>Cable twist</t>
  </si>
  <si>
    <t>WTOperationState</t>
  </si>
  <si>
    <t>ErrorCode</t>
  </si>
  <si>
    <t>WpsStatus</t>
  </si>
  <si>
    <t>AviError</t>
  </si>
  <si>
    <t>Active alarm</t>
  </si>
  <si>
    <t>Temp. gearbox</t>
  </si>
  <si>
    <t>Temp. shaft bearing</t>
  </si>
  <si>
    <t>Temp. top box</t>
  </si>
  <si>
    <t>Weather Out Time</t>
  </si>
  <si>
    <t>External Stop Time</t>
  </si>
  <si>
    <t>Operating state</t>
  </si>
  <si>
    <t>Generator bearing I temperature</t>
  </si>
  <si>
    <t>Generator bearing O temperature</t>
  </si>
  <si>
    <t>Generator cool A temperature</t>
  </si>
  <si>
    <t>Generator cool B temperature</t>
  </si>
  <si>
    <t>Grid filter B1 temperature</t>
  </si>
  <si>
    <t>Grid filter B2 temperature</t>
  </si>
  <si>
    <t>Grid filter B3 temperature</t>
  </si>
  <si>
    <t>Hub temperature</t>
  </si>
  <si>
    <t>Main reactor U temperature</t>
  </si>
  <si>
    <t>Main reactor V temperature</t>
  </si>
  <si>
    <t>Grid current</t>
  </si>
  <si>
    <t>Grid voltage</t>
  </si>
  <si>
    <t>Trafo temperature</t>
  </si>
  <si>
    <t>Brake pressure</t>
  </si>
  <si>
    <t>Controller VCP temperature</t>
  </si>
  <si>
    <t>Reset Time</t>
  </si>
  <si>
    <t>Ambient OK Time</t>
  </si>
  <si>
    <t>Service state</t>
  </si>
  <si>
    <t>Operating sub state</t>
  </si>
  <si>
    <t>Maximum possible power</t>
  </si>
  <si>
    <t>Gear oil inlet pressure</t>
  </si>
  <si>
    <t>Air pressure</t>
  </si>
  <si>
    <t>Cable twist (degrees)</t>
  </si>
  <si>
    <t>Oil sump temperature</t>
  </si>
  <si>
    <t>Apparent power</t>
  </si>
  <si>
    <t>Production Time (reduced operation mode)</t>
  </si>
  <si>
    <t>Grid Failure Time</t>
  </si>
  <si>
    <t>Machine Fault Time</t>
  </si>
  <si>
    <t>Released To Operation Time</t>
  </si>
  <si>
    <t>Not Released To Operation Time</t>
  </si>
  <si>
    <t>Force Majeure Time</t>
  </si>
  <si>
    <t>Avail. Stop</t>
  </si>
  <si>
    <t>Avail. Wait</t>
  </si>
  <si>
    <t>FMC-time Following Grid Errors</t>
  </si>
  <si>
    <t>FMC-time Due To Low Wind Speed</t>
  </si>
  <si>
    <t>Energy Export (Reduced power mode)</t>
  </si>
  <si>
    <t>Energy Import (Reduced power mode)</t>
  </si>
  <si>
    <t>Reactive Energy Export (Reduced power mode)</t>
  </si>
  <si>
    <t>Reactive Energy Import (Reduced power mode)</t>
  </si>
  <si>
    <t>Power panel temperature</t>
  </si>
  <si>
    <t>Hydraulic unit temperature</t>
  </si>
  <si>
    <t>Transformer winding temp 1</t>
  </si>
  <si>
    <t>Transformer winding temp 2</t>
  </si>
  <si>
    <t>Transformer winding temp 3</t>
  </si>
  <si>
    <t>Tip pressure</t>
  </si>
  <si>
    <t>Temp. top box 1</t>
  </si>
  <si>
    <t>Temp. top box 2</t>
  </si>
  <si>
    <t>System pressure</t>
  </si>
  <si>
    <t>Temp. cooling water advance</t>
  </si>
  <si>
    <t>Temp. cooling water return</t>
  </si>
  <si>
    <t>Temperature Thyristor</t>
  </si>
  <si>
    <t>Temperature G1</t>
  </si>
  <si>
    <t>Temperature G2</t>
  </si>
  <si>
    <t>Temp. gearbox oil heat exchanger</t>
  </si>
  <si>
    <t>Temperature switchboard</t>
  </si>
  <si>
    <t>Supply voltage L1</t>
  </si>
  <si>
    <t>Supply voltage L2</t>
  </si>
  <si>
    <t>Supply voltage L3</t>
  </si>
  <si>
    <t>Manual Stop Time</t>
  </si>
  <si>
    <t>Free hours</t>
  </si>
  <si>
    <t>Operating time - soft brake step 1</t>
  </si>
  <si>
    <t>Operating time - soft brake step 2</t>
  </si>
  <si>
    <t>Operating time - fast brake</t>
  </si>
  <si>
    <t>Operating time - emergency brake</t>
  </si>
  <si>
    <t>Vibration y-direction</t>
  </si>
  <si>
    <t>Vibration z-direction</t>
  </si>
  <si>
    <t>Box temp 1</t>
  </si>
  <si>
    <t>Box temp 2</t>
  </si>
  <si>
    <t>Box temp 3</t>
  </si>
  <si>
    <t>Motor speed 1</t>
  </si>
  <si>
    <t>Motor speed 2</t>
  </si>
  <si>
    <t>Motor speed 3</t>
  </si>
  <si>
    <t>Motor current axis 1</t>
  </si>
  <si>
    <t>Motor current axis 2</t>
  </si>
  <si>
    <t>Motor current axis 3</t>
  </si>
  <si>
    <t>DC link voltage 1</t>
  </si>
  <si>
    <t>DC link voltage 2</t>
  </si>
  <si>
    <t>DC link voltage 3</t>
  </si>
  <si>
    <t>Gearbox housing temp</t>
  </si>
  <si>
    <t>Rotor break temp</t>
  </si>
  <si>
    <t>Tower base temp</t>
  </si>
  <si>
    <t>Rotor bearing temp</t>
  </si>
  <si>
    <t>Pitch 1 output temp</t>
  </si>
  <si>
    <t>Pitch 2 output temp</t>
  </si>
  <si>
    <t>Pitch 3 output temp</t>
  </si>
  <si>
    <t>Gear oil pump pressure</t>
  </si>
  <si>
    <t>Down time</t>
  </si>
  <si>
    <t>GMS Total Harmonic Distortion</t>
  </si>
  <si>
    <t>GMS WPS state</t>
  </si>
  <si>
    <t>GMS Current L1</t>
  </si>
  <si>
    <t>GMS Current L2</t>
  </si>
  <si>
    <t>GMS Current L3</t>
  </si>
  <si>
    <t>GMS Voltage L1</t>
  </si>
  <si>
    <t>GMS Voltage L2</t>
  </si>
  <si>
    <t>GMS Voltage L3</t>
  </si>
  <si>
    <t>GMS Power</t>
  </si>
  <si>
    <t>GMS Reactive power</t>
  </si>
  <si>
    <t>GMS Energy Export</t>
  </si>
  <si>
    <t>GMS Reactive Energy Export</t>
  </si>
  <si>
    <t>GMS Energy Import</t>
  </si>
  <si>
    <t>GMS Reactive Energy Import</t>
  </si>
  <si>
    <t>GMS Power factor (cosphi)</t>
  </si>
  <si>
    <t>GMS Grid frequency</t>
  </si>
  <si>
    <t>Frequency</t>
  </si>
  <si>
    <t>Pitch angle setpoint</t>
  </si>
  <si>
    <t>Generator temperature</t>
  </si>
  <si>
    <t>Energy Export Generator 2</t>
  </si>
  <si>
    <t>Pending Operating State</t>
  </si>
  <si>
    <t>Remote Control Possible</t>
  </si>
  <si>
    <t>Turbine Power setpoint</t>
  </si>
  <si>
    <t>Energy Import Generator 2</t>
  </si>
  <si>
    <t>Ready Time</t>
  </si>
  <si>
    <t>Pitch angle reference</t>
  </si>
  <si>
    <t>Power factor (tanphi)</t>
  </si>
  <si>
    <t>Wind speed, Standard deviation</t>
  </si>
  <si>
    <t>Wind speed, Minimum</t>
  </si>
  <si>
    <t>Wind speed, Maximum</t>
  </si>
  <si>
    <t>Nacelle position, Standard deviation</t>
  </si>
  <si>
    <t>Nacelle position, Minimum</t>
  </si>
  <si>
    <t>Nacelle position, Maximum</t>
  </si>
  <si>
    <t>Power, Standard deviation</t>
  </si>
  <si>
    <t>Power, Minimum</t>
  </si>
  <si>
    <t>Power, Maximum</t>
  </si>
  <si>
    <t>Met mast, Wind speed 1</t>
  </si>
  <si>
    <t>Met mast, Wind direction 1</t>
  </si>
  <si>
    <t>Met mast, Ambient temperature</t>
  </si>
  <si>
    <t>Met mast, Air pressure</t>
  </si>
  <si>
    <t>Met mast, Relative humidity</t>
  </si>
  <si>
    <t>Reactive power, Max</t>
  </si>
  <si>
    <t>Reactive power, Min</t>
  </si>
  <si>
    <t>Reactive power, Standard deviation</t>
  </si>
  <si>
    <t>Generator RPM, Max</t>
  </si>
  <si>
    <t>Generator RPM, Min</t>
  </si>
  <si>
    <t>Generator RPM, Standard deviation</t>
  </si>
  <si>
    <t>Met mast, Wind speed 1 (max)</t>
  </si>
  <si>
    <t>Met mast, Wind speed 1 (min)</t>
  </si>
  <si>
    <t>Met mast, Wind speed 1 (StdDev)</t>
  </si>
  <si>
    <t>Met mast, Ambient temperature (max)</t>
  </si>
  <si>
    <t>Met mast, Ambient temperature (min)</t>
  </si>
  <si>
    <t>Met mast, Ambient temperature (StdDev)</t>
  </si>
  <si>
    <t>Met mast, Air pressure (max)</t>
  </si>
  <si>
    <t>Met mast, Air pressure (min)</t>
  </si>
  <si>
    <t>Met mast, Air pressure (StdDev)</t>
  </si>
  <si>
    <t>Met mast, Wind direction 1 (max)</t>
  </si>
  <si>
    <t>Met mast, Wind direction 1 (min)</t>
  </si>
  <si>
    <t>Met mast, Wind direction 1 (StdDev)</t>
  </si>
  <si>
    <t>Met mast, Relative humidity (max)</t>
  </si>
  <si>
    <t>Met mast, Relative humidity (min)</t>
  </si>
  <si>
    <t>Met mast, Relative humidity (StdDev)</t>
  </si>
  <si>
    <t>Availability, Manufacturer</t>
  </si>
  <si>
    <t>Blade angle (pitch position) A, Max</t>
  </si>
  <si>
    <t>Blade angle (pitch position) A, Min</t>
  </si>
  <si>
    <t>Blade angle (pitch position) A, Standard deviation</t>
  </si>
  <si>
    <t>Blade angle (pitch position) B, Max</t>
  </si>
  <si>
    <t>Blade angle (pitch position) B, Min</t>
  </si>
  <si>
    <t>Blade angle (pitch position) B, Standard deviation</t>
  </si>
  <si>
    <t>Blade angle (pitch position) C, Max</t>
  </si>
  <si>
    <t>Blade angle (pitch position) C, Min</t>
  </si>
  <si>
    <t>Blade angle (pitch position) C, Standard deviation</t>
  </si>
  <si>
    <t>Hydraulic oil pressure, Max</t>
  </si>
  <si>
    <t>Hydraulic oil pressure, Min</t>
  </si>
  <si>
    <t>Hydraulic oil pressure, Standard deviation</t>
  </si>
  <si>
    <t>Pitch angle reference, min</t>
  </si>
  <si>
    <t>Pitch angle reference, max</t>
  </si>
  <si>
    <t>Pitch angle reference, standard deviation</t>
  </si>
  <si>
    <t>Site</t>
  </si>
  <si>
    <t>Date</t>
  </si>
  <si>
    <t>Abbr</t>
  </si>
  <si>
    <t>Commison Date</t>
  </si>
  <si>
    <t>Earliest Data</t>
  </si>
  <si>
    <t>Available</t>
  </si>
  <si>
    <t>Available from Earliest Data</t>
  </si>
  <si>
    <t>Years of Data</t>
  </si>
  <si>
    <t>TurbineId</t>
  </si>
  <si>
    <t>Turbine title</t>
  </si>
  <si>
    <t>SiteAbr</t>
  </si>
  <si>
    <t>ACH_WTG01</t>
  </si>
  <si>
    <t>ACH_WTG02</t>
  </si>
  <si>
    <t>ACH_WTG03</t>
  </si>
  <si>
    <t>ACH_WTG04</t>
  </si>
  <si>
    <t>ACH_WTG05</t>
  </si>
  <si>
    <t>ACH_WTG06</t>
  </si>
  <si>
    <t>ACH_WTG07</t>
  </si>
  <si>
    <t>ACH_WTG08</t>
  </si>
  <si>
    <t>ACH_WTG09</t>
  </si>
  <si>
    <t>ACH_WTG10</t>
  </si>
  <si>
    <t>ACH_WTG11</t>
  </si>
  <si>
    <t>ACH_WTG12</t>
  </si>
  <si>
    <t>ACH_WTG13</t>
  </si>
  <si>
    <t>ACH_WTG14</t>
  </si>
  <si>
    <t>ACH_WTG15</t>
  </si>
  <si>
    <t>ACH_WTG16</t>
  </si>
  <si>
    <t>ACH_WTG17</t>
  </si>
  <si>
    <t>ACH_WTG18</t>
  </si>
  <si>
    <t>ACH_WTG19</t>
  </si>
  <si>
    <t>ACH_WTG20</t>
  </si>
  <si>
    <t>ACH_WTG21</t>
  </si>
  <si>
    <t>ARD_WTG01</t>
  </si>
  <si>
    <t>ARD_WTG02</t>
  </si>
  <si>
    <t>ARD_WTG03</t>
  </si>
  <si>
    <t>ARD_WTG04</t>
  </si>
  <si>
    <t>ARD_WTG05</t>
  </si>
  <si>
    <t>ARD_WTG06</t>
  </si>
  <si>
    <t>ARD_WTG07</t>
  </si>
  <si>
    <t>ARD_WTG08</t>
  </si>
  <si>
    <t>ARD_WTG09</t>
  </si>
  <si>
    <t>ARD_WTG10</t>
  </si>
  <si>
    <t>ARD_WTG11</t>
  </si>
  <si>
    <t>ARD_WTG12</t>
  </si>
  <si>
    <t>ARD_WTG13</t>
  </si>
  <si>
    <t>ARD_WTG14</t>
  </si>
  <si>
    <t>ARD_WTG15</t>
  </si>
  <si>
    <t>BEA_WTG01</t>
  </si>
  <si>
    <t>BEA_WTG02</t>
  </si>
  <si>
    <t>BEA_WTG03</t>
  </si>
  <si>
    <t>BEA_WTG04</t>
  </si>
  <si>
    <t>BEA_WTG05</t>
  </si>
  <si>
    <t>BEA_WTG06</t>
  </si>
  <si>
    <t>BEA_WTG07</t>
  </si>
  <si>
    <t>BEA_WTG08</t>
  </si>
  <si>
    <t>BEA_WTG09</t>
  </si>
  <si>
    <t>BEA_WTG10</t>
  </si>
  <si>
    <t>BEA_WTG11</t>
  </si>
  <si>
    <t>BEA_WTG12</t>
  </si>
  <si>
    <t>BEA_WTG13</t>
  </si>
  <si>
    <t>BEA_WTG14</t>
  </si>
  <si>
    <t>BEA_WTG15</t>
  </si>
  <si>
    <t>BEA_WTG16</t>
  </si>
  <si>
    <t>BEI_WTG01</t>
  </si>
  <si>
    <t>BEI_WTG02</t>
  </si>
  <si>
    <t>BEI_WTG03</t>
  </si>
  <si>
    <t>BEI_WTG04</t>
  </si>
  <si>
    <t>BEI_WTG05</t>
  </si>
  <si>
    <t>BEI_WTG06</t>
  </si>
  <si>
    <t>BEI_WTG07</t>
  </si>
  <si>
    <t>BEI_WTG08</t>
  </si>
  <si>
    <t>BEI_WTG09</t>
  </si>
  <si>
    <t>BEI_WTG10</t>
  </si>
  <si>
    <t>BEI_WTG11</t>
  </si>
  <si>
    <t>BEI_WTG12</t>
  </si>
  <si>
    <t>BEI_WTG13</t>
  </si>
  <si>
    <t>BEI_WTG14</t>
  </si>
  <si>
    <t>BLD_WTG01</t>
  </si>
  <si>
    <t>BLD_WTG02</t>
  </si>
  <si>
    <t>BLD_WTG03</t>
  </si>
  <si>
    <t>BRY_WTG01</t>
  </si>
  <si>
    <t>BRY_WTG02</t>
  </si>
  <si>
    <t>BRY_WTG03</t>
  </si>
  <si>
    <t>BRY_WTG04</t>
  </si>
  <si>
    <t>BRY_WTG05</t>
  </si>
  <si>
    <t>BRY_WTG06</t>
  </si>
  <si>
    <t>BRY_WTG07</t>
  </si>
  <si>
    <t>BRY_WTG08</t>
  </si>
  <si>
    <t>BRY_WTG09</t>
  </si>
  <si>
    <t>BRY_WTG10</t>
  </si>
  <si>
    <t>BRY_WTG11</t>
  </si>
  <si>
    <t>BRY_WTG12</t>
  </si>
  <si>
    <t>BRY_WTG13</t>
  </si>
  <si>
    <t>BRY_WTG14</t>
  </si>
  <si>
    <t>BRY_WTG15</t>
  </si>
  <si>
    <t>BRY_WTG16</t>
  </si>
  <si>
    <t>BRY_WTG17</t>
  </si>
  <si>
    <t>BRY_WTG18</t>
  </si>
  <si>
    <t>BRY_WTG19</t>
  </si>
  <si>
    <t>BRY_WTG20</t>
  </si>
  <si>
    <t>BRY_WTG21</t>
  </si>
  <si>
    <t>BRY_WTG22</t>
  </si>
  <si>
    <t>CAR_WTGA01</t>
  </si>
  <si>
    <t>CAR_WTGA02</t>
  </si>
  <si>
    <t>CAR_WTGA03</t>
  </si>
  <si>
    <t>CAR_WTGA04</t>
  </si>
  <si>
    <t>CAR_WTGA05</t>
  </si>
  <si>
    <t>CAR_WTGA06</t>
  </si>
  <si>
    <t>CAR_WTGA07</t>
  </si>
  <si>
    <t>CAR_WTGA08</t>
  </si>
  <si>
    <t>CAR_WTGA09</t>
  </si>
  <si>
    <t>CAR_WTGA10</t>
  </si>
  <si>
    <t>CAR_WTGA11</t>
  </si>
  <si>
    <t>CAR_WTGA12</t>
  </si>
  <si>
    <t>CAR_WTGA13</t>
  </si>
  <si>
    <t>CAR_WTGA14</t>
  </si>
  <si>
    <t>CAR_WTGA15</t>
  </si>
  <si>
    <t>CAR_WTGA16</t>
  </si>
  <si>
    <t>CAR_WTGA17</t>
  </si>
  <si>
    <t>CAR_WTGA18</t>
  </si>
  <si>
    <t>CAR_WTGA19</t>
  </si>
  <si>
    <t>CAR_WTGA20</t>
  </si>
  <si>
    <t>CAR_WTGA21</t>
  </si>
  <si>
    <t>CAR_WTGA22</t>
  </si>
  <si>
    <t>CAR_WTGA23</t>
  </si>
  <si>
    <t>CAR_WTGA24</t>
  </si>
  <si>
    <t>CAR_WTGA25</t>
  </si>
  <si>
    <t>CAR_WTGA26</t>
  </si>
  <si>
    <t>CAR_WTGA27</t>
  </si>
  <si>
    <t>CAR_WTGA28</t>
  </si>
  <si>
    <t>CAR_WTGB01</t>
  </si>
  <si>
    <t>CAR_WTGB02</t>
  </si>
  <si>
    <t>CAR_WTGB03</t>
  </si>
  <si>
    <t>CAR_WTGB04</t>
  </si>
  <si>
    <t>CAR_WTGB05</t>
  </si>
  <si>
    <t>CAR_WTGB06</t>
  </si>
  <si>
    <t>CAR_WTGB07</t>
  </si>
  <si>
    <t>CAR_WTGB08</t>
  </si>
  <si>
    <t>CAR_WTGB09</t>
  </si>
  <si>
    <t>CAR_WTGB10</t>
  </si>
  <si>
    <t>CAR_WTGB11</t>
  </si>
  <si>
    <t>CAR_WTGB12</t>
  </si>
  <si>
    <t>CAR_WTGB13</t>
  </si>
  <si>
    <t>CAR_WTGB14</t>
  </si>
  <si>
    <t>CAR_WTGB15</t>
  </si>
  <si>
    <t>CAR_WTGB16</t>
  </si>
  <si>
    <t>CAR_WTGB17</t>
  </si>
  <si>
    <t>CAR_WTGB18</t>
  </si>
  <si>
    <t>CAR_WTGB19</t>
  </si>
  <si>
    <t>CAR_WTGB20</t>
  </si>
  <si>
    <t>CAR_WTGB21</t>
  </si>
  <si>
    <t>CAR_WTGB22</t>
  </si>
  <si>
    <t>CAR_WTGB23</t>
  </si>
  <si>
    <t>CAR_WTGB24</t>
  </si>
  <si>
    <t>CAR_WTGB25</t>
  </si>
  <si>
    <t>CAR_WTGB26</t>
  </si>
  <si>
    <t>CAR_WTGB27</t>
  </si>
  <si>
    <t>CAR_WTGB28</t>
  </si>
  <si>
    <t>CAU_WTG01</t>
  </si>
  <si>
    <t>CAU_WTG02</t>
  </si>
  <si>
    <t>CAU_WTG03</t>
  </si>
  <si>
    <t>CAU_WTG04</t>
  </si>
  <si>
    <t>CAU_WTG05</t>
  </si>
  <si>
    <t>CAU_WTG06</t>
  </si>
  <si>
    <t>CAU_WTG07</t>
  </si>
  <si>
    <t>CAU_WTG08</t>
  </si>
  <si>
    <t>CAU_WTG09</t>
  </si>
  <si>
    <t>CAU_WTG10</t>
  </si>
  <si>
    <t>CAU_WTG14</t>
  </si>
  <si>
    <t>CAU_WTG15</t>
  </si>
  <si>
    <t>CAU_WTG16</t>
  </si>
  <si>
    <t>CAU_WTG17</t>
  </si>
  <si>
    <t>CAU_WTG18</t>
  </si>
  <si>
    <t>CAU_WTG19</t>
  </si>
  <si>
    <t>CAU_WTG20</t>
  </si>
  <si>
    <t>CAU_WTG21</t>
  </si>
  <si>
    <t>CAU_WTG22</t>
  </si>
  <si>
    <t>CAU_WTG23</t>
  </si>
  <si>
    <t>CAU_WTG24</t>
  </si>
  <si>
    <t>DAL_WTG01</t>
  </si>
  <si>
    <t>DAL_WTG02</t>
  </si>
  <si>
    <t>DAL_WTG03</t>
  </si>
  <si>
    <t>DAL_WTG04</t>
  </si>
  <si>
    <t>DAL_WTG05</t>
  </si>
  <si>
    <t>DAL_WTG06</t>
  </si>
  <si>
    <t>DAL_WTG07</t>
  </si>
  <si>
    <t>DAL_WTG08</t>
  </si>
  <si>
    <t>DAL_WTG09</t>
  </si>
  <si>
    <t>DAL_WTG10</t>
  </si>
  <si>
    <t>DAL_WTG11</t>
  </si>
  <si>
    <t>DAL_WTG12</t>
  </si>
  <si>
    <t>DAL_WTG13</t>
  </si>
  <si>
    <t>DAL_WTG14</t>
  </si>
  <si>
    <t>DAL_WTG15</t>
  </si>
  <si>
    <t>FAR_WTG101</t>
  </si>
  <si>
    <t>FAR_WTG102</t>
  </si>
  <si>
    <t>FAR_WTG103</t>
  </si>
  <si>
    <t>FAR_WTG104</t>
  </si>
  <si>
    <t>FAR_WTG105</t>
  </si>
  <si>
    <t>FAR_WTG106</t>
  </si>
  <si>
    <t>FAR_WTG107</t>
  </si>
  <si>
    <t>FAR_WTG108</t>
  </si>
  <si>
    <t>FAR_WTG109</t>
  </si>
  <si>
    <t>FAR_WTG110</t>
  </si>
  <si>
    <t>FAR_WTG201</t>
  </si>
  <si>
    <t>FAR_WTG202</t>
  </si>
  <si>
    <t>FAR_WTG203</t>
  </si>
  <si>
    <t>FAR_WTG204</t>
  </si>
  <si>
    <t>FAR_WTG205</t>
  </si>
  <si>
    <t>FAR_WTG206</t>
  </si>
  <si>
    <t>FAR_WTG207</t>
  </si>
  <si>
    <t>FAR_WTG208</t>
  </si>
  <si>
    <t>FAR_WTG209</t>
  </si>
  <si>
    <t>FAR_WTG210</t>
  </si>
  <si>
    <t>FAR_WTG301</t>
  </si>
  <si>
    <t>FAR_WTG302</t>
  </si>
  <si>
    <t>FAR_WTG303</t>
  </si>
  <si>
    <t>FAR_WTG304</t>
  </si>
  <si>
    <t>FAR_WTG305</t>
  </si>
  <si>
    <t>FAR_WTG306</t>
  </si>
  <si>
    <t>FAR_WTG307</t>
  </si>
  <si>
    <t>FAR_WTG308</t>
  </si>
  <si>
    <t>FAR_WTG309</t>
  </si>
  <si>
    <t>FAR_WTG310</t>
  </si>
  <si>
    <t>FAR_WTG401</t>
  </si>
  <si>
    <t>FAR_WTG402</t>
  </si>
  <si>
    <t>FAR_WTG403</t>
  </si>
  <si>
    <t>FAR_WTG404</t>
  </si>
  <si>
    <t>FAR_WTG405</t>
  </si>
  <si>
    <t>FAR_WTG406</t>
  </si>
  <si>
    <t>FAR_WTG407</t>
  </si>
  <si>
    <t>FAR_WTG408</t>
  </si>
  <si>
    <t>FAR_WTG409</t>
  </si>
  <si>
    <t>FAR_WTG410</t>
  </si>
  <si>
    <t>FFY_WTG01</t>
  </si>
  <si>
    <t>FFY_WTG02</t>
  </si>
  <si>
    <t>FFY_WTG03</t>
  </si>
  <si>
    <t>FFY_WTG04</t>
  </si>
  <si>
    <t>FFY_WTG05</t>
  </si>
  <si>
    <t>FFY_WTG06</t>
  </si>
  <si>
    <t>FFY_WTG07</t>
  </si>
  <si>
    <t>FFY_WTG08</t>
  </si>
  <si>
    <t>FFY_WTG09</t>
  </si>
  <si>
    <t>FFY_WTG10</t>
  </si>
  <si>
    <t>FFY_WTG11</t>
  </si>
  <si>
    <t>FFY_WTG12</t>
  </si>
  <si>
    <t>FFY_WTG13</t>
  </si>
  <si>
    <t>FFY_WTG14</t>
  </si>
  <si>
    <t>FFY_WTG15</t>
  </si>
  <si>
    <t>FFY_WTG16</t>
  </si>
  <si>
    <t>GAL_WTG01</t>
  </si>
  <si>
    <t>GAL_WTG02</t>
  </si>
  <si>
    <t>GAL_WTG03</t>
  </si>
  <si>
    <t>GAL_WTG04</t>
  </si>
  <si>
    <t>GAL_WTG05</t>
  </si>
  <si>
    <t>GAL_WTG06</t>
  </si>
  <si>
    <t>GAL_WTG07</t>
  </si>
  <si>
    <t>GAL_WTG08</t>
  </si>
  <si>
    <t>GAL_WTG09</t>
  </si>
  <si>
    <t>GAL_WTG10</t>
  </si>
  <si>
    <t>GAL_WTG11</t>
  </si>
  <si>
    <t>GAL_WTG12</t>
  </si>
  <si>
    <t>GAL_WTG13</t>
  </si>
  <si>
    <t>GAL_WTG14</t>
  </si>
  <si>
    <t>GAL_WTG15</t>
  </si>
  <si>
    <t>GAL_WTG16</t>
  </si>
  <si>
    <t>GAL_WTG17</t>
  </si>
  <si>
    <t>GAL_WTG18</t>
  </si>
  <si>
    <t>GAL_WTG19</t>
  </si>
  <si>
    <t>GAL_WTG20</t>
  </si>
  <si>
    <t>GAL_WTG21</t>
  </si>
  <si>
    <t>GAL_WTG22</t>
  </si>
  <si>
    <t>GLK_WTG01</t>
  </si>
  <si>
    <t>GLK_WTG02</t>
  </si>
  <si>
    <t>GLK_WTG03</t>
  </si>
  <si>
    <t>GLK_WTG04</t>
  </si>
  <si>
    <t>GLK_WTG05</t>
  </si>
  <si>
    <t>GLK_WTG06</t>
  </si>
  <si>
    <t>GLK_WTG07</t>
  </si>
  <si>
    <t>GLK_WTG08</t>
  </si>
  <si>
    <t>GLK_WTG09</t>
  </si>
  <si>
    <t>GLK_WTG10</t>
  </si>
  <si>
    <t>GLK_WTG11</t>
  </si>
  <si>
    <t>GOR_WTG01</t>
  </si>
  <si>
    <t>GOR_WTG02</t>
  </si>
  <si>
    <t>GOR_WTG03</t>
  </si>
  <si>
    <t>GOR_WTG04</t>
  </si>
  <si>
    <t>GOR_WTG05</t>
  </si>
  <si>
    <t>HOF_WTG01</t>
  </si>
  <si>
    <t>HOF_WTG02</t>
  </si>
  <si>
    <t>HOF_WTG03</t>
  </si>
  <si>
    <t>KIR_WTG01</t>
  </si>
  <si>
    <t>KIR_WTG02</t>
  </si>
  <si>
    <t>KIR_WTG03</t>
  </si>
  <si>
    <t>KIR_WTG04</t>
  </si>
  <si>
    <t>KIR_WTG05</t>
  </si>
  <si>
    <t>KIR_WTG06</t>
  </si>
  <si>
    <t>KIR_WTG07</t>
  </si>
  <si>
    <t>KIR_WTG08</t>
  </si>
  <si>
    <t>KIR_WTG09</t>
  </si>
  <si>
    <t>KIR_WTG10</t>
  </si>
  <si>
    <t>KIR_WTG11</t>
  </si>
  <si>
    <t>KIR_WTG12</t>
  </si>
  <si>
    <t>LAM_WTG01</t>
  </si>
  <si>
    <t>LAM_WTG02</t>
  </si>
  <si>
    <t>LAM_WTG03</t>
  </si>
  <si>
    <t>LAM_WTG04</t>
  </si>
  <si>
    <t>LAM_WTG05</t>
  </si>
  <si>
    <t>LIS_WTG01</t>
  </si>
  <si>
    <t>LIS_WTG02</t>
  </si>
  <si>
    <t>LIS_WTG03</t>
  </si>
  <si>
    <t>LIS_WTG04</t>
  </si>
  <si>
    <t>LIS_WTG05</t>
  </si>
  <si>
    <t>LIS_WTG06</t>
  </si>
  <si>
    <t>LIS_WTG07</t>
  </si>
  <si>
    <t>LIS_WTG08</t>
  </si>
  <si>
    <t>LIS_WTG09</t>
  </si>
  <si>
    <t>LIS_WTG10</t>
  </si>
  <si>
    <t>LIS_WTG11</t>
  </si>
  <si>
    <t>LIS_WTG12</t>
  </si>
  <si>
    <t>LLY_WTG01</t>
  </si>
  <si>
    <t>LLY_WTG02</t>
  </si>
  <si>
    <t>LLY_WTG03</t>
  </si>
  <si>
    <t>LLY_WTG04</t>
  </si>
  <si>
    <t>LLY_WTG05</t>
  </si>
  <si>
    <t>LLY_WTG06</t>
  </si>
  <si>
    <t>LLY_WTG07</t>
  </si>
  <si>
    <t>LLY_WTG08</t>
  </si>
  <si>
    <t>LLY_WTG09</t>
  </si>
  <si>
    <t>LLY_WTG10</t>
  </si>
  <si>
    <t>LLY_WTG11</t>
  </si>
  <si>
    <t>LLY_WTG12</t>
  </si>
  <si>
    <t>LLY_WTG13</t>
  </si>
  <si>
    <t>LLY_WTG14</t>
  </si>
  <si>
    <t>LLY_WTG15</t>
  </si>
  <si>
    <t>LLY_WTG16</t>
  </si>
  <si>
    <t>LLY_WTG17</t>
  </si>
  <si>
    <t>LLY_WTG18</t>
  </si>
  <si>
    <t>LLY_WTG19</t>
  </si>
  <si>
    <t>LLY_WTG20</t>
  </si>
  <si>
    <t>LLY_WTG21</t>
  </si>
  <si>
    <t>LLY_WTG22</t>
  </si>
  <si>
    <t>LLY_WTG23</t>
  </si>
  <si>
    <t>LLY_WTG24</t>
  </si>
  <si>
    <t>LLY_WTG25</t>
  </si>
  <si>
    <t>LLY_WTG26</t>
  </si>
  <si>
    <t>LLY_WTG27</t>
  </si>
  <si>
    <t>LLY_WTG28</t>
  </si>
  <si>
    <t>LLY_WTG29</t>
  </si>
  <si>
    <t>LLY_WTG30</t>
  </si>
  <si>
    <t>LLY_WTG31</t>
  </si>
  <si>
    <t>LLY_WTG32</t>
  </si>
  <si>
    <t>LLY_WTG33</t>
  </si>
  <si>
    <t>LLY_WTG34</t>
  </si>
  <si>
    <t>LSP_WTG01</t>
  </si>
  <si>
    <t>LSP_WTG02</t>
  </si>
  <si>
    <t>LSP_WTG03</t>
  </si>
  <si>
    <t>LSP_WTG04</t>
  </si>
  <si>
    <t>MIN_WTG01</t>
  </si>
  <si>
    <t>MIN_WTG02</t>
  </si>
  <si>
    <t>MIN_WTG03</t>
  </si>
  <si>
    <t>MIN_WTG04</t>
  </si>
  <si>
    <t>MIN_WTG05</t>
  </si>
  <si>
    <t>MIN_WTG06</t>
  </si>
  <si>
    <t>MIN_WTG07</t>
  </si>
  <si>
    <t>MIN_WTG08</t>
  </si>
  <si>
    <t>MIN_WTG09</t>
  </si>
  <si>
    <t>MIN_WTG10</t>
  </si>
  <si>
    <t>MIN_WTG11</t>
  </si>
  <si>
    <t>MIN_WTG12</t>
  </si>
  <si>
    <t>MIN_WTG13</t>
  </si>
  <si>
    <t>MIN_WTG14</t>
  </si>
  <si>
    <t>MIN_WTG15</t>
  </si>
  <si>
    <t>MIN_WTG16</t>
  </si>
  <si>
    <t>MYN_WTG01</t>
  </si>
  <si>
    <t>MYN_WTG02</t>
  </si>
  <si>
    <t>MYN_WTG03</t>
  </si>
  <si>
    <t>MYN_WTG04</t>
  </si>
  <si>
    <t>MYN_WTG05</t>
  </si>
  <si>
    <t>MYN_WTG06</t>
  </si>
  <si>
    <t>MYN_WTG07</t>
  </si>
  <si>
    <t>MYN_WTG08</t>
  </si>
  <si>
    <t>MYN_WTG09</t>
  </si>
  <si>
    <t>MYN_WTG10</t>
  </si>
  <si>
    <t>MYN_WTG11</t>
  </si>
  <si>
    <t>MYN_WTG12</t>
  </si>
  <si>
    <t>MYN_WTG13</t>
  </si>
  <si>
    <t>MYN_WTG14</t>
  </si>
  <si>
    <t>MYN_WTG15</t>
  </si>
  <si>
    <t>MYN_WTG16</t>
  </si>
  <si>
    <t>MYN_WTG17</t>
  </si>
  <si>
    <t>MYG_WTG01</t>
  </si>
  <si>
    <t>MYG_WTG02</t>
  </si>
  <si>
    <t>MYG_WTG03</t>
  </si>
  <si>
    <t>MYG_WTG04</t>
  </si>
  <si>
    <t>MYG_WTG05</t>
  </si>
  <si>
    <t>MYG_WTG06</t>
  </si>
  <si>
    <t>MYG_WTG07</t>
  </si>
  <si>
    <t>MYG_WTG08</t>
  </si>
  <si>
    <t>MYG_WTG09</t>
  </si>
  <si>
    <t>MYG_WTG10</t>
  </si>
  <si>
    <t>MYG_WTG11</t>
  </si>
  <si>
    <t>MYG_WTG12</t>
  </si>
  <si>
    <t>MYG_WTG13</t>
  </si>
  <si>
    <t>MYG_WTG14</t>
  </si>
  <si>
    <t>MYG_WTG15</t>
  </si>
  <si>
    <t>MYG_WTG16</t>
  </si>
  <si>
    <t>MYG_WTG17</t>
  </si>
  <si>
    <t>MYG_WTG18</t>
  </si>
  <si>
    <t>MYG_WTG19</t>
  </si>
  <si>
    <t>NST_WTG01</t>
  </si>
  <si>
    <t>NST_WTG02</t>
  </si>
  <si>
    <t>NST_WTG03</t>
  </si>
  <si>
    <t>NST_WTG04</t>
  </si>
  <si>
    <t>NST_WTG05</t>
  </si>
  <si>
    <t>NST_WTG06</t>
  </si>
  <si>
    <t>NST_WTG07</t>
  </si>
  <si>
    <t>NST_WTG08</t>
  </si>
  <si>
    <t>NST_WTG09</t>
  </si>
  <si>
    <t>NOV_WTG01</t>
  </si>
  <si>
    <t>NOV_WTG02</t>
  </si>
  <si>
    <t>NOV_WTG03</t>
  </si>
  <si>
    <t>NOV_WTG04</t>
  </si>
  <si>
    <t>NOV_WTG05</t>
  </si>
  <si>
    <t>NOV_WTG06</t>
  </si>
  <si>
    <t>NOV_WTG07</t>
  </si>
  <si>
    <t>NOV_WTG08</t>
  </si>
  <si>
    <t>NOV_WTG09</t>
  </si>
  <si>
    <t>NOV_WTG10</t>
  </si>
  <si>
    <t>NOV_WTG11</t>
  </si>
  <si>
    <t>NOV_WTG12</t>
  </si>
  <si>
    <t>NOV_WTG13</t>
  </si>
  <si>
    <t>NOV_WTG14</t>
  </si>
  <si>
    <t>NOV_WTG15</t>
  </si>
  <si>
    <t>NOV_WTG16</t>
  </si>
  <si>
    <t>NOV_WTG19</t>
  </si>
  <si>
    <t>NOV_WTG20</t>
  </si>
  <si>
    <t>NOV_WTG21</t>
  </si>
  <si>
    <t>NOV_WTG22</t>
  </si>
  <si>
    <t>NOV_WTG23</t>
  </si>
  <si>
    <t>NOV_WTG24</t>
  </si>
  <si>
    <t>NOV_WTG25</t>
  </si>
  <si>
    <t>NOV_WTG26</t>
  </si>
  <si>
    <t>NOV_WTG27</t>
  </si>
  <si>
    <t>NOV_WTG28</t>
  </si>
  <si>
    <t>NOV_WTG29</t>
  </si>
  <si>
    <t>NOV_WTG30</t>
  </si>
  <si>
    <t>NOV_WTG31</t>
  </si>
  <si>
    <t>NOV_WTG32</t>
  </si>
  <si>
    <t>NOV_WTG33</t>
  </si>
  <si>
    <t>NOV_WTG34</t>
  </si>
  <si>
    <t>NOV_WTG35</t>
  </si>
  <si>
    <t>NOV_WTG36</t>
  </si>
  <si>
    <t>RHE_WTG01</t>
  </si>
  <si>
    <t>RHE_WTG02</t>
  </si>
  <si>
    <t>RHE_WTG03</t>
  </si>
  <si>
    <t>RHE_WTG04</t>
  </si>
  <si>
    <t>RHE_WTG05</t>
  </si>
  <si>
    <t>RHE_WTG06</t>
  </si>
  <si>
    <t>RHE_WTG07</t>
  </si>
  <si>
    <t>RHE_WTG08</t>
  </si>
  <si>
    <t>SEA_WTG01</t>
  </si>
  <si>
    <t>SEA_WTG02</t>
  </si>
  <si>
    <t>SEA_WTG03</t>
  </si>
  <si>
    <t>SEA_WTG04</t>
  </si>
  <si>
    <t>SEA_WTG05</t>
  </si>
  <si>
    <t>SIS_WTG01</t>
  </si>
  <si>
    <t>SIS_WTG02</t>
  </si>
  <si>
    <t>SIS_WTG03</t>
  </si>
  <si>
    <t>SIS_WTG04</t>
  </si>
  <si>
    <t>TAF_WTG01</t>
  </si>
  <si>
    <t>TAF_WTG02</t>
  </si>
  <si>
    <t>TAF_WTG03</t>
  </si>
  <si>
    <t>TAF_WTG04</t>
  </si>
  <si>
    <t>TAF_WTG05</t>
  </si>
  <si>
    <t>TAF_WTG06</t>
  </si>
  <si>
    <t>TAF_WTG07</t>
  </si>
  <si>
    <t>TAF_WTG08</t>
  </si>
  <si>
    <t>TAF_WTG09</t>
  </si>
  <si>
    <t>TAF_WTG10</t>
  </si>
  <si>
    <t>TAF_WTG11</t>
  </si>
  <si>
    <t>TAF_WTG12</t>
  </si>
  <si>
    <t>TAF_WTG13</t>
  </si>
  <si>
    <t>TAF_WTG14</t>
  </si>
  <si>
    <t>TAF_WTG15</t>
  </si>
  <si>
    <t>TAF_WTG16</t>
  </si>
  <si>
    <t>TAF_WTG17</t>
  </si>
  <si>
    <t>TAF_WTG18</t>
  </si>
  <si>
    <t>TAF_WTG19</t>
  </si>
  <si>
    <t>TAF_WTG20</t>
  </si>
  <si>
    <t>TED_WTG01</t>
  </si>
  <si>
    <t>TED_WTG02</t>
  </si>
  <si>
    <t>TED_WTG03</t>
  </si>
  <si>
    <t>TOW_WTG01</t>
  </si>
  <si>
    <t>TOW_WTG02</t>
  </si>
  <si>
    <t>TOW_WTG03</t>
  </si>
  <si>
    <t>TRY_WTG01</t>
  </si>
  <si>
    <t>TRY_WTG02</t>
  </si>
  <si>
    <t>TRY_WTG03</t>
  </si>
  <si>
    <t>TRY_WTG04</t>
  </si>
  <si>
    <t>TRY_WTG05</t>
  </si>
  <si>
    <t>TRY_WTG06</t>
  </si>
  <si>
    <t>TRY_WTG07</t>
  </si>
  <si>
    <t>TRY_WTG08</t>
  </si>
  <si>
    <t>TRY_WTG09</t>
  </si>
  <si>
    <t>TRY_WTG10</t>
  </si>
  <si>
    <t>TRY_WTG11</t>
  </si>
  <si>
    <t>TRY_WTG12</t>
  </si>
  <si>
    <t>TRY_WTG13</t>
  </si>
  <si>
    <t>TRY_WTG14</t>
  </si>
  <si>
    <t>WST_WTG01</t>
  </si>
  <si>
    <t>WST_WTG02</t>
  </si>
  <si>
    <t>WST_WTG03</t>
  </si>
  <si>
    <t>WST_WTG04</t>
  </si>
  <si>
    <t>WNT_WTG01</t>
  </si>
  <si>
    <t>WNT_WTG02</t>
  </si>
  <si>
    <t>WNT_WTG03</t>
  </si>
  <si>
    <t>WNT_WTG04</t>
  </si>
  <si>
    <t>WNT_WTG05</t>
  </si>
  <si>
    <t>WNT_WTG06</t>
  </si>
  <si>
    <t>Turbine IDs</t>
  </si>
  <si>
    <t>Available from earliest</t>
  </si>
  <si>
    <t>Signal</t>
  </si>
  <si>
    <t>Site Earliest</t>
  </si>
  <si>
    <t>signalID</t>
  </si>
  <si>
    <t>Signal ID</t>
  </si>
  <si>
    <t>Wind direction, Standard deviation</t>
  </si>
  <si>
    <t>Wind direction, Minimum</t>
  </si>
  <si>
    <t>Wind direction, Maximum</t>
  </si>
  <si>
    <t>Gear bearing hollow shaft gen. 1 temperature</t>
  </si>
  <si>
    <t>Gear bearing hollow shaft gen. 2 temperature</t>
  </si>
  <si>
    <t>Power factor (cosphi), Max</t>
  </si>
  <si>
    <t>Power factor (cosphi), Min</t>
  </si>
  <si>
    <t>Power factor (cosphi), Standard deviation</t>
  </si>
  <si>
    <t>Blade angle (pitch position), Max</t>
  </si>
  <si>
    <t>Blade angle (pitch position), Min</t>
  </si>
  <si>
    <t>Blade angle (pitch position), Standard deviation</t>
  </si>
  <si>
    <t>Grid voltage, Max</t>
  </si>
  <si>
    <t>Grid voltage, Min</t>
  </si>
  <si>
    <t>Grid voltage, Standard deviation</t>
  </si>
  <si>
    <t>Rotor speed, Max</t>
  </si>
  <si>
    <t>Rotor speed, Min</t>
  </si>
  <si>
    <t>Rotor speed, Standard deviation</t>
  </si>
  <si>
    <t>Ambient temperature, Max</t>
  </si>
  <si>
    <t>Ambient temperature, Min</t>
  </si>
  <si>
    <t>Ambient temperature, Standard deviation</t>
  </si>
  <si>
    <t>Temp. gearbox, Max</t>
  </si>
  <si>
    <t>Temp. gearbox, Min</t>
  </si>
  <si>
    <t>Temp. gearbox, Standard deviation</t>
  </si>
  <si>
    <t>Front bearing temperature, Max</t>
  </si>
  <si>
    <t>Front bearing temperature, Min</t>
  </si>
  <si>
    <t>Front bearing temperature, Standard deviation</t>
  </si>
  <si>
    <t>Rear bearing temperature, Max</t>
  </si>
  <si>
    <t>Rear bearing temperature, Min</t>
  </si>
  <si>
    <t>Rear bearing temperature, Standard deviation</t>
  </si>
  <si>
    <t>Gear bearing temperature, Max</t>
  </si>
  <si>
    <t>Gear bearing temperature, Min</t>
  </si>
  <si>
    <t>Gear bearing temperature, Standard deviation</t>
  </si>
  <si>
    <t>Cascading potential power</t>
  </si>
  <si>
    <t>Cascading potential power for performance</t>
  </si>
  <si>
    <t>Frequency, max</t>
  </si>
  <si>
    <t>Frequency, min</t>
  </si>
  <si>
    <t>Nacelle temperature, Max</t>
  </si>
  <si>
    <t>Nacelle temperature, Min</t>
  </si>
  <si>
    <t>Generator bearing front temperature, Max</t>
  </si>
  <si>
    <t>Generator bearing front temperature, Min</t>
  </si>
  <si>
    <t>Generator bearing rear temperature, Max</t>
  </si>
  <si>
    <t>Generator bearing rear temperature, Min</t>
  </si>
  <si>
    <t>Hydraulic oil temperature, Max</t>
  </si>
  <si>
    <t>Hydraulic oil temperature, Min</t>
  </si>
  <si>
    <t>Current L1 / U, min</t>
  </si>
  <si>
    <t>Current L1 / U, max</t>
  </si>
  <si>
    <t>Current L1 / U, StdDev</t>
  </si>
  <si>
    <t>Temperature G1, min</t>
  </si>
  <si>
    <t>Temperature G1, max</t>
  </si>
  <si>
    <t>Temperature G1, StdDev</t>
  </si>
  <si>
    <t>Temperature G2, min</t>
  </si>
  <si>
    <t>Temperature G2, max</t>
  </si>
  <si>
    <t>Temperature G2, StdDev</t>
  </si>
  <si>
    <t>Gearbox housing temp, min</t>
  </si>
  <si>
    <t>Gearbox housing temp, max</t>
  </si>
  <si>
    <t>Gearbox housing temp, StdDev</t>
  </si>
  <si>
    <t>Control cabinet temperature, Max</t>
  </si>
  <si>
    <t>Control cabinet temperature, Min</t>
  </si>
  <si>
    <t>Control cabinet temperature, StdDev</t>
  </si>
  <si>
    <t>Blade A pitch control box, Max</t>
  </si>
  <si>
    <t>Blade A pitch control box, Min</t>
  </si>
  <si>
    <t>Blade A pitch control box, StdDev</t>
  </si>
  <si>
    <t>Blade B pitch control box, Max</t>
  </si>
  <si>
    <t>Blade B pitch control box, Min</t>
  </si>
  <si>
    <t>Blade B pitch control box, StdDev</t>
  </si>
  <si>
    <t>Blade C pitch control box, Max</t>
  </si>
  <si>
    <t>Blade C pitch control box, Min</t>
  </si>
  <si>
    <t>Blade C pitch control box, StdDev</t>
  </si>
  <si>
    <t>Grid frequency, Max</t>
  </si>
  <si>
    <t>Grid frequency, Min</t>
  </si>
  <si>
    <t>Grid frequency, Standard deviation</t>
  </si>
  <si>
    <t>Generator temperature, Max</t>
  </si>
  <si>
    <t>Generator temperature, Min</t>
  </si>
  <si>
    <t>Generator bearing front temperature, Std</t>
  </si>
  <si>
    <t>Generator bearing rear temperature, Std</t>
  </si>
  <si>
    <t>Nacelle temperature, Standard deviation</t>
  </si>
  <si>
    <t>Spinner temperature, Min</t>
  </si>
  <si>
    <t>Spinner temperature, Max</t>
  </si>
  <si>
    <t>Spinner temperature, Standard deviation</t>
  </si>
  <si>
    <t>Voltage L1 / U, Min</t>
  </si>
  <si>
    <t>Voltage L1 / U, Max</t>
  </si>
  <si>
    <t>Voltage L1 / U, Standard deviation</t>
  </si>
  <si>
    <t>Voltage L2 / V, Min</t>
  </si>
  <si>
    <t>Voltage L2 / V, Max</t>
  </si>
  <si>
    <t>Voltage L2 / V, Standard deviation</t>
  </si>
  <si>
    <t>Voltage L3 / W, Min</t>
  </si>
  <si>
    <t>Voltage L3 / W, Max</t>
  </si>
  <si>
    <t>Voltage L3 / W, Standard deviation</t>
  </si>
  <si>
    <t>Current L2 / V, max</t>
  </si>
  <si>
    <t>Current L3 / W, max</t>
  </si>
  <si>
    <t>Generator cooling water temperature, Max</t>
  </si>
  <si>
    <t>Generator cooling water temperature, Min</t>
  </si>
  <si>
    <t>Generator cooling water temperature, Standard deviation</t>
  </si>
  <si>
    <t>Hydraulic oil temperature, Standard deviation</t>
  </si>
  <si>
    <t>Top controller temp, Max</t>
  </si>
  <si>
    <t>Top controller temp, Min</t>
  </si>
  <si>
    <t>Top controller temp, Standard deviation</t>
  </si>
  <si>
    <t>Hub controller temp, Max</t>
  </si>
  <si>
    <t>Hub controller temp, Min</t>
  </si>
  <si>
    <t>Hub controller temp, Standard deviation</t>
  </si>
  <si>
    <t>Ground controller temp, Max</t>
  </si>
  <si>
    <t>Ground controller temp, Min</t>
  </si>
  <si>
    <t>Ground controller temp, Standard deviation</t>
  </si>
  <si>
    <t>Controller VCP temperature, Max</t>
  </si>
  <si>
    <t>Controller VCP temperature, Min</t>
  </si>
  <si>
    <t>Maximum possible power, Max</t>
  </si>
  <si>
    <t>Maximum possible power, Min</t>
  </si>
  <si>
    <t>Maximum possible power, Standard deviation</t>
  </si>
  <si>
    <t>Gear oil temperature, Max</t>
  </si>
  <si>
    <t>Gear oil temperature, Min</t>
  </si>
  <si>
    <t>Gear oil temperature, Standard deviation</t>
  </si>
  <si>
    <t>Generator phase 1 temp, Max</t>
  </si>
  <si>
    <t>Generator phase 1 temp, Min</t>
  </si>
  <si>
    <t>Generator phase 1 temp, Standard deviation</t>
  </si>
  <si>
    <t>Generator phase 2 temp, Max</t>
  </si>
  <si>
    <t>Generator phase 2 temp, Min</t>
  </si>
  <si>
    <t>Generator phase 2 temp, Standard deviation</t>
  </si>
  <si>
    <t>Generator phase 3 temp, Max</t>
  </si>
  <si>
    <t>Generator phase 3 temp, Min</t>
  </si>
  <si>
    <t>Generator phase 3 temp, Standard deviation</t>
  </si>
  <si>
    <t>Pitch angle reference, Min</t>
  </si>
  <si>
    <t>Pitch angle reference, Max</t>
  </si>
  <si>
    <t>Pitch angle reference, StdDev</t>
  </si>
  <si>
    <t>Current L2 / V, min</t>
  </si>
  <si>
    <t>Current L2 / V, StdDev</t>
  </si>
  <si>
    <t>Current L3 / W, min</t>
  </si>
  <si>
    <t>Current L3 / W, StdDev</t>
  </si>
  <si>
    <t>Hub temperature, min</t>
  </si>
  <si>
    <t>Hub temperature, max</t>
  </si>
  <si>
    <t>Hub temperature, standard deviation</t>
  </si>
  <si>
    <t>Generator temperature, Std</t>
  </si>
  <si>
    <t>Nacelle control cabinet temperature, Max</t>
  </si>
  <si>
    <t>Nacelle control cabinet temperature, Min</t>
  </si>
  <si>
    <t>Nacelle control cabinet temperature, Std</t>
  </si>
  <si>
    <t>Power panel temperature, Max</t>
  </si>
  <si>
    <t>Power panel temperature, Min</t>
  </si>
  <si>
    <t>Power panel temperature, Std</t>
  </si>
  <si>
    <t>GMS Power factor (tanphi)</t>
  </si>
  <si>
    <t>Grid current, Max</t>
  </si>
  <si>
    <t>Grid current, Min</t>
  </si>
  <si>
    <t>Grid current, StdDev</t>
  </si>
  <si>
    <t>Pitch angle set point, Min</t>
  </si>
  <si>
    <t>Pitch angle set point, Max</t>
  </si>
  <si>
    <t>Pitch angle set point, StdDev</t>
  </si>
  <si>
    <t>Air pressure, Max</t>
  </si>
  <si>
    <t>Air pressure, Min</t>
  </si>
  <si>
    <t>Air pressure, StdDev</t>
  </si>
  <si>
    <t>Apparent power, Max</t>
  </si>
  <si>
    <t>Apparent power, Min</t>
  </si>
  <si>
    <t>Apparent power, StdDev</t>
  </si>
  <si>
    <t>Blade pressure (hydraulic), Max</t>
  </si>
  <si>
    <t>Blade pressure (hydraulic), Min</t>
  </si>
  <si>
    <t>Blade pressure (hydraulic), StdDev</t>
  </si>
  <si>
    <t>Box temp 1, Max</t>
  </si>
  <si>
    <t>Box temp 1, Min</t>
  </si>
  <si>
    <t>Box temp 1, StdDev</t>
  </si>
  <si>
    <t>Box temp 2, Max</t>
  </si>
  <si>
    <t>Box temp 2, Min</t>
  </si>
  <si>
    <t>Box temp 2, StdDev</t>
  </si>
  <si>
    <t>Box temp 3, Max</t>
  </si>
  <si>
    <t>Box temp 3, Min</t>
  </si>
  <si>
    <t>Box temp 3, StdDev</t>
  </si>
  <si>
    <t>Brakes pressure, Max</t>
  </si>
  <si>
    <t>Brakes pressure, Min</t>
  </si>
  <si>
    <t>Brakes pressure, StdDev</t>
  </si>
  <si>
    <t>Gear main bearing temperature, Max</t>
  </si>
  <si>
    <t>Gear main bearing temperature, Min</t>
  </si>
  <si>
    <t>Gear main bearing temperature, StdDev</t>
  </si>
  <si>
    <t>Gear oil inlet pressure, Max</t>
  </si>
  <si>
    <t>Gear oil inlet pressure, Min</t>
  </si>
  <si>
    <t>Gear oil inlet pressure, StdDev</t>
  </si>
  <si>
    <t>Gear oil inlet temperature, Max</t>
  </si>
  <si>
    <t>Gear oil inlet temperature, Min</t>
  </si>
  <si>
    <t>Gear oil inlet temperature, StdDev</t>
  </si>
  <si>
    <t>Gear oil pump pressure, Max</t>
  </si>
  <si>
    <t>Gear oil pump pressure, Min</t>
  </si>
  <si>
    <t>Gear oil pump pressure, StdDev</t>
  </si>
  <si>
    <t>Nacelle ambient temperature, Max</t>
  </si>
  <si>
    <t>Nacelle ambient temperature, Min</t>
  </si>
  <si>
    <t>Nacelle ambient temperature, StdDev</t>
  </si>
  <si>
    <t>Vibration y-direction, Max</t>
  </si>
  <si>
    <t>Vibration y-direction, Min</t>
  </si>
  <si>
    <t>Vibration y-direction, StdDev</t>
  </si>
  <si>
    <t>Vibration z-direction, Max</t>
  </si>
  <si>
    <t>Vibration z-direction, Min</t>
  </si>
  <si>
    <t>Vibration z-direction, StdDev</t>
  </si>
  <si>
    <t>Rotor bearing temp, Max</t>
  </si>
  <si>
    <t>Rotor bearing temp, Min</t>
  </si>
  <si>
    <t>Rotor bearing temp, StdDev</t>
  </si>
  <si>
    <t>Oil sump temperature, Max</t>
  </si>
  <si>
    <t>Oil sump temperature, Min</t>
  </si>
  <si>
    <t>Oil sump temperature, StdDev</t>
  </si>
  <si>
    <t>Blade A temperature, Max</t>
  </si>
  <si>
    <t>Blade A temperature, Min</t>
  </si>
  <si>
    <t>Blade A temperature, StdDev</t>
  </si>
  <si>
    <t>Blade B temperature, Max</t>
  </si>
  <si>
    <t>Blade B temperature, Min</t>
  </si>
  <si>
    <t>Blade B temperature, StdDev</t>
  </si>
  <si>
    <t>Blade C temperature, Max</t>
  </si>
  <si>
    <t>Blade C temperature, Min</t>
  </si>
  <si>
    <t>Blade C temperature, StdDev</t>
  </si>
  <si>
    <t>Transformer temperature, Max</t>
  </si>
  <si>
    <t>Transformer temperature, Min</t>
  </si>
  <si>
    <t>Transformer temperature, StdDev</t>
  </si>
  <si>
    <t>Tower base temp, Max</t>
  </si>
  <si>
    <t>Tower base temp, Min</t>
  </si>
  <si>
    <t>Tower base temp, StdDev</t>
  </si>
  <si>
    <t>Motor current axis 1, Max</t>
  </si>
  <si>
    <t>Motor current axis 1, Min</t>
  </si>
  <si>
    <t>Motor current axis 1, StdDev</t>
  </si>
  <si>
    <t>Motor current axis 2, Max</t>
  </si>
  <si>
    <t>Motor current axis 2, Min</t>
  </si>
  <si>
    <t>Motor current axis 2, StdDev</t>
  </si>
  <si>
    <t>Motor current axis 3, Max</t>
  </si>
  <si>
    <t>Motor current axis 3, Min</t>
  </si>
  <si>
    <t>Motor current axis 3, StdDev</t>
  </si>
  <si>
    <t>Motor speed 1, Max</t>
  </si>
  <si>
    <t>Motor speed 1, Min</t>
  </si>
  <si>
    <t>Motor speed 1, StdDev</t>
  </si>
  <si>
    <t>Motor speed 2, Max</t>
  </si>
  <si>
    <t>Motor speed 2, Min</t>
  </si>
  <si>
    <t>Motor speed 2, StdDev</t>
  </si>
  <si>
    <t>Motor speed 3, Max</t>
  </si>
  <si>
    <t>Motor speed 3, Min</t>
  </si>
  <si>
    <t>Motor speed 3, StdDev</t>
  </si>
  <si>
    <t>Stator temperature 1, Max</t>
  </si>
  <si>
    <t>Stator temperature 1, Min</t>
  </si>
  <si>
    <t>Stator temperature 1, StdDev</t>
  </si>
  <si>
    <t>Stator temperature 2, Max</t>
  </si>
  <si>
    <t>Stator temperature 2, Min</t>
  </si>
  <si>
    <t>Stator temperature 2, StdDev</t>
  </si>
  <si>
    <t>Temp. top box, Max</t>
  </si>
  <si>
    <t>Temp. top box, Min</t>
  </si>
  <si>
    <t>Temp. top box, StdDev</t>
  </si>
  <si>
    <t>High speed bearing temperature, Max</t>
  </si>
  <si>
    <t>High speed bearing temperature, Min</t>
  </si>
  <si>
    <t>High speed bearing temperature, StdDev</t>
  </si>
  <si>
    <t>Pitch 1 output temp, Max</t>
  </si>
  <si>
    <t>Pitch 1 output temp, Min</t>
  </si>
  <si>
    <t>Pitch 1 output temp, StdDev</t>
  </si>
  <si>
    <t>Pitch 2 output temp, Max</t>
  </si>
  <si>
    <t>Pitch 2 output temp, Min</t>
  </si>
  <si>
    <t>Pitch 2 output temp, StdDev</t>
  </si>
  <si>
    <t>Pitch 3 output temp, Max</t>
  </si>
  <si>
    <t>Pitch 3 output temp, Min</t>
  </si>
  <si>
    <t>Pitch 3 output temp, StdDev</t>
  </si>
  <si>
    <t>Trafo temperature, Max</t>
  </si>
  <si>
    <t>Trafo temperature, Min</t>
  </si>
  <si>
    <t>Trafo temperature, StdDev</t>
  </si>
  <si>
    <t>Phase 1 temperature, Max</t>
  </si>
  <si>
    <t>Phase 1 temperature, Min</t>
  </si>
  <si>
    <t>Phase 1 temperature, StdDev</t>
  </si>
  <si>
    <t>Phase 2 temperature, Max</t>
  </si>
  <si>
    <t>Phase 2 temperature, Min</t>
  </si>
  <si>
    <t>Phase 2 temperature, StdDev</t>
  </si>
  <si>
    <t>Phase 3 temperature, Max</t>
  </si>
  <si>
    <t>Phase 3 temperature, Min</t>
  </si>
  <si>
    <t>Phase 3 temperature, StdDev</t>
  </si>
  <si>
    <t>DC link voltage 1, Max</t>
  </si>
  <si>
    <t>DC link voltage 1, Min</t>
  </si>
  <si>
    <t>DC link voltage 1, StdDev</t>
  </si>
  <si>
    <t>DC link voltage 2, Max</t>
  </si>
  <si>
    <t>DC link voltage 2, Min</t>
  </si>
  <si>
    <t>DC link voltage 2, StdDev</t>
  </si>
  <si>
    <t>DC link voltage 3, Max</t>
  </si>
  <si>
    <t>DC link voltage 3, Min</t>
  </si>
  <si>
    <t>DC link voltage 3, StdDev</t>
  </si>
  <si>
    <t>Gear Bearing 1 Temperature, Max</t>
  </si>
  <si>
    <t>Gear Bearing 1 Temperature, Min</t>
  </si>
  <si>
    <t>Gear Bearing 1 Temperature, StdDev</t>
  </si>
  <si>
    <t>Gear Bearing 2 Temperature, Max</t>
  </si>
  <si>
    <t>Gear Bearing 2 Temperature, Min</t>
  </si>
  <si>
    <t>Gear Bearing 2 Temperature, StdDev</t>
  </si>
  <si>
    <t>Temp. cooling water advance, Max</t>
  </si>
  <si>
    <t>Temp. cooling water advance, Min</t>
  </si>
  <si>
    <t>Temp. cooling water advance, StdDev</t>
  </si>
  <si>
    <t>Temp. cooling water return, Max</t>
  </si>
  <si>
    <t>Temp. cooling water return, Min</t>
  </si>
  <si>
    <t>Temp. cooling water return, StdDev</t>
  </si>
  <si>
    <t>Temp. shaft bearing, Max</t>
  </si>
  <si>
    <t>Temp. shaft bearing, Min</t>
  </si>
  <si>
    <t>Temp. shaft bearing, StdDev</t>
  </si>
  <si>
    <t>Tower temperature, Max</t>
  </si>
  <si>
    <t>Tower temperature, Min</t>
  </si>
  <si>
    <t>Tower temperature, StdDev</t>
  </si>
  <si>
    <t>Rotor temperature 1, Max</t>
  </si>
  <si>
    <t>Rotor temperature 1, Min</t>
  </si>
  <si>
    <t>Rotor temperature 1, StdDev</t>
  </si>
  <si>
    <t>Rotor temperature 2, Max</t>
  </si>
  <si>
    <t>Rotor temperature 2, Min</t>
  </si>
  <si>
    <t>Rotor temperature 2, StdDev</t>
  </si>
  <si>
    <t>Generator temperature L1, Max</t>
  </si>
  <si>
    <t>Generator temperature L1, Min</t>
  </si>
  <si>
    <t>Generator temperature L1, StdDev</t>
  </si>
  <si>
    <t>Generator temperature L2, Max</t>
  </si>
  <si>
    <t>Generator temperature L2, Min</t>
  </si>
  <si>
    <t>Generator temperature L2, StdDev</t>
  </si>
  <si>
    <t>Generator temperature L3, Max</t>
  </si>
  <si>
    <t>Generator temperature L3, Min</t>
  </si>
  <si>
    <t>Generator temperature L3, StdDev</t>
  </si>
  <si>
    <t>Transformer winding temp 1, Max</t>
  </si>
  <si>
    <t>Transformer winding temp 1, Min</t>
  </si>
  <si>
    <t>Transformer winding temp 1, StdDev</t>
  </si>
  <si>
    <t>Transformer winding temp 2, Max</t>
  </si>
  <si>
    <t>Transformer winding temp 2, Min</t>
  </si>
  <si>
    <t>Transformer winding temp 2, StdDev</t>
  </si>
  <si>
    <t>Transformer winding temp 3, Max</t>
  </si>
  <si>
    <t>Transformer winding temp 3, Min</t>
  </si>
  <si>
    <t>Transformer winding temp 3, StdDev</t>
  </si>
  <si>
    <t>Rectifier cabinet temperature, Max</t>
  </si>
  <si>
    <t>Rectifier cabinet temperature, Min</t>
  </si>
  <si>
    <t>Rectifier cabinet temperature, StdDev</t>
  </si>
  <si>
    <t>Availability, Manufacturer, Max</t>
  </si>
  <si>
    <t>Availability, Manufacturer, Min</t>
  </si>
  <si>
    <t>Availability, Manufacturer, StdDev</t>
  </si>
  <si>
    <t>Blade A pitch heat sink, Max</t>
  </si>
  <si>
    <t>Blade A pitch heat sink, Min</t>
  </si>
  <si>
    <t>Blade A pitch heat sink, StdDev</t>
  </si>
  <si>
    <t>Blade B pitch heat sink, Max</t>
  </si>
  <si>
    <t>Blade B pitch heat sink, Min</t>
  </si>
  <si>
    <t>Blade B pitch heat sink, StdDev</t>
  </si>
  <si>
    <t>Blade C pitch heat sink, Max</t>
  </si>
  <si>
    <t>Blade C pitch heat sink, Min</t>
  </si>
  <si>
    <t>Blade C pitch heat sink, StdDev</t>
  </si>
  <si>
    <t>Cable twist, Max</t>
  </si>
  <si>
    <t>Cable twist, Min</t>
  </si>
  <si>
    <t>Cable twist, StdDev</t>
  </si>
  <si>
    <t>Cable twist (degrees), Max</t>
  </si>
  <si>
    <t>Cable twist (degrees), Min</t>
  </si>
  <si>
    <t>Cable twist (degrees), StdDev</t>
  </si>
  <si>
    <t>Excitation heat sink, Max</t>
  </si>
  <si>
    <t>Excitation heat sink, Min</t>
  </si>
  <si>
    <t>Excitation heat sink, StdDev</t>
  </si>
  <si>
    <t>Generator cool A temperature, Max</t>
  </si>
  <si>
    <t>Generator cool A temperature, Min</t>
  </si>
  <si>
    <t>Generator cool A temperature, StdDev</t>
  </si>
  <si>
    <t>Generator cool B temperature, Max</t>
  </si>
  <si>
    <t>Generator cool B temperature, Min</t>
  </si>
  <si>
    <t>Generator cool B temperature, StdDev</t>
  </si>
  <si>
    <t>Hydraulic unit temperature, Max</t>
  </si>
  <si>
    <t>Hydraulic unit temperature, Min</t>
  </si>
  <si>
    <t>Hydraulic unit temperature, StdDev</t>
  </si>
  <si>
    <t>Temperature Thyristor, Max</t>
  </si>
  <si>
    <t>Temperature Thyristor, Min</t>
  </si>
  <si>
    <t>Temperature Thyristor, StdDev</t>
  </si>
  <si>
    <t>Rectifier 1 heat sink, Max</t>
  </si>
  <si>
    <t>Rectifier 1 heat sink, Min</t>
  </si>
  <si>
    <t>Rectifier 1 heat sink, StdDev</t>
  </si>
  <si>
    <t>Rectifier 2 heat sink, Max</t>
  </si>
  <si>
    <t>Rectifier 2 heat sink, Min</t>
  </si>
  <si>
    <t>Rectifier 2 heat sink, StdDev</t>
  </si>
  <si>
    <t>Generator bearing 1 temperature, Max</t>
  </si>
  <si>
    <t>Generator bearing 1 temperature, Min</t>
  </si>
  <si>
    <t>Generator bearing 1 temperature, StdDev</t>
  </si>
  <si>
    <t>Sys 1. Power cabinet 1, Max</t>
  </si>
  <si>
    <t>Sys 1. Power cabinet 1, Min</t>
  </si>
  <si>
    <t>Sys 1. Power cabinet 1, StdDev</t>
  </si>
  <si>
    <t>Sys 1. Power cabinet 10, Max</t>
  </si>
  <si>
    <t>Sys 1. Power cabinet 10, Min</t>
  </si>
  <si>
    <t>Sys 1. Power cabinet 10, StdDev</t>
  </si>
  <si>
    <t>Sys 1. Power cabinet 11, Max</t>
  </si>
  <si>
    <t>Sys 1. Power cabinet 11, Min</t>
  </si>
  <si>
    <t>Sys 1. Power cabinet 11, StdDev</t>
  </si>
  <si>
    <t>Sys 1. Power cabinet 2, Max</t>
  </si>
  <si>
    <t>Sys 1. Power cabinet 2, Min</t>
  </si>
  <si>
    <t>Sys 1. Power cabinet 2, StdDev</t>
  </si>
  <si>
    <t>Sys 1. Power cabinet 3, Max</t>
  </si>
  <si>
    <t>Sys 1. Power cabinet 3, Min</t>
  </si>
  <si>
    <t>Sys 1. Power cabinet 3, StdDev</t>
  </si>
  <si>
    <t>Sys 1. Power cabinet 4, Max</t>
  </si>
  <si>
    <t>Sys 1. Power cabinet 4, Min</t>
  </si>
  <si>
    <t>Sys 1. Power cabinet 4, StdDev</t>
  </si>
  <si>
    <t>Sys 1. Power cabinet 5, Max</t>
  </si>
  <si>
    <t>Sys 1. Power cabinet 5, Min</t>
  </si>
  <si>
    <t>Sys 1. Power cabinet 5, StdDev</t>
  </si>
  <si>
    <t>Sys 1. Power cabinet 6, Max</t>
  </si>
  <si>
    <t>Sys 1. Power cabinet 6, Min</t>
  </si>
  <si>
    <t>Sys 1. Power cabinet 6, StdDev</t>
  </si>
  <si>
    <t>Sys 1. Power cabinet 7, Max</t>
  </si>
  <si>
    <t>Sys 1. Power cabinet 7, Min</t>
  </si>
  <si>
    <t>Sys 1. Power cabinet 7, StdDev</t>
  </si>
  <si>
    <t>Sys 1. Power cabinet 8, Max</t>
  </si>
  <si>
    <t>Sys 1. Power cabinet 8, Min</t>
  </si>
  <si>
    <t>Sys 1. Power cabinet 8, StdDev</t>
  </si>
  <si>
    <t>Sys 1. Power cabinet 9, Max</t>
  </si>
  <si>
    <t>Sys 1. Power cabinet 9, Min</t>
  </si>
  <si>
    <t>Sys 1. Power cabinet 9, StdDev</t>
  </si>
  <si>
    <t>Yaw - operations</t>
  </si>
  <si>
    <t>Yaw - unwind operations</t>
  </si>
  <si>
    <t>Latest</t>
  </si>
  <si>
    <t>2019-10</t>
  </si>
  <si>
    <t xml:space="preserve"> Years of Data (as on 2019_10)</t>
  </si>
  <si>
    <t>Current</t>
  </si>
  <si>
    <t>2019_04</t>
  </si>
  <si>
    <t>first year</t>
  </si>
  <si>
    <t>last year</t>
  </si>
  <si>
    <t>Rotor brake temp, Max</t>
  </si>
  <si>
    <t>Rotor brake temp, Min</t>
  </si>
  <si>
    <t>Rotor brake temp, StdDev</t>
  </si>
  <si>
    <t>name</t>
  </si>
  <si>
    <t>nameMatlab</t>
  </si>
  <si>
    <t>Wind_speed</t>
  </si>
  <si>
    <t>Wind_direction</t>
  </si>
  <si>
    <t>Nacelle_position</t>
  </si>
  <si>
    <t>Energy_Export</t>
  </si>
  <si>
    <t>Power_factor__cosphi_</t>
  </si>
  <si>
    <t>Reactive_power</t>
  </si>
  <si>
    <t>Spinner_temperature</t>
  </si>
  <si>
    <t>Front_bearing_temperature</t>
  </si>
  <si>
    <t>Rear_bearing_temperature</t>
  </si>
  <si>
    <t>Blade_A_pitch_heat_sink</t>
  </si>
  <si>
    <t>Blade_B_pitch_heat_sink</t>
  </si>
  <si>
    <t>Blade_C_pitch_heat_sink</t>
  </si>
  <si>
    <t>Blade_A_pitch_control_box</t>
  </si>
  <si>
    <t>Blade_B_pitch_control_box</t>
  </si>
  <si>
    <t>Blade_C_pitch_control_box</t>
  </si>
  <si>
    <t>Blade_A_temperature</t>
  </si>
  <si>
    <t>Blade_B_temperature</t>
  </si>
  <si>
    <t>Blade_C_temperature</t>
  </si>
  <si>
    <t>Rotor_temperature_1</t>
  </si>
  <si>
    <t>Rotor_temperature_2</t>
  </si>
  <si>
    <t>Stator_temperature_1</t>
  </si>
  <si>
    <t>Stator_temperature_2</t>
  </si>
  <si>
    <t>Nacelle_ambient_temperature</t>
  </si>
  <si>
    <t>Nacelle_temperature</t>
  </si>
  <si>
    <t>Nacelle_control_cabinet_temperature</t>
  </si>
  <si>
    <t>Rectifier_1_heat_sink</t>
  </si>
  <si>
    <t>Rectifier_2_heat_sink</t>
  </si>
  <si>
    <t>Rectifier_cabinet_temperature</t>
  </si>
  <si>
    <t>Excitation_heat_sink</t>
  </si>
  <si>
    <t>Ambient_temperature</t>
  </si>
  <si>
    <t>Tower_temperature</t>
  </si>
  <si>
    <t>Control_cabinet_temperature</t>
  </si>
  <si>
    <t>Transformer_temperature</t>
  </si>
  <si>
    <t>Sys_1_Power_cabinet_1</t>
  </si>
  <si>
    <t>Sys_1_Power_cabinet_2</t>
  </si>
  <si>
    <t>Sys_1_Power_cabinet_3</t>
  </si>
  <si>
    <t>Sys_1_Power_cabinet_4</t>
  </si>
  <si>
    <t>Sys_1_Power_cabinet_5</t>
  </si>
  <si>
    <t>Sys_1_Power_cabinet_6</t>
  </si>
  <si>
    <t>Sys_1_Power_cabinet_7</t>
  </si>
  <si>
    <t>Sys_1_Power_cabinet_8</t>
  </si>
  <si>
    <t>Sys_1_Power_cabinet_9</t>
  </si>
  <si>
    <t>Sys_1_Power_cabinet_10</t>
  </si>
  <si>
    <t>Sys_1_Power_cabinet_11</t>
  </si>
  <si>
    <t>Voltage_L1__U</t>
  </si>
  <si>
    <t>Voltage_L2__V</t>
  </si>
  <si>
    <t>Voltage_L3__W</t>
  </si>
  <si>
    <t>Current_L1__U</t>
  </si>
  <si>
    <t>Current_L2__V</t>
  </si>
  <si>
    <t>Current_L3__W</t>
  </si>
  <si>
    <t>Operating_Time</t>
  </si>
  <si>
    <t>Rotor_speed</t>
  </si>
  <si>
    <t>Manufacturer_potential_power</t>
  </si>
  <si>
    <t>Manufacturer_potential_power__limited_by_technical_problems_</t>
  </si>
  <si>
    <t>Manufacturer_potential_power__limited_by_force_majeure_</t>
  </si>
  <si>
    <t>Manufacturer_potential_power__limited_by_external_factors_</t>
  </si>
  <si>
    <t>Potential power default PC</t>
  </si>
  <si>
    <t>Potential_power_default_PC</t>
  </si>
  <si>
    <t>Capacity factor</t>
  </si>
  <si>
    <t>Capacity_factor</t>
  </si>
  <si>
    <t>Wind_speed_Standard_deviation</t>
  </si>
  <si>
    <t>Wind_speed_Minimum</t>
  </si>
  <si>
    <t>Wind_speed_Maximum</t>
  </si>
  <si>
    <t>Wind_direction_Standard_deviation</t>
  </si>
  <si>
    <t>Wind_direction_Minimum</t>
  </si>
  <si>
    <t>Wind_direction_Maximum</t>
  </si>
  <si>
    <t>Nacelle_position_Standard_deviation</t>
  </si>
  <si>
    <t>Nacelle_position_Minimum</t>
  </si>
  <si>
    <t>Nacelle_position_Maximum</t>
  </si>
  <si>
    <t>Power_Standard_deviation</t>
  </si>
  <si>
    <t>Power_Minimum</t>
  </si>
  <si>
    <t>Power_Maximum</t>
  </si>
  <si>
    <t>Blade_angle__pitch_position__A</t>
  </si>
  <si>
    <t>Blade_angle__pitch_position__B</t>
  </si>
  <si>
    <t>Blade_angle__pitch_position__C</t>
  </si>
  <si>
    <t>Blade_angle__pitch_position_</t>
  </si>
  <si>
    <t>Blade_pressure__hydraulic_</t>
  </si>
  <si>
    <t>Grid_frequency</t>
  </si>
  <si>
    <t>Generator_RPM</t>
  </si>
  <si>
    <t>Reactive_Energy_Export</t>
  </si>
  <si>
    <t>Energy_Import</t>
  </si>
  <si>
    <t>Reactive_Energy_Import</t>
  </si>
  <si>
    <t>High_speed_bearing_temperature</t>
  </si>
  <si>
    <t>Gear_Bearing_1_Temperature</t>
  </si>
  <si>
    <t>Gear_Bearing_2_Temperature</t>
  </si>
  <si>
    <t>Generator_temperature_L1</t>
  </si>
  <si>
    <t>Generator_temperature_L2</t>
  </si>
  <si>
    <t>Generator_temperature_L3</t>
  </si>
  <si>
    <t>Hydraulic_oil_temperature</t>
  </si>
  <si>
    <t>Generator_cooling_water_temperature</t>
  </si>
  <si>
    <t>Hydraulic_oil_pressure</t>
  </si>
  <si>
    <t>Gear_bearing_hollow_shaft_rotor_temp</t>
  </si>
  <si>
    <t>Gear_bearing_hollow_shaft_gen_1_temperature</t>
  </si>
  <si>
    <t>Gear_bearing_hollow_shaft_gen_2_temperature</t>
  </si>
  <si>
    <t>Gear_main_bearing_temperature</t>
  </si>
  <si>
    <t>Gear_oil_inlet_temperature</t>
  </si>
  <si>
    <t>Generator_bearing_rear_temperature</t>
  </si>
  <si>
    <t>Generator_bearing_front_temperature</t>
  </si>
  <si>
    <t>Generator_bearing_1_temperature</t>
  </si>
  <si>
    <t>Phase_1_temperature</t>
  </si>
  <si>
    <t>Phase_2_temperature</t>
  </si>
  <si>
    <t>Phase_3_temperature</t>
  </si>
  <si>
    <t>Grid_busbar_temperature</t>
  </si>
  <si>
    <t>Rotor_inverter_temperature_L1</t>
  </si>
  <si>
    <t>Rotor_inverter_temperature_L2</t>
  </si>
  <si>
    <t>Rotor_inverter_temperature_L3</t>
  </si>
  <si>
    <t>Grid_inverter_temperature_L1</t>
  </si>
  <si>
    <t>Potential power learned PC</t>
  </si>
  <si>
    <t>Potential_power_learned_PC</t>
  </si>
  <si>
    <t>Grid_On_Time</t>
  </si>
  <si>
    <t>Maintenance_Time</t>
  </si>
  <si>
    <t>Production_Time</t>
  </si>
  <si>
    <t>Turbine_OK_Time</t>
  </si>
  <si>
    <t>Wind_OK_Time</t>
  </si>
  <si>
    <t>Yaw_Time</t>
  </si>
  <si>
    <t>Hub_controller_temp</t>
  </si>
  <si>
    <t>Top_controller_temp</t>
  </si>
  <si>
    <t>Gear_bearing_temp</t>
  </si>
  <si>
    <t>Gear_oil_temperature</t>
  </si>
  <si>
    <t>Generator_phase_1_temp</t>
  </si>
  <si>
    <t>Generator_phase_2_temp</t>
  </si>
  <si>
    <t>Generator_phase_3_temp</t>
  </si>
  <si>
    <t>Generator_slipring_temp</t>
  </si>
  <si>
    <t>Ground_controller_temp</t>
  </si>
  <si>
    <t>Gear_bearing_hollow_shaft_middle_temp</t>
  </si>
  <si>
    <t>Gear_bearing_hollow_shaft_rotor_end_temp</t>
  </si>
  <si>
    <t>Gear_oil_temperature_basis</t>
  </si>
  <si>
    <t>Gear_oil_L1_temperature</t>
  </si>
  <si>
    <t>Gear_oil_L2_and_L3_temperature</t>
  </si>
  <si>
    <t>Spinner_slip_ring_temperature</t>
  </si>
  <si>
    <t>Generator_1_Time</t>
  </si>
  <si>
    <t>Generator_2_Time</t>
  </si>
  <si>
    <t>Grid_OK_Time</t>
  </si>
  <si>
    <t>First_alarm_in_10_min_frame</t>
  </si>
  <si>
    <t>First_alarm_parameter_1_in_10_min_frame</t>
  </si>
  <si>
    <t>First_alarm_parameter_2_in_10_min_frame</t>
  </si>
  <si>
    <t>Cable_twist</t>
  </si>
  <si>
    <t>Potential power reference turbines</t>
  </si>
  <si>
    <t>Potential_power_reference_turbines</t>
  </si>
  <si>
    <t>Active_alarm</t>
  </si>
  <si>
    <t>Data Availability</t>
  </si>
  <si>
    <t>Data_Availability</t>
  </si>
  <si>
    <t>Time-based Contractual Avail.</t>
  </si>
  <si>
    <t>Timebased_Contractual_Avail</t>
  </si>
  <si>
    <t>Time-based IEC B.2.2 (Users View)</t>
  </si>
  <si>
    <t>Timebased_IEC_B22__Users_View_</t>
  </si>
  <si>
    <t>Time-based IEC B.2.3 (Users View)</t>
  </si>
  <si>
    <t>Timebased_IEC_B23__Users_View_</t>
  </si>
  <si>
    <t>Time-based IEC B.2.4 (Users View)</t>
  </si>
  <si>
    <t>Timebased_IEC_B24__Users_View_</t>
  </si>
  <si>
    <t>Time-based IEC B.3.2 (Manufacturers View)</t>
  </si>
  <si>
    <t>Timebased_IEC_B32__Manufacturers_View_</t>
  </si>
  <si>
    <t>Production-based IEC B.2.2 (Users View)</t>
  </si>
  <si>
    <t>Productionbased_IEC_B22__Users_View_</t>
  </si>
  <si>
    <t>Production-based IEC B.2.3 (Users View)</t>
  </si>
  <si>
    <t>Productionbased_IEC_B23__Users_View_</t>
  </si>
  <si>
    <t>Production-based IEC B.3.2 (Manufacturers View)</t>
  </si>
  <si>
    <t>Productionbased_IEC_B32__Manufacturers_View_</t>
  </si>
  <si>
    <t>Lost Production (Contractual)</t>
  </si>
  <si>
    <t>Lost_Production__Contractual_</t>
  </si>
  <si>
    <t>Lost Production (Time-based IEC B.2.2)</t>
  </si>
  <si>
    <t>Lost_Production__Timebased_IEC_B22_</t>
  </si>
  <si>
    <t>Lost Production (Time-based IEC B.2.3)</t>
  </si>
  <si>
    <t>Lost_Production__Timebased_IEC_B23_</t>
  </si>
  <si>
    <t>Lost Production (Time-based IEC B.2.4)</t>
  </si>
  <si>
    <t>Lost_Production__Timebased_IEC_B24_</t>
  </si>
  <si>
    <t>Lost Production (Time-based IEC B.3.2)</t>
  </si>
  <si>
    <t>Lost_Production__Timebased_IEC_B32_</t>
  </si>
  <si>
    <t>Lost Production (Production-based IEC B.2.2)</t>
  </si>
  <si>
    <t>Lost_Production__Productionbased_IEC_B22_</t>
  </si>
  <si>
    <t>Lost Production (Production-based IEC B.2.3)</t>
  </si>
  <si>
    <t>Lost_Production__Productionbased_IEC_B23_</t>
  </si>
  <si>
    <t>Lost Production (Production-based IEC B.3.2)</t>
  </si>
  <si>
    <t>Lost_Production__Productionbased_IEC_B32_</t>
  </si>
  <si>
    <t>Temp_gearbox</t>
  </si>
  <si>
    <t>Temp_shaft_bearing</t>
  </si>
  <si>
    <t>Temp_top_box</t>
  </si>
  <si>
    <t>Weather_Out_Time</t>
  </si>
  <si>
    <t>External_Stop_Time</t>
  </si>
  <si>
    <t>Operating_state</t>
  </si>
  <si>
    <t>Energy Budget - Default</t>
  </si>
  <si>
    <t>Energy_Budget__Default</t>
  </si>
  <si>
    <t>Long Term Wind</t>
  </si>
  <si>
    <t>Long_Term_Wind</t>
  </si>
  <si>
    <t>Generator_bearing_I_temperature</t>
  </si>
  <si>
    <t>Generator_bearing_O_temperature</t>
  </si>
  <si>
    <t>Generator_cool_A_temperature</t>
  </si>
  <si>
    <t>Generator_cool_B_temperature</t>
  </si>
  <si>
    <t>Grid_filter_B1_temperature</t>
  </si>
  <si>
    <t>Grid_filter_B2_temperature</t>
  </si>
  <si>
    <t>Grid_filter_B3_temperature</t>
  </si>
  <si>
    <t>Hub_temperature</t>
  </si>
  <si>
    <t>Main_reactor_U_temperature</t>
  </si>
  <si>
    <t>Main_reactor_V_temperature</t>
  </si>
  <si>
    <t>Grid_current</t>
  </si>
  <si>
    <t>Grid_voltage</t>
  </si>
  <si>
    <t>Trafo_temperature</t>
  </si>
  <si>
    <t>Brake_pressure</t>
  </si>
  <si>
    <t>Controller_VCP_temperature</t>
  </si>
  <si>
    <t>Reset_Time</t>
  </si>
  <si>
    <t>Ambient_OK_Time</t>
  </si>
  <si>
    <t>Service_state</t>
  </si>
  <si>
    <t>Operating_sub_state</t>
  </si>
  <si>
    <t>Maximum_possible_power</t>
  </si>
  <si>
    <t>Gear_oil_inlet_pressure</t>
  </si>
  <si>
    <t>Air_pressure</t>
  </si>
  <si>
    <t>Cable_twist__degrees_</t>
  </si>
  <si>
    <t>Oil_sump_temperature</t>
  </si>
  <si>
    <t>Apparent_power</t>
  </si>
  <si>
    <t>Production_Time__reduced_operation_mode_</t>
  </si>
  <si>
    <t>Grid_Failure_Time</t>
  </si>
  <si>
    <t>Machine_Fault_Time</t>
  </si>
  <si>
    <t>Released_To_Operation_Time</t>
  </si>
  <si>
    <t>Not_Released_To_Operation_Time</t>
  </si>
  <si>
    <t>Force_Majeure_Time</t>
  </si>
  <si>
    <t>Avail_Stop</t>
  </si>
  <si>
    <t>Avail_Wait</t>
  </si>
  <si>
    <t>FMCtime_Following_Grid_Errors</t>
  </si>
  <si>
    <t>FMCtime_Due_To_Low_Wind_Speed</t>
  </si>
  <si>
    <t>Energy_Export__Reduced_power_mode_</t>
  </si>
  <si>
    <t>Energy_Import__Reduced_power_mode_</t>
  </si>
  <si>
    <t>Reactive_Energy_Export__Reduced_power_mode_</t>
  </si>
  <si>
    <t>Reactive_Energy_Import__Reduced_power_mode_</t>
  </si>
  <si>
    <t>Power_panel_temperature</t>
  </si>
  <si>
    <t>Hydraulic_unit_temperature</t>
  </si>
  <si>
    <t>Transformer_winding_temp_1</t>
  </si>
  <si>
    <t>Transformer_winding_temp_2</t>
  </si>
  <si>
    <t>Transformer_winding_temp_3</t>
  </si>
  <si>
    <t>Tip_pressure</t>
  </si>
  <si>
    <t>Temp_top_box_1</t>
  </si>
  <si>
    <t>Temp_top_box_2</t>
  </si>
  <si>
    <t>System_pressure</t>
  </si>
  <si>
    <t>Temp_cooling_water_advance</t>
  </si>
  <si>
    <t>Temp_cooling_water_return</t>
  </si>
  <si>
    <t>Temperature_Thyristor</t>
  </si>
  <si>
    <t>Temperature_G1</t>
  </si>
  <si>
    <t>Temperature_G2</t>
  </si>
  <si>
    <t>Temp_gearbox_oil_heat_exchanger</t>
  </si>
  <si>
    <t>Temperature_switchboard</t>
  </si>
  <si>
    <t>Supply_voltage_L1</t>
  </si>
  <si>
    <t>Supply_voltage_L2</t>
  </si>
  <si>
    <t>Supply_voltage_L3</t>
  </si>
  <si>
    <t>Manual_Stop_Time</t>
  </si>
  <si>
    <t>Free_hours</t>
  </si>
  <si>
    <t>Operating_time__soft_brake_step_1</t>
  </si>
  <si>
    <t>Operating_time__soft_brake_step_2</t>
  </si>
  <si>
    <t>Operating_time__fast_brake</t>
  </si>
  <si>
    <t>Operating_time__emergency_brake</t>
  </si>
  <si>
    <t>Vibration_ydirection</t>
  </si>
  <si>
    <t>Vibration_zdirection</t>
  </si>
  <si>
    <t>Box_temp_1</t>
  </si>
  <si>
    <t>Box_temp_2</t>
  </si>
  <si>
    <t>Box_temp_3</t>
  </si>
  <si>
    <t>Motor_speed_1</t>
  </si>
  <si>
    <t>Motor_speed_2</t>
  </si>
  <si>
    <t>Motor_speed_3</t>
  </si>
  <si>
    <t>Motor_current_axis_1</t>
  </si>
  <si>
    <t>Motor_current_axis_2</t>
  </si>
  <si>
    <t>Motor_current_axis_3</t>
  </si>
  <si>
    <t>DC_link_voltage_1</t>
  </si>
  <si>
    <t>DC_link_voltage_2</t>
  </si>
  <si>
    <t>DC_link_voltage_3</t>
  </si>
  <si>
    <t>Gearbox_housing_temp</t>
  </si>
  <si>
    <t>Rotor_break_temp</t>
  </si>
  <si>
    <t>Tower_base_temp</t>
  </si>
  <si>
    <t>Time-based System Avail.</t>
  </si>
  <si>
    <t>Timebased_System_Avail</t>
  </si>
  <si>
    <t>Energy Theoretical</t>
  </si>
  <si>
    <t>Energy_Theoretical</t>
  </si>
  <si>
    <t>Lost Production to Downtime</t>
  </si>
  <si>
    <t>Lost_Production_to_Downtime</t>
  </si>
  <si>
    <t>Lost Production to Performance</t>
  </si>
  <si>
    <t>Lost_Production_to_Performance</t>
  </si>
  <si>
    <t>Lost Production Total</t>
  </si>
  <si>
    <t>Lost_Production_Total</t>
  </si>
  <si>
    <t>Production Factor</t>
  </si>
  <si>
    <t>Production_Factor</t>
  </si>
  <si>
    <t>Performance Index</t>
  </si>
  <si>
    <t>Performance_Index</t>
  </si>
  <si>
    <t>Production-based System Avail.</t>
  </si>
  <si>
    <t>Productionbased_System_Avail</t>
  </si>
  <si>
    <t>Production-based Contractual Avail.</t>
  </si>
  <si>
    <t>Productionbased_Contractual_Avail</t>
  </si>
  <si>
    <t>Rotor_bearing_temp</t>
  </si>
  <si>
    <t>Pitch_1_output_temp</t>
  </si>
  <si>
    <t>Pitch_2_output_temp</t>
  </si>
  <si>
    <t>Pitch_3_output_temp</t>
  </si>
  <si>
    <t>Gear_oil_pump_pressure</t>
  </si>
  <si>
    <t>Down_time</t>
  </si>
  <si>
    <t>Met_mast_Wind_speed_1</t>
  </si>
  <si>
    <t>Met_mast_Wind_direction_1</t>
  </si>
  <si>
    <t>Met_mast_Ambient_temperature</t>
  </si>
  <si>
    <t>Met_mast_Air_pressure</t>
  </si>
  <si>
    <t>Met_mast_Relative_humidity</t>
  </si>
  <si>
    <t>GMS_Total_Harmonic_Distortion</t>
  </si>
  <si>
    <t>GMS_WPS_state</t>
  </si>
  <si>
    <t>GMS_Current_L1</t>
  </si>
  <si>
    <t>GMS_Current_L2</t>
  </si>
  <si>
    <t>GMS_Current_L3</t>
  </si>
  <si>
    <t>GMS_Voltage_L1</t>
  </si>
  <si>
    <t>GMS_Voltage_L2</t>
  </si>
  <si>
    <t>GMS_Voltage_L3</t>
  </si>
  <si>
    <t>GMS_Power</t>
  </si>
  <si>
    <t>GMS_Reactive_power</t>
  </si>
  <si>
    <t>GMS_Energy_Export</t>
  </si>
  <si>
    <t>GMS_Reactive_Energy_Export</t>
  </si>
  <si>
    <t>GMS_Energy_Import</t>
  </si>
  <si>
    <t>GMS_Reactive_Energy_Import</t>
  </si>
  <si>
    <t>GMS_Power_factor__cosphi_</t>
  </si>
  <si>
    <t>GMS_Grid_frequency</t>
  </si>
  <si>
    <t>Pitch_angle_setpoint</t>
  </si>
  <si>
    <t>Generator_temperature</t>
  </si>
  <si>
    <t>Power_factor__cosphi__Max</t>
  </si>
  <si>
    <t>Power_factor__cosphi__Min</t>
  </si>
  <si>
    <t>Power_factor__cosphi__Standard_deviation</t>
  </si>
  <si>
    <t>Blade_angle__pitch_position__Max</t>
  </si>
  <si>
    <t>Blade_angle__pitch_position__Min</t>
  </si>
  <si>
    <t>Blade_angle__pitch_position__Standard_deviation</t>
  </si>
  <si>
    <t>Grid_voltage_Max</t>
  </si>
  <si>
    <t>Grid_voltage_Min</t>
  </si>
  <si>
    <t>Grid_voltage_Standard_deviation</t>
  </si>
  <si>
    <t>Reactive_power_Max</t>
  </si>
  <si>
    <t>Reactive_power_Min</t>
  </si>
  <si>
    <t>Reactive_power_Standard_deviation</t>
  </si>
  <si>
    <t>Generator_RPM_Max</t>
  </si>
  <si>
    <t>Generator_RPM_Min</t>
  </si>
  <si>
    <t>Generator_RPM_Standard_deviation</t>
  </si>
  <si>
    <t>Rotor_speed_Max</t>
  </si>
  <si>
    <t>Rotor_speed_Min</t>
  </si>
  <si>
    <t>Rotor_speed_Standard_deviation</t>
  </si>
  <si>
    <t>Ambient_temperature_Max</t>
  </si>
  <si>
    <t>Ambient_temperature_Min</t>
  </si>
  <si>
    <t>Ambient_temperature_Standard_deviation</t>
  </si>
  <si>
    <t>Temp_gearbox_Max</t>
  </si>
  <si>
    <t>Temp_gearbox_Min</t>
  </si>
  <si>
    <t>Temp_gearbox_Standard_deviation</t>
  </si>
  <si>
    <t>Front_bearing_temperature_Max</t>
  </si>
  <si>
    <t>Front_bearing_temperature_Min</t>
  </si>
  <si>
    <t>Front_bearing_temperature_Standard_deviation</t>
  </si>
  <si>
    <t>Rear_bearing_temperature_Max</t>
  </si>
  <si>
    <t>Rear_bearing_temperature_Min</t>
  </si>
  <si>
    <t>Rear_bearing_temperature_Standard_deviation</t>
  </si>
  <si>
    <t>Gear_bearing_temperature_Max</t>
  </si>
  <si>
    <t>Gear_bearing_temperature_Min</t>
  </si>
  <si>
    <t>Gear_bearing_temperature_Standard_deviation</t>
  </si>
  <si>
    <t>Energy_Export_Generator_2</t>
  </si>
  <si>
    <t>Met_mast_Wind_speed_1__max_</t>
  </si>
  <si>
    <t>Met_mast_Wind_speed_1__min_</t>
  </si>
  <si>
    <t>Met_mast_Wind_speed_1__StdDev_</t>
  </si>
  <si>
    <t>Met_mast_Ambient_temperature__max_</t>
  </si>
  <si>
    <t>Met_mast_Ambient_temperature__min_</t>
  </si>
  <si>
    <t>Met_mast_Ambient_temperature__StdDev_</t>
  </si>
  <si>
    <t>Met_mast_Air_pressure__max_</t>
  </si>
  <si>
    <t>Met_mast_Air_pressure__min_</t>
  </si>
  <si>
    <t>Met_mast_Air_pressure__StdDev_</t>
  </si>
  <si>
    <t>Met_mast_Wind_direction_1__max_</t>
  </si>
  <si>
    <t>Met_mast_Wind_direction_1__min_</t>
  </si>
  <si>
    <t>Met_mast_Wind_direction_1__StdDev_</t>
  </si>
  <si>
    <t>Met_mast_Relative_humidity__max_</t>
  </si>
  <si>
    <t>Met_mast_Relative_humidity__min_</t>
  </si>
  <si>
    <t>Met_mast_Relative_humidity__StdDev_</t>
  </si>
  <si>
    <t>Cascading_potential_power</t>
  </si>
  <si>
    <t>Cascading_potential_power_for_performance</t>
  </si>
  <si>
    <t>Potential power met mast anemometer</t>
  </si>
  <si>
    <t>Potential_power_met_mast_anemometer</t>
  </si>
  <si>
    <t>Potential power primary reference turbines</t>
  </si>
  <si>
    <t>Potential_power_primary_reference_turbines</t>
  </si>
  <si>
    <t>Potential power secondary reference turbines</t>
  </si>
  <si>
    <t>Potential_power_secondary_reference_turbines</t>
  </si>
  <si>
    <t>Lost Production to Curtailment (Total)</t>
  </si>
  <si>
    <t>Lost_Production_to_Curtailment__Total_</t>
  </si>
  <si>
    <t>Lost Production to Curtailment (Grid)</t>
  </si>
  <si>
    <t>Lost_Production_to_Curtailment__Grid_</t>
  </si>
  <si>
    <t>Lost Production to Curtailment (Noise)</t>
  </si>
  <si>
    <t>Lost_Production_to_Curtailment__Noise_</t>
  </si>
  <si>
    <t>Lost Production to Curtailment (Shadow)</t>
  </si>
  <si>
    <t>Lost_Production_to_Curtailment__Shadow_</t>
  </si>
  <si>
    <t>Lost Production to Curtailment (Bats)</t>
  </si>
  <si>
    <t>Lost_Production_to_Curtailment__Bats_</t>
  </si>
  <si>
    <t>Lost Production to Curtailment (Birds)</t>
  </si>
  <si>
    <t>Lost_Production_to_Curtailment__Birds_</t>
  </si>
  <si>
    <t>Lost Production to Curtailment (Ice)</t>
  </si>
  <si>
    <t>Lost_Production_to_Curtailment__Ice_</t>
  </si>
  <si>
    <t>Lost Production to Curtailment (Sector Management)</t>
  </si>
  <si>
    <t>Lost_Production_to_Curtailment__Sector_Management_</t>
  </si>
  <si>
    <t>Lost Production to Curtailment (Technical)</t>
  </si>
  <si>
    <t>Lost_Production_to_Curtailment__Technical_</t>
  </si>
  <si>
    <t>Lost Production to Curtailment (Marketing)</t>
  </si>
  <si>
    <t>Lost_Production_to_Curtailment__Marketing_</t>
  </si>
  <si>
    <t>Lost Production to Curtailment (Boat Action)</t>
  </si>
  <si>
    <t>Lost_Production_to_Curtailment__Boat_Action_</t>
  </si>
  <si>
    <t>Compensated Lost Production</t>
  </si>
  <si>
    <t>Compensated_Lost_Production</t>
  </si>
  <si>
    <t>Virtual Production</t>
  </si>
  <si>
    <t>Virtual_Production</t>
  </si>
  <si>
    <t>Pending_Operating_State</t>
  </si>
  <si>
    <t>Remote_Control_Possible</t>
  </si>
  <si>
    <t>Meter Virtual Production</t>
  </si>
  <si>
    <t>Meter_Virtual_Production</t>
  </si>
  <si>
    <t>Turbine_Power_setpoint</t>
  </si>
  <si>
    <t>Meter Net Energy</t>
  </si>
  <si>
    <t>Meter_Net_Energy</t>
  </si>
  <si>
    <t>Frequency_max</t>
  </si>
  <si>
    <t>Frequency_min</t>
  </si>
  <si>
    <t>Energy_Import_Generator_2</t>
  </si>
  <si>
    <t>Power Meter Performance Ratio</t>
  </si>
  <si>
    <t>Power_Meter_Performance_Ratio</t>
  </si>
  <si>
    <t>Power Meter Performance Ratio Time Window</t>
  </si>
  <si>
    <t>Power_Meter_Performance_Ratio_Time_Window</t>
  </si>
  <si>
    <t>Nacelle_temperature_Max</t>
  </si>
  <si>
    <t>Nacelle_temperature_Min</t>
  </si>
  <si>
    <t>Generator_bearing_front_temperature_Max</t>
  </si>
  <si>
    <t>Generator_bearing_front_temperature_Min</t>
  </si>
  <si>
    <t>Generator_bearing_rear_temperature_Max</t>
  </si>
  <si>
    <t>Generator_bearing_rear_temperature_Min</t>
  </si>
  <si>
    <t>Hydraulic_oil_temperature_Max</t>
  </si>
  <si>
    <t>Hydraulic_oil_temperature_Min</t>
  </si>
  <si>
    <t>Potential power estimated</t>
  </si>
  <si>
    <t>Potential_power_estimated</t>
  </si>
  <si>
    <t>Solar Irradiation</t>
  </si>
  <si>
    <t>Solar_Irradiation</t>
  </si>
  <si>
    <t>Potential power MPC</t>
  </si>
  <si>
    <t>Potential_power_MPC</t>
  </si>
  <si>
    <t>Current_L1__U_min</t>
  </si>
  <si>
    <t>Current_L1__U_max</t>
  </si>
  <si>
    <t>Current_L1__U_StdDev</t>
  </si>
  <si>
    <t>Temperature_G1_min</t>
  </si>
  <si>
    <t>Temperature_G1_max</t>
  </si>
  <si>
    <t>Temperature_G1_StdDev</t>
  </si>
  <si>
    <t>Temperature_G2_min</t>
  </si>
  <si>
    <t>Temperature_G2_max</t>
  </si>
  <si>
    <t>Temperature_G2_StdDev</t>
  </si>
  <si>
    <t>Gearbox_housing_temp_min</t>
  </si>
  <si>
    <t>Gearbox_housing_temp_max</t>
  </si>
  <si>
    <t>Gearbox_housing_temp_StdDev</t>
  </si>
  <si>
    <t>Solar Irradiation Zero Cancelled</t>
  </si>
  <si>
    <t>Solar_Irradiation_Zero_Cancelled</t>
  </si>
  <si>
    <t>Potential power met mast anemometer MPC</t>
  </si>
  <si>
    <t>Potential_power_met_mast_anemometer_MPC</t>
  </si>
  <si>
    <t>Control_cabinet_temperature_Max</t>
  </si>
  <si>
    <t>Control_cabinet_temperature_Min</t>
  </si>
  <si>
    <t>Control_cabinet_temperature_StdDev</t>
  </si>
  <si>
    <t>Blade_A_pitch_control_box_Max</t>
  </si>
  <si>
    <t>Blade_A_pitch_control_box_Min</t>
  </si>
  <si>
    <t>Blade_A_pitch_control_box_StdDev</t>
  </si>
  <si>
    <t>Blade_B_pitch_control_box_Max</t>
  </si>
  <si>
    <t>Blade_B_pitch_control_box_Min</t>
  </si>
  <si>
    <t>Blade_B_pitch_control_box_StdDev</t>
  </si>
  <si>
    <t>Blade_C_pitch_control_box_Max</t>
  </si>
  <si>
    <t>Blade_C_pitch_control_box_Min</t>
  </si>
  <si>
    <t>Blade_C_pitch_control_box_StdDev</t>
  </si>
  <si>
    <t>Lost Production to Curtailment (Grid Constraint)</t>
  </si>
  <si>
    <t>Lost_Production_to_Curtailment__Grid_Constraint_</t>
  </si>
  <si>
    <t>Production Meter Data Availability</t>
  </si>
  <si>
    <t>Production_Meter_Data_Availability</t>
  </si>
  <si>
    <t>Lost Production to Downtime and Curtailment Total</t>
  </si>
  <si>
    <t>Lost_Production_to_Downtime_and_Curtailment_Total</t>
  </si>
  <si>
    <t>Ready_Time</t>
  </si>
  <si>
    <t>Availability_Manufacturer</t>
  </si>
  <si>
    <t>Grid_frequency_Max</t>
  </si>
  <si>
    <t>Grid_frequency_Min</t>
  </si>
  <si>
    <t>Grid_frequency_Standard_deviation</t>
  </si>
  <si>
    <t>Blade_angle__pitch_position__A_Max</t>
  </si>
  <si>
    <t>Blade_angle__pitch_position__A_Min</t>
  </si>
  <si>
    <t>Blade_angle__pitch_position__A_Standard_deviation</t>
  </si>
  <si>
    <t>Blade_angle__pitch_position__B_Max</t>
  </si>
  <si>
    <t>Blade_angle__pitch_position__B_Min</t>
  </si>
  <si>
    <t>Blade_angle__pitch_position__B_Standard_deviation</t>
  </si>
  <si>
    <t>Blade_angle__pitch_position__C_Max</t>
  </si>
  <si>
    <t>Blade_angle__pitch_position__C_Min</t>
  </si>
  <si>
    <t>Blade_angle__pitch_position__C_Standard_deviation</t>
  </si>
  <si>
    <t>Generator_temperature_Max</t>
  </si>
  <si>
    <t>Generator_temperature_Min</t>
  </si>
  <si>
    <t>Generator_bearing_front_temperature_Std</t>
  </si>
  <si>
    <t>Generator_bearing_rear_temperature_Std</t>
  </si>
  <si>
    <t>Nacelle_temperature_Standard_deviation</t>
  </si>
  <si>
    <t>Spinner_temperature_Min</t>
  </si>
  <si>
    <t>Spinner_temperature_Max</t>
  </si>
  <si>
    <t>Spinner_temperature_Standard_deviation</t>
  </si>
  <si>
    <t>Voltage_L1__U_Min</t>
  </si>
  <si>
    <t>Voltage_L1__U_Max</t>
  </si>
  <si>
    <t>Voltage_L1__U_Standard_deviation</t>
  </si>
  <si>
    <t>Voltage_L2__V_Min</t>
  </si>
  <si>
    <t>Voltage_L2__V_Max</t>
  </si>
  <si>
    <t>Voltage_L2__V_Standard_deviation</t>
  </si>
  <si>
    <t>Voltage_L3__W_Min</t>
  </si>
  <si>
    <t>Voltage_L3__W_Max</t>
  </si>
  <si>
    <t>Voltage_L3__W_Standard_deviation</t>
  </si>
  <si>
    <t>Current_L2__V_max</t>
  </si>
  <si>
    <t>Current_L3__W_max</t>
  </si>
  <si>
    <t>Generator_cooling_water_temperature_Max</t>
  </si>
  <si>
    <t>Generator_cooling_water_temperature_Min</t>
  </si>
  <si>
    <t>Generator_cooling_water_temperature_Standard_deviation</t>
  </si>
  <si>
    <t>Hydraulic_oil_pressure_Max</t>
  </si>
  <si>
    <t>Hydraulic_oil_pressure_Min</t>
  </si>
  <si>
    <t>Hydraulic_oil_pressure_Standard_deviation</t>
  </si>
  <si>
    <t>Hydraulic_oil_temperature_Standard_deviation</t>
  </si>
  <si>
    <t>Top_controller_temp_Max</t>
  </si>
  <si>
    <t>Top_controller_temp_Min</t>
  </si>
  <si>
    <t>Top_controller_temp_Standard_deviation</t>
  </si>
  <si>
    <t>Hub_controller_temp_Max</t>
  </si>
  <si>
    <t>Hub_controller_temp_Min</t>
  </si>
  <si>
    <t>Hub_controller_temp_Standard_deviation</t>
  </si>
  <si>
    <t>Ground_controller_temp_Max</t>
  </si>
  <si>
    <t>Ground_controller_temp_Min</t>
  </si>
  <si>
    <t>Ground_controller_temp_Standard_deviation</t>
  </si>
  <si>
    <t>Controller_VCP_temperature_Max</t>
  </si>
  <si>
    <t>Controller_VCP_temperature_Min</t>
  </si>
  <si>
    <t>Maximum_possible_power_Max</t>
  </si>
  <si>
    <t>Maximum_possible_power_Min</t>
  </si>
  <si>
    <t>Maximum_possible_power_Standard_deviation</t>
  </si>
  <si>
    <t>Gear_oil_temperature_Max</t>
  </si>
  <si>
    <t>Gear_oil_temperature_Min</t>
  </si>
  <si>
    <t>Gear_oil_temperature_Standard_deviation</t>
  </si>
  <si>
    <t>Generator_phase_1_temp_Max</t>
  </si>
  <si>
    <t>Generator_phase_1_temp_Min</t>
  </si>
  <si>
    <t>Generator_phase_1_temp_Standard_deviation</t>
  </si>
  <si>
    <t>Generator_phase_2_temp_Max</t>
  </si>
  <si>
    <t>Generator_phase_2_temp_Min</t>
  </si>
  <si>
    <t>Generator_phase_2_temp_Standard_deviation</t>
  </si>
  <si>
    <t>Generator_phase_3_temp_Max</t>
  </si>
  <si>
    <t>Generator_phase_3_temp_Min</t>
  </si>
  <si>
    <t>Generator_phase_3_temp_Standard_deviation</t>
  </si>
  <si>
    <t>Pitch_angle_reference</t>
  </si>
  <si>
    <t>Pitch_angle_reference_Min</t>
  </si>
  <si>
    <t>Pitch_angle_reference_Max</t>
  </si>
  <si>
    <t>Pitch_angle_reference_StdDev</t>
  </si>
  <si>
    <t>Current_L2__V_min</t>
  </si>
  <si>
    <t>Current_L2__V_StdDev</t>
  </si>
  <si>
    <t>Current_L3__W_min</t>
  </si>
  <si>
    <t>Current_L3__W_StdDev</t>
  </si>
  <si>
    <t>Hub_temperature_min</t>
  </si>
  <si>
    <t>Hub_temperature_max</t>
  </si>
  <si>
    <t>Hub_temperature_standard_deviation</t>
  </si>
  <si>
    <t>Generator_temperature_Std</t>
  </si>
  <si>
    <t>Nacelle_control_cabinet_temperature_Max</t>
  </si>
  <si>
    <t>Nacelle_control_cabinet_temperature_Min</t>
  </si>
  <si>
    <t>Nacelle_control_cabinet_temperature_Std</t>
  </si>
  <si>
    <t>Power_panel_temperature_Max</t>
  </si>
  <si>
    <t>Power_panel_temperature_Min</t>
  </si>
  <si>
    <t>Power_panel_temperature_Std</t>
  </si>
  <si>
    <t>GMS_Power_factor__tanphi_</t>
  </si>
  <si>
    <t>Grid_current_Max</t>
  </si>
  <si>
    <t>Grid_current_Min</t>
  </si>
  <si>
    <t>Grid_current_StdDev</t>
  </si>
  <si>
    <t>Pitch_angle_set_point_Min</t>
  </si>
  <si>
    <t>Pitch_angle_set_point_Max</t>
  </si>
  <si>
    <t>Pitch_angle_set_point_StdDev</t>
  </si>
  <si>
    <t>Air_pressure_Max</t>
  </si>
  <si>
    <t>Air_pressure_Min</t>
  </si>
  <si>
    <t>Air_pressure_StdDev</t>
  </si>
  <si>
    <t>Apparent_power_Max</t>
  </si>
  <si>
    <t>Apparent_power_Min</t>
  </si>
  <si>
    <t>Apparent_power_StdDev</t>
  </si>
  <si>
    <t>Blade_pressure__hydraulic__Max</t>
  </si>
  <si>
    <t>Blade_pressure__hydraulic__Min</t>
  </si>
  <si>
    <t>Blade_pressure__hydraulic__StdDev</t>
  </si>
  <si>
    <t>Box_temp_1_Max</t>
  </si>
  <si>
    <t>Box_temp_1_Min</t>
  </si>
  <si>
    <t>Box_temp_1_StdDev</t>
  </si>
  <si>
    <t>Box_temp_2_Max</t>
  </si>
  <si>
    <t>Box_temp_2_Min</t>
  </si>
  <si>
    <t>Box_temp_2_StdDev</t>
  </si>
  <si>
    <t>Box_temp_3_Max</t>
  </si>
  <si>
    <t>Box_temp_3_Min</t>
  </si>
  <si>
    <t>Box_temp_3_StdDev</t>
  </si>
  <si>
    <t>Brakes_pressure_Max</t>
  </si>
  <si>
    <t>Brakes_pressure_Min</t>
  </si>
  <si>
    <t>Brakes_pressure_StdDev</t>
  </si>
  <si>
    <t>Gear_main_bearing_temperature_Max</t>
  </si>
  <si>
    <t>Gear_main_bearing_temperature_Min</t>
  </si>
  <si>
    <t>Gear_main_bearing_temperature_StdDev</t>
  </si>
  <si>
    <t>Gear_oil_inlet_pressure_Max</t>
  </si>
  <si>
    <t>Gear_oil_inlet_pressure_Min</t>
  </si>
  <si>
    <t>Gear_oil_inlet_pressure_StdDev</t>
  </si>
  <si>
    <t>Gear_oil_inlet_temperature_Max</t>
  </si>
  <si>
    <t>Gear_oil_inlet_temperature_Min</t>
  </si>
  <si>
    <t>Gear_oil_inlet_temperature_StdDev</t>
  </si>
  <si>
    <t>Gear_oil_pump_pressure_Max</t>
  </si>
  <si>
    <t>Gear_oil_pump_pressure_Min</t>
  </si>
  <si>
    <t>Gear_oil_pump_pressure_StdDev</t>
  </si>
  <si>
    <t>Nacelle_ambient_temperature_Max</t>
  </si>
  <si>
    <t>Nacelle_ambient_temperature_Min</t>
  </si>
  <si>
    <t>Nacelle_ambient_temperature_StdDev</t>
  </si>
  <si>
    <t>Vibration_ydirection_Max</t>
  </si>
  <si>
    <t>Vibration_ydirection_Min</t>
  </si>
  <si>
    <t>Vibration_ydirection_StdDev</t>
  </si>
  <si>
    <t>Vibration_zdirection_Max</t>
  </si>
  <si>
    <t>Vibration_zdirection_Min</t>
  </si>
  <si>
    <t>Vibration_zdirection_StdDev</t>
  </si>
  <si>
    <t>Rotor_bearing_temp_Max</t>
  </si>
  <si>
    <t>Rotor_bearing_temp_Min</t>
  </si>
  <si>
    <t>Rotor_bearing_temp_StdDev</t>
  </si>
  <si>
    <t>Oil_sump_temperature_Max</t>
  </si>
  <si>
    <t>Oil_sump_temperature_Min</t>
  </si>
  <si>
    <t>Oil_sump_temperature_StdDev</t>
  </si>
  <si>
    <t>Rotor_brake_temp_Max</t>
  </si>
  <si>
    <t>Rotor_brake_temp_Min</t>
  </si>
  <si>
    <t>Rotor_brake_temp_StdDev</t>
  </si>
  <si>
    <t>Blade_A_temperature_Max</t>
  </si>
  <si>
    <t>Blade_A_temperature_Min</t>
  </si>
  <si>
    <t>Blade_A_temperature_StdDev</t>
  </si>
  <si>
    <t>Blade_B_temperature_Max</t>
  </si>
  <si>
    <t>Blade_B_temperature_Min</t>
  </si>
  <si>
    <t>Blade_B_temperature_StdDev</t>
  </si>
  <si>
    <t>Blade_C_temperature_Max</t>
  </si>
  <si>
    <t>Blade_C_temperature_Min</t>
  </si>
  <si>
    <t>Blade_C_temperature_StdDev</t>
  </si>
  <si>
    <t>Transformer_temperature_Max</t>
  </si>
  <si>
    <t>Transformer_temperature_Min</t>
  </si>
  <si>
    <t>Transformer_temperature_StdDev</t>
  </si>
  <si>
    <t>Tower_base_temp_Max</t>
  </si>
  <si>
    <t>Tower_base_temp_Min</t>
  </si>
  <si>
    <t>Tower_base_temp_StdDev</t>
  </si>
  <si>
    <t>Motor_current_axis_1_Max</t>
  </si>
  <si>
    <t>Motor_current_axis_1_Min</t>
  </si>
  <si>
    <t>Motor_current_axis_1_StdDev</t>
  </si>
  <si>
    <t>Motor_current_axis_2_Max</t>
  </si>
  <si>
    <t>Motor_current_axis_2_Min</t>
  </si>
  <si>
    <t>Motor_current_axis_2_StdDev</t>
  </si>
  <si>
    <t>Motor_current_axis_3_Max</t>
  </si>
  <si>
    <t>Motor_current_axis_3_Min</t>
  </si>
  <si>
    <t>Motor_current_axis_3_StdDev</t>
  </si>
  <si>
    <t>Motor_speed_1_Max</t>
  </si>
  <si>
    <t>Motor_speed_1_Min</t>
  </si>
  <si>
    <t>Motor_speed_1_StdDev</t>
  </si>
  <si>
    <t>Motor_speed_2_Max</t>
  </si>
  <si>
    <t>Motor_speed_2_Min</t>
  </si>
  <si>
    <t>Motor_speed_2_StdDev</t>
  </si>
  <si>
    <t>Motor_speed_3_Max</t>
  </si>
  <si>
    <t>Motor_speed_3_Min</t>
  </si>
  <si>
    <t>Motor_speed_3_StdDev</t>
  </si>
  <si>
    <t>Stator_temperature_1_Max</t>
  </si>
  <si>
    <t>Stator_temperature_1_Min</t>
  </si>
  <si>
    <t>Stator_temperature_1_StdDev</t>
  </si>
  <si>
    <t>Stator_temperature_2_Max</t>
  </si>
  <si>
    <t>Stator_temperature_2_Min</t>
  </si>
  <si>
    <t>Stator_temperature_2_StdDev</t>
  </si>
  <si>
    <t>Temp_top_box_Max</t>
  </si>
  <si>
    <t>Temp_top_box_Min</t>
  </si>
  <si>
    <t>Temp_top_box_StdDev</t>
  </si>
  <si>
    <t>High_speed_bearing_temperature_Max</t>
  </si>
  <si>
    <t>High_speed_bearing_temperature_Min</t>
  </si>
  <si>
    <t>High_speed_bearing_temperature_StdDev</t>
  </si>
  <si>
    <t>Pitch_1_output_temp_Max</t>
  </si>
  <si>
    <t>Pitch_1_output_temp_Min</t>
  </si>
  <si>
    <t>Pitch_1_output_temp_StdDev</t>
  </si>
  <si>
    <t>Pitch_2_output_temp_Max</t>
  </si>
  <si>
    <t>Pitch_2_output_temp_Min</t>
  </si>
  <si>
    <t>Pitch_2_output_temp_StdDev</t>
  </si>
  <si>
    <t>Pitch_3_output_temp_Max</t>
  </si>
  <si>
    <t>Pitch_3_output_temp_Min</t>
  </si>
  <si>
    <t>Pitch_3_output_temp_StdDev</t>
  </si>
  <si>
    <t>Trafo_temperature_Max</t>
  </si>
  <si>
    <t>Trafo_temperature_Min</t>
  </si>
  <si>
    <t>Trafo_temperature_StdDev</t>
  </si>
  <si>
    <t>Phase_1_temperature_Max</t>
  </si>
  <si>
    <t>Phase_1_temperature_Min</t>
  </si>
  <si>
    <t>Phase_1_temperature_StdDev</t>
  </si>
  <si>
    <t>Phase_2_temperature_Max</t>
  </si>
  <si>
    <t>Phase_2_temperature_Min</t>
  </si>
  <si>
    <t>Phase_2_temperature_StdDev</t>
  </si>
  <si>
    <t>Phase_3_temperature_Max</t>
  </si>
  <si>
    <t>Phase_3_temperature_Min</t>
  </si>
  <si>
    <t>Phase_3_temperature_StdDev</t>
  </si>
  <si>
    <t>DC_link_voltage_1_Max</t>
  </si>
  <si>
    <t>DC_link_voltage_1_Min</t>
  </si>
  <si>
    <t>DC_link_voltage_1_StdDev</t>
  </si>
  <si>
    <t>DC_link_voltage_2_Max</t>
  </si>
  <si>
    <t>DC_link_voltage_2_Min</t>
  </si>
  <si>
    <t>DC_link_voltage_2_StdDev</t>
  </si>
  <si>
    <t>DC_link_voltage_3_Max</t>
  </si>
  <si>
    <t>DC_link_voltage_3_Min</t>
  </si>
  <si>
    <t>DC_link_voltage_3_StdDev</t>
  </si>
  <si>
    <t>Gear_Bearing_1_Temperature_Max</t>
  </si>
  <si>
    <t>Gear_Bearing_1_Temperature_Min</t>
  </si>
  <si>
    <t>Gear_Bearing_1_Temperature_StdDev</t>
  </si>
  <si>
    <t>Gear_Bearing_2_Temperature_Max</t>
  </si>
  <si>
    <t>Gear_Bearing_2_Temperature_Min</t>
  </si>
  <si>
    <t>Gear_Bearing_2_Temperature_StdDev</t>
  </si>
  <si>
    <t>Temp_cooling_water_advance_Max</t>
  </si>
  <si>
    <t>Temp_cooling_water_advance_Min</t>
  </si>
  <si>
    <t>Temp_cooling_water_advance_StdDev</t>
  </si>
  <si>
    <t>Temp_cooling_water_return_Max</t>
  </si>
  <si>
    <t>Temp_cooling_water_return_Min</t>
  </si>
  <si>
    <t>Temp_cooling_water_return_StdDev</t>
  </si>
  <si>
    <t>Temp_shaft_bearing_Max</t>
  </si>
  <si>
    <t>Temp_shaft_bearing_Min</t>
  </si>
  <si>
    <t>Temp_shaft_bearing_StdDev</t>
  </si>
  <si>
    <t>Tower_temperature_Max</t>
  </si>
  <si>
    <t>Tower_temperature_Min</t>
  </si>
  <si>
    <t>Tower_temperature_StdDev</t>
  </si>
  <si>
    <t>Rotor_temperature_1_Max</t>
  </si>
  <si>
    <t>Rotor_temperature_1_Min</t>
  </si>
  <si>
    <t>Rotor_temperature_1_StdDev</t>
  </si>
  <si>
    <t>Rotor_temperature_2_Max</t>
  </si>
  <si>
    <t>Rotor_temperature_2_Min</t>
  </si>
  <si>
    <t>Rotor_temperature_2_StdDev</t>
  </si>
  <si>
    <t>Generator_temperature_L1_Max</t>
  </si>
  <si>
    <t>Generator_temperature_L1_Min</t>
  </si>
  <si>
    <t>Generator_temperature_L1_StdDev</t>
  </si>
  <si>
    <t>Generator_temperature_L2_Max</t>
  </si>
  <si>
    <t>Generator_temperature_L2_Min</t>
  </si>
  <si>
    <t>Generator_temperature_L2_StdDev</t>
  </si>
  <si>
    <t>Generator_temperature_L3_Max</t>
  </si>
  <si>
    <t>Generator_temperature_L3_Min</t>
  </si>
  <si>
    <t>Generator_temperature_L3_StdDev</t>
  </si>
  <si>
    <t>Transformer_winding_temp_1_Max</t>
  </si>
  <si>
    <t>Transformer_winding_temp_1_Min</t>
  </si>
  <si>
    <t>Transformer_winding_temp_1_StdDev</t>
  </si>
  <si>
    <t>Transformer_winding_temp_2_Max</t>
  </si>
  <si>
    <t>Transformer_winding_temp_2_Min</t>
  </si>
  <si>
    <t>Transformer_winding_temp_2_StdDev</t>
  </si>
  <si>
    <t>Transformer_winding_temp_3_Max</t>
  </si>
  <si>
    <t>Transformer_winding_temp_3_Min</t>
  </si>
  <si>
    <t>Transformer_winding_temp_3_StdDev</t>
  </si>
  <si>
    <t>Rectifier_cabinet_temperature_Max</t>
  </si>
  <si>
    <t>Rectifier_cabinet_temperature_Min</t>
  </si>
  <si>
    <t>Rectifier_cabinet_temperature_StdDev</t>
  </si>
  <si>
    <t>Availability_Manufacturer_Max</t>
  </si>
  <si>
    <t>Availability_Manufacturer_Min</t>
  </si>
  <si>
    <t>Availability_Manufacturer_StdDev</t>
  </si>
  <si>
    <t>Blade_A_pitch_heat_sink_Max</t>
  </si>
  <si>
    <t>Blade_A_pitch_heat_sink_Min</t>
  </si>
  <si>
    <t>Blade_A_pitch_heat_sink_StdDev</t>
  </si>
  <si>
    <t>Blade_B_pitch_heat_sink_Max</t>
  </si>
  <si>
    <t>Blade_B_pitch_heat_sink_Min</t>
  </si>
  <si>
    <t>Blade_B_pitch_heat_sink_StdDev</t>
  </si>
  <si>
    <t>Blade_C_pitch_heat_sink_Max</t>
  </si>
  <si>
    <t>Blade_C_pitch_heat_sink_Min</t>
  </si>
  <si>
    <t>Blade_C_pitch_heat_sink_StdDev</t>
  </si>
  <si>
    <t>Cable_twist_Max</t>
  </si>
  <si>
    <t>Cable_twist_Min</t>
  </si>
  <si>
    <t>Cable_twist_StdDev</t>
  </si>
  <si>
    <t>Cable_twist__degrees__Max</t>
  </si>
  <si>
    <t>Cable_twist__degrees__Min</t>
  </si>
  <si>
    <t>Cable_twist__degrees__StdDev</t>
  </si>
  <si>
    <t>Excitation_heat_sink_Max</t>
  </si>
  <si>
    <t>Excitation_heat_sink_Min</t>
  </si>
  <si>
    <t>Excitation_heat_sink_StdDev</t>
  </si>
  <si>
    <t>Generator_cool_A_temperature_Max</t>
  </si>
  <si>
    <t>Generator_cool_A_temperature_Min</t>
  </si>
  <si>
    <t>Generator_cool_A_temperature_StdDev</t>
  </si>
  <si>
    <t>Generator_cool_B_temperature_Max</t>
  </si>
  <si>
    <t>Generator_cool_B_temperature_Min</t>
  </si>
  <si>
    <t>Generator_cool_B_temperature_StdDev</t>
  </si>
  <si>
    <t>Hydraulic_unit_temperature_Max</t>
  </si>
  <si>
    <t>Hydraulic_unit_temperature_Min</t>
  </si>
  <si>
    <t>Hydraulic_unit_temperature_StdDev</t>
  </si>
  <si>
    <t>Temperature_Thyristor_Max</t>
  </si>
  <si>
    <t>Temperature_Thyristor_Min</t>
  </si>
  <si>
    <t>Temperature_Thyristor_StdDev</t>
  </si>
  <si>
    <t>Rectifier_1_heat_sink_Max</t>
  </si>
  <si>
    <t>Rectifier_1_heat_sink_Min</t>
  </si>
  <si>
    <t>Rectifier_1_heat_sink_StdDev</t>
  </si>
  <si>
    <t>Rectifier_2_heat_sink_Max</t>
  </si>
  <si>
    <t>Rectifier_2_heat_sink_Min</t>
  </si>
  <si>
    <t>Rectifier_2_heat_sink_StdDev</t>
  </si>
  <si>
    <t>Generator_bearing_1_temperature_Max</t>
  </si>
  <si>
    <t>Generator_bearing_1_temperature_Min</t>
  </si>
  <si>
    <t>Generator_bearing_1_temperature_StdDev</t>
  </si>
  <si>
    <t>Sys_1_Power_cabinet_1_Max</t>
  </si>
  <si>
    <t>Sys_1_Power_cabinet_1_Min</t>
  </si>
  <si>
    <t>Sys_1_Power_cabinet_1_StdDev</t>
  </si>
  <si>
    <t>Sys_1_Power_cabinet_10_Max</t>
  </si>
  <si>
    <t>Sys_1_Power_cabinet_10_Min</t>
  </si>
  <si>
    <t>Sys_1_Power_cabinet_10_StdDev</t>
  </si>
  <si>
    <t>Sys_1_Power_cabinet_11_Max</t>
  </si>
  <si>
    <t>Sys_1_Power_cabinet_11_Min</t>
  </si>
  <si>
    <t>Sys_1_Power_cabinet_11_StdDev</t>
  </si>
  <si>
    <t>Sys_1_Power_cabinet_2_Max</t>
  </si>
  <si>
    <t>Sys_1_Power_cabinet_2_Min</t>
  </si>
  <si>
    <t>Sys_1_Power_cabinet_2_StdDev</t>
  </si>
  <si>
    <t>Sys_1_Power_cabinet_3_Max</t>
  </si>
  <si>
    <t>Sys_1_Power_cabinet_3_Min</t>
  </si>
  <si>
    <t>Sys_1_Power_cabinet_3_StdDev</t>
  </si>
  <si>
    <t>Sys_1_Power_cabinet_4_Max</t>
  </si>
  <si>
    <t>Sys_1_Power_cabinet_4_Min</t>
  </si>
  <si>
    <t>Sys_1_Power_cabinet_4_StdDev</t>
  </si>
  <si>
    <t>Sys_1_Power_cabinet_5_Max</t>
  </si>
  <si>
    <t>Sys_1_Power_cabinet_5_Min</t>
  </si>
  <si>
    <t>Sys_1_Power_cabinet_5_StdDev</t>
  </si>
  <si>
    <t>Sys_1_Power_cabinet_6_Max</t>
  </si>
  <si>
    <t>Sys_1_Power_cabinet_6_Min</t>
  </si>
  <si>
    <t>Sys_1_Power_cabinet_6_StdDev</t>
  </si>
  <si>
    <t>Sys_1_Power_cabinet_7_Max</t>
  </si>
  <si>
    <t>Sys_1_Power_cabinet_7_Min</t>
  </si>
  <si>
    <t>Sys_1_Power_cabinet_7_StdDev</t>
  </si>
  <si>
    <t>Sys_1_Power_cabinet_8_Max</t>
  </si>
  <si>
    <t>Sys_1_Power_cabinet_8_Min</t>
  </si>
  <si>
    <t>Sys_1_Power_cabinet_8_StdDev</t>
  </si>
  <si>
    <t>Sys_1_Power_cabinet_9_Max</t>
  </si>
  <si>
    <t>Sys_1_Power_cabinet_9_Min</t>
  </si>
  <si>
    <t>Sys_1_Power_cabinet_9_StdDev</t>
  </si>
  <si>
    <t>Yaw__operations</t>
  </si>
  <si>
    <t>Yaw__unwind_operations</t>
  </si>
  <si>
    <t>Available Capacity for Production</t>
  </si>
  <si>
    <t>Available_Capacity_for_Production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</si>
</sst>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22" fontId="0" fillId="0" borderId="0" xfId="0" applyNumberFormat="1"/>
    <xf numFmtId="0" fontId="0" fillId="0" borderId="1" xfId="0" applyBorder="1"/>
    <xf numFmtId="164" fontId="0" fillId="0" borderId="1" xfId="0" applyNumberFormat="1" applyBorder="1"/>
    <xf numFmtId="164" fontId="0" fillId="0" borderId="1" xfId="0" applyNumberFormat="1" applyBorder="1" applyAlignment="1"/>
    <xf numFmtId="0" fontId="1" fillId="0" borderId="0" xfId="0" applyFont="1"/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wrapText="1"/>
    </xf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Border="1"/>
    <xf numFmtId="164" fontId="1" fillId="0" borderId="0" xfId="0" applyNumberFormat="1" applyFont="1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/>
    <xf numFmtId="164" fontId="2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 wrapText="1"/>
    </xf>
    <xf numFmtId="165" fontId="1" fillId="3" borderId="1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15" fontId="0" fillId="0" borderId="0" xfId="0" applyNumberFormat="1"/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11">
    <dxf>
      <font>
        <color rgb="FF0070C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0070C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List" dx="22" fmlaLink="$G$2" fmlaRange="'Commison Dates'!$A$2:$A$35" noThreeD="1" sel="19" val="10"/>
</file>

<file path=xl/ctrlProps/ctrlProp2.xml><?xml version="1.0" encoding="utf-8"?>
<formControlPr xmlns="http://schemas.microsoft.com/office/spreadsheetml/2009/9/main" objectType="List" dx="22" fmlaLink="$H$2" fmlaRange="signals_2020_05!$B$2:$B$680" noThreeD="1" sel="7" val="277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146050</xdr:colOff>
          <xdr:row>0</xdr:row>
          <xdr:rowOff>127000</xdr:rowOff>
        </xdr:from>
        <xdr:to>
          <xdr:col>12</xdr:col>
          <xdr:colOff>317500</xdr:colOff>
          <xdr:row>7</xdr:row>
          <xdr:rowOff>895350</xdr:rowOff>
        </xdr:to>
        <xdr:sp macro="" textlink="">
          <xdr:nvSpPr>
            <xdr:cNvPr id="1035" name="List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107950</xdr:colOff>
          <xdr:row>0</xdr:row>
          <xdr:rowOff>69850</xdr:rowOff>
        </xdr:from>
        <xdr:to>
          <xdr:col>10</xdr:col>
          <xdr:colOff>762000</xdr:colOff>
          <xdr:row>8</xdr:row>
          <xdr:rowOff>2038350</xdr:rowOff>
        </xdr:to>
        <xdr:sp macro="" textlink="">
          <xdr:nvSpPr>
            <xdr:cNvPr id="5125" name="List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B9D73-BA4A-497B-AF2E-65085DE6A135}">
  <sheetPr codeName="Sheet1" filterMode="1"/>
  <dimension ref="A2:AF693"/>
  <sheetViews>
    <sheetView showGridLines="0" showRowColHeaders="0" tabSelected="1" topLeftCell="A5" zoomScale="80" zoomScaleNormal="80" workbookViewId="0">
      <selection activeCell="A476" sqref="A476"/>
    </sheetView>
  </sheetViews>
  <sheetFormatPr defaultRowHeight="14.5" x14ac:dyDescent="0.35"/>
  <cols>
    <col min="2" max="2" width="58.54296875" customWidth="1"/>
    <col min="3" max="3" width="11.81640625" style="6" customWidth="1"/>
    <col min="4" max="4" width="13" style="12" hidden="1" customWidth="1"/>
    <col min="5" max="5" width="13" style="13" hidden="1" customWidth="1"/>
    <col min="6" max="6" width="13" style="10" customWidth="1"/>
    <col min="7" max="7" width="10.7265625" hidden="1" customWidth="1"/>
    <col min="8" max="9" width="9.1796875" hidden="1" customWidth="1"/>
    <col min="10" max="10" width="10.81640625" customWidth="1"/>
    <col min="14" max="14" width="10.54296875" bestFit="1" customWidth="1"/>
    <col min="19" max="30" width="33.1796875" customWidth="1"/>
    <col min="31" max="31" width="22" customWidth="1"/>
    <col min="32" max="32" width="16.1796875" bestFit="1" customWidth="1"/>
  </cols>
  <sheetData>
    <row r="2" spans="1:32" x14ac:dyDescent="0.35">
      <c r="B2" s="21" t="s">
        <v>332</v>
      </c>
      <c r="C2" s="22" t="str">
        <f>INDEX('Commison Dates'!$A$2:$A$35, 'Site Summary'!$G$2, 1)</f>
        <v>LLY</v>
      </c>
      <c r="G2" s="28">
        <v>19</v>
      </c>
      <c r="AF2" s="31"/>
    </row>
    <row r="3" spans="1:32" x14ac:dyDescent="0.35">
      <c r="B3" s="5"/>
      <c r="C3" s="7"/>
      <c r="AF3" s="31"/>
    </row>
    <row r="4" spans="1:32" x14ac:dyDescent="0.35">
      <c r="B4" s="21" t="s">
        <v>335</v>
      </c>
      <c r="C4" s="22">
        <f>VLOOKUP(C2, 'Commison Dates'!A2:B35, 2)</f>
        <v>35704</v>
      </c>
      <c r="AE4" t="s">
        <v>1252</v>
      </c>
      <c r="AF4" s="30">
        <f>C4+365</f>
        <v>36069</v>
      </c>
    </row>
    <row r="5" spans="1:32" x14ac:dyDescent="0.35">
      <c r="B5" s="21" t="s">
        <v>336</v>
      </c>
      <c r="C5" s="22">
        <f>MIN(C12:C307)</f>
        <v>43054.631944444445</v>
      </c>
      <c r="AE5" t="s">
        <v>1253</v>
      </c>
      <c r="AF5" s="1">
        <f ca="1">FLOOR(NOW(), 1)-365</f>
        <v>43681</v>
      </c>
    </row>
    <row r="6" spans="1:32" x14ac:dyDescent="0.35">
      <c r="B6" s="16"/>
      <c r="C6" s="17"/>
    </row>
    <row r="7" spans="1:32" ht="27" customHeight="1" x14ac:dyDescent="0.35">
      <c r="B7" s="34" t="s">
        <v>852</v>
      </c>
      <c r="C7" s="34"/>
    </row>
    <row r="8" spans="1:32" ht="72.75" customHeight="1" x14ac:dyDescent="0.35">
      <c r="B8" s="33" t="str">
        <f ca="1">VLOOKUP(C2, 'Turbine IDs'!C2:F510, 4, 0)</f>
        <v>426,427,428,429,430,431,432,433,434,435,436,437,438,439,440,441,442,443,444,445,446,447,448,449,450,451,452,453,454,455,456,457,552,553</v>
      </c>
      <c r="C8" s="33"/>
    </row>
    <row r="10" spans="1:32" hidden="1" x14ac:dyDescent="0.35">
      <c r="C10" s="35" t="s">
        <v>1247</v>
      </c>
      <c r="D10" s="35"/>
      <c r="E10" s="35"/>
      <c r="F10" s="35"/>
      <c r="G10" s="36" t="s">
        <v>1248</v>
      </c>
      <c r="H10" s="36"/>
      <c r="I10" s="36"/>
      <c r="J10" s="36"/>
    </row>
    <row r="11" spans="1:32" s="8" customFormat="1" ht="58" x14ac:dyDescent="0.35">
      <c r="A11" s="23" t="s">
        <v>857</v>
      </c>
      <c r="B11" s="23" t="s">
        <v>0</v>
      </c>
      <c r="C11" s="24" t="s">
        <v>333</v>
      </c>
      <c r="D11" s="23" t="s">
        <v>337</v>
      </c>
      <c r="E11" s="25" t="s">
        <v>338</v>
      </c>
      <c r="F11" s="26" t="s">
        <v>339</v>
      </c>
      <c r="G11" s="24" t="s">
        <v>333</v>
      </c>
      <c r="H11" s="23" t="s">
        <v>337</v>
      </c>
      <c r="I11" s="25" t="s">
        <v>338</v>
      </c>
      <c r="J11" s="26" t="s">
        <v>1249</v>
      </c>
    </row>
    <row r="12" spans="1:32" hidden="1" x14ac:dyDescent="0.35">
      <c r="A12" s="20">
        <f>INDEX(signals_2020_05!$A$2:$A$680, MATCH(B12, signals_2020_05!$B$2:$B$680, 0))</f>
        <v>233</v>
      </c>
      <c r="B12" s="2" t="str">
        <f>signals_2020_05!B2</f>
        <v>Active alarm</v>
      </c>
      <c r="C12" s="9" t="str">
        <f>INDEX(signals_2020_05!$C$2:$AJ$680, MATCH($B12, signals_2020_05!$B$2:$B$680, 0), MATCH(C$2, signals_2020_05!$C$1:$AJ$1, 0))</f>
        <v>NaT</v>
      </c>
      <c r="D12" s="14">
        <f>IF(ISERROR(C12), 0, IF(C12="NaT", 0, 1))</f>
        <v>0</v>
      </c>
      <c r="E12" s="11">
        <f>IF(D12, IF(FLOOR($C12, 1) = FLOOR($C$5, 1), 1, 0), 0)</f>
        <v>0</v>
      </c>
      <c r="F12" s="11">
        <f ca="1">IF(ISERROR(C12), 0, IF(C12="NaT", 0,ROUND(((NOW()-C12)/365.25)*10, 0)/10))</f>
        <v>0</v>
      </c>
      <c r="G12" s="9" t="str">
        <f>INDEX(signals_2019_10!$C$2:$AJ$682, MATCH($B12, signals_2019_10!$B$2:$B$682, 0), MATCH(C$2, signals_2019_10!$C$1:$AJ$1, 0))</f>
        <v>NaT</v>
      </c>
      <c r="H12" s="14">
        <f>IF(ISERROR(G12), 0, IF(G12="NaT", 0, 1))</f>
        <v>0</v>
      </c>
      <c r="I12" s="11">
        <f>IF(H12, IF(FLOOR($C12, 1) = FLOOR($C$5, 1), 1, 0), 0)</f>
        <v>0</v>
      </c>
      <c r="J12" s="11">
        <f ca="1">IF(ISERROR(G12), 0, IF(G12="NaT", 0,ROUND(((NOW()-G12)/365.25)*10, 0)/10))</f>
        <v>0</v>
      </c>
      <c r="N12" s="30"/>
    </row>
    <row r="13" spans="1:32" hidden="1" x14ac:dyDescent="0.35">
      <c r="A13" s="20">
        <f>INDEX(signals_2020_05!$A$2:$A$680, MATCH(B13, signals_2020_05!$B$2:$B$680, 0))</f>
        <v>320</v>
      </c>
      <c r="B13" s="2" t="str">
        <f>signals_2020_05!B3</f>
        <v>Air pressure</v>
      </c>
      <c r="C13" s="9" t="str">
        <f>INDEX(signals_2020_05!$C$2:$AJ$680, MATCH($B13, signals_2020_05!$B$2:$B$680, 0), MATCH(C$2, signals_2020_05!$C$1:$AJ$1, 0))</f>
        <v>NaT</v>
      </c>
      <c r="D13" s="14">
        <f t="shared" ref="D13:D76" si="0">IF(ISERROR(C13), 0, IF(C13="NaT", 0, 1))</f>
        <v>0</v>
      </c>
      <c r="E13" s="11">
        <f t="shared" ref="E13:E76" si="1">IF(D13, IF(FLOOR($C13, 1) = FLOOR($C$5, 1), 1, 0), 0)</f>
        <v>0</v>
      </c>
      <c r="F13" s="11">
        <f t="shared" ref="F13:F76" ca="1" si="2">IF(ISERROR(C13), 0, IF(C13="NaT", 0,ROUND(((NOW()-C13)/365.25)*10, 0)/10))</f>
        <v>0</v>
      </c>
      <c r="G13" s="9" t="str">
        <f>INDEX(signals_2019_10!$C$2:$AJ$682, MATCH($B13, signals_2019_10!$B$2:$B$682, 0), MATCH(C$2, signals_2019_10!$C$1:$AJ$1, 0))</f>
        <v>NaT</v>
      </c>
      <c r="H13" s="14">
        <f t="shared" ref="H13:H76" si="3">IF(ISERROR(G13), 0, IF(G13="NaT", 0, 1))</f>
        <v>0</v>
      </c>
      <c r="I13" s="11">
        <f t="shared" ref="I13:I76" si="4">IF(H13, IF(FLOOR($C13, 1) = FLOOR($C$5, 1), 1, 0), 0)</f>
        <v>0</v>
      </c>
      <c r="J13" s="11">
        <f t="shared" ref="J13:J76" ca="1" si="5">IF(ISERROR(G13), 0, IF(G13="NaT", 0,ROUND(((NOW()-G13)/365.25)*10, 0)/10))</f>
        <v>0</v>
      </c>
    </row>
    <row r="14" spans="1:32" hidden="1" x14ac:dyDescent="0.35">
      <c r="A14" s="20">
        <f>INDEX(signals_2020_05!$A$2:$A$680, MATCH(B14, signals_2020_05!$B$2:$B$680, 0))</f>
        <v>4109</v>
      </c>
      <c r="B14" s="2" t="str">
        <f>signals_2020_05!B4</f>
        <v>Air pressure, Max</v>
      </c>
      <c r="C14" s="9" t="str">
        <f>INDEX(signals_2020_05!$C$2:$AJ$680, MATCH($B14, signals_2020_05!$B$2:$B$680, 0), MATCH(C$2, signals_2020_05!$C$1:$AJ$1, 0))</f>
        <v>NaT</v>
      </c>
      <c r="D14" s="14">
        <f t="shared" si="0"/>
        <v>0</v>
      </c>
      <c r="E14" s="11">
        <f t="shared" si="1"/>
        <v>0</v>
      </c>
      <c r="F14" s="11">
        <f t="shared" ca="1" si="2"/>
        <v>0</v>
      </c>
      <c r="G14" s="9" t="e">
        <f>INDEX(signals_2019_10!$C$2:$AJ$682, MATCH($B14, signals_2019_10!$B$2:$B$682, 0), MATCH(C$2, signals_2019_10!$C$1:$AJ$1, 0))</f>
        <v>#N/A</v>
      </c>
      <c r="H14" s="14">
        <f t="shared" si="3"/>
        <v>0</v>
      </c>
      <c r="I14" s="11">
        <f t="shared" si="4"/>
        <v>0</v>
      </c>
      <c r="J14" s="11">
        <f t="shared" ca="1" si="5"/>
        <v>0</v>
      </c>
    </row>
    <row r="15" spans="1:32" hidden="1" x14ac:dyDescent="0.35">
      <c r="A15" s="20">
        <f>INDEX(signals_2020_05!$A$2:$A$680, MATCH(B15, signals_2020_05!$B$2:$B$680, 0))</f>
        <v>4110</v>
      </c>
      <c r="B15" s="2" t="str">
        <f>signals_2020_05!B5</f>
        <v>Air pressure, Min</v>
      </c>
      <c r="C15" s="9" t="str">
        <f>INDEX(signals_2020_05!$C$2:$AJ$680, MATCH($B15, signals_2020_05!$B$2:$B$680, 0), MATCH(C$2, signals_2020_05!$C$1:$AJ$1, 0))</f>
        <v>NaT</v>
      </c>
      <c r="D15" s="14">
        <f t="shared" si="0"/>
        <v>0</v>
      </c>
      <c r="E15" s="11">
        <f t="shared" si="1"/>
        <v>0</v>
      </c>
      <c r="F15" s="11">
        <f t="shared" ca="1" si="2"/>
        <v>0</v>
      </c>
      <c r="G15" s="9" t="e">
        <f>INDEX(signals_2019_10!$C$2:$AJ$682, MATCH($B15, signals_2019_10!$B$2:$B$682, 0), MATCH(C$2, signals_2019_10!$C$1:$AJ$1, 0))</f>
        <v>#N/A</v>
      </c>
      <c r="H15" s="14">
        <f t="shared" si="3"/>
        <v>0</v>
      </c>
      <c r="I15" s="11">
        <f t="shared" si="4"/>
        <v>0</v>
      </c>
      <c r="J15" s="11">
        <f t="shared" ca="1" si="5"/>
        <v>0</v>
      </c>
    </row>
    <row r="16" spans="1:32" hidden="1" x14ac:dyDescent="0.35">
      <c r="A16" s="20">
        <f>INDEX(signals_2020_05!$A$2:$A$680, MATCH(B16, signals_2020_05!$B$2:$B$680, 0))</f>
        <v>4111</v>
      </c>
      <c r="B16" s="2" t="str">
        <f>signals_2020_05!B6</f>
        <v>Air pressure, StdDev</v>
      </c>
      <c r="C16" s="9" t="str">
        <f>INDEX(signals_2020_05!$C$2:$AJ$680, MATCH($B16, signals_2020_05!$B$2:$B$680, 0), MATCH(C$2, signals_2020_05!$C$1:$AJ$1, 0))</f>
        <v>NaT</v>
      </c>
      <c r="D16" s="14">
        <f t="shared" si="0"/>
        <v>0</v>
      </c>
      <c r="E16" s="11">
        <f t="shared" si="1"/>
        <v>0</v>
      </c>
      <c r="F16" s="11">
        <f t="shared" ca="1" si="2"/>
        <v>0</v>
      </c>
      <c r="G16" s="9" t="e">
        <f>INDEX(signals_2019_10!$C$2:$AJ$682, MATCH($B16, signals_2019_10!$B$2:$B$682, 0), MATCH(C$2, signals_2019_10!$C$1:$AJ$1, 0))</f>
        <v>#N/A</v>
      </c>
      <c r="H16" s="14">
        <f t="shared" si="3"/>
        <v>0</v>
      </c>
      <c r="I16" s="11">
        <f t="shared" si="4"/>
        <v>0</v>
      </c>
      <c r="J16" s="11">
        <f t="shared" ca="1" si="5"/>
        <v>0</v>
      </c>
    </row>
    <row r="17" spans="1:10" hidden="1" x14ac:dyDescent="0.35">
      <c r="A17" s="20">
        <f>INDEX(signals_2020_05!$A$2:$A$680, MATCH(B17, signals_2020_05!$B$2:$B$680, 0))</f>
        <v>306</v>
      </c>
      <c r="B17" s="2" t="str">
        <f>signals_2020_05!B7</f>
        <v>Ambient OK Time</v>
      </c>
      <c r="C17" s="9" t="str">
        <f>INDEX(signals_2020_05!$C$2:$AJ$680, MATCH($B17, signals_2020_05!$B$2:$B$680, 0), MATCH(C$2, signals_2020_05!$C$1:$AJ$1, 0))</f>
        <v>NaT</v>
      </c>
      <c r="D17" s="14">
        <f t="shared" si="0"/>
        <v>0</v>
      </c>
      <c r="E17" s="11">
        <f t="shared" si="1"/>
        <v>0</v>
      </c>
      <c r="F17" s="11">
        <f t="shared" ca="1" si="2"/>
        <v>0</v>
      </c>
      <c r="G17" s="9" t="str">
        <f>INDEX(signals_2019_10!$C$2:$AJ$682, MATCH($B17, signals_2019_10!$B$2:$B$682, 0), MATCH(C$2, signals_2019_10!$C$1:$AJ$1, 0))</f>
        <v>NaT</v>
      </c>
      <c r="H17" s="14">
        <f t="shared" si="3"/>
        <v>0</v>
      </c>
      <c r="I17" s="11">
        <f t="shared" si="4"/>
        <v>0</v>
      </c>
      <c r="J17" s="11">
        <f t="shared" ca="1" si="5"/>
        <v>0</v>
      </c>
    </row>
    <row r="18" spans="1:10" x14ac:dyDescent="0.35">
      <c r="A18" s="20">
        <f>INDEX(signals_2020_05!$A$2:$A$680, MATCH(B18, signals_2020_05!$B$2:$B$680, 0))</f>
        <v>31</v>
      </c>
      <c r="B18" s="2" t="str">
        <f>signals_2020_05!B8</f>
        <v>Ambient temperature</v>
      </c>
      <c r="C18" s="9">
        <f>INDEX(signals_2020_05!$C$2:$AJ$680, MATCH($B18, signals_2020_05!$B$2:$B$680, 0), MATCH(C$2, signals_2020_05!$C$1:$AJ$1, 0))</f>
        <v>43054.631944444445</v>
      </c>
      <c r="D18" s="14">
        <f t="shared" si="0"/>
        <v>1</v>
      </c>
      <c r="E18" s="11">
        <f t="shared" si="1"/>
        <v>1</v>
      </c>
      <c r="F18" s="11">
        <f t="shared" ca="1" si="2"/>
        <v>2.7</v>
      </c>
      <c r="G18" s="9">
        <f>INDEX(signals_2019_10!$C$2:$AJ$682, MATCH($B18, signals_2019_10!$B$2:$B$682, 0), MATCH(C$2, signals_2019_10!$C$1:$AJ$1, 0))</f>
        <v>43054.631944444445</v>
      </c>
      <c r="H18" s="14">
        <f t="shared" si="3"/>
        <v>1</v>
      </c>
      <c r="I18" s="11">
        <f t="shared" si="4"/>
        <v>1</v>
      </c>
      <c r="J18" s="11">
        <f t="shared" ca="1" si="5"/>
        <v>2.7</v>
      </c>
    </row>
    <row r="19" spans="1:10" hidden="1" x14ac:dyDescent="0.35">
      <c r="A19" s="20">
        <f>INDEX(signals_2020_05!$A$2:$A$680, MATCH(B19, signals_2020_05!$B$2:$B$680, 0))</f>
        <v>939</v>
      </c>
      <c r="B19" s="2" t="str">
        <f>signals_2020_05!B9</f>
        <v>Ambient temperature, Max</v>
      </c>
      <c r="C19" s="9" t="str">
        <f>INDEX(signals_2020_05!$C$2:$AJ$680, MATCH($B19, signals_2020_05!$B$2:$B$680, 0), MATCH(C$2, signals_2020_05!$C$1:$AJ$1, 0))</f>
        <v>NaT</v>
      </c>
      <c r="D19" s="14">
        <f t="shared" si="0"/>
        <v>0</v>
      </c>
      <c r="E19" s="11">
        <f t="shared" si="1"/>
        <v>0</v>
      </c>
      <c r="F19" s="11">
        <f t="shared" ca="1" si="2"/>
        <v>0</v>
      </c>
      <c r="G19" s="9" t="e">
        <f>INDEX(signals_2019_10!$C$2:$AJ$682, MATCH($B19, signals_2019_10!$B$2:$B$682, 0), MATCH(C$2, signals_2019_10!$C$1:$AJ$1, 0))</f>
        <v>#N/A</v>
      </c>
      <c r="H19" s="14">
        <f t="shared" si="3"/>
        <v>0</v>
      </c>
      <c r="I19" s="11">
        <f t="shared" si="4"/>
        <v>0</v>
      </c>
      <c r="J19" s="11">
        <f t="shared" ca="1" si="5"/>
        <v>0</v>
      </c>
    </row>
    <row r="20" spans="1:10" hidden="1" x14ac:dyDescent="0.35">
      <c r="A20" s="20">
        <f>INDEX(signals_2020_05!$A$2:$A$680, MATCH(B20, signals_2020_05!$B$2:$B$680, 0))</f>
        <v>940</v>
      </c>
      <c r="B20" s="2" t="str">
        <f>signals_2020_05!B10</f>
        <v>Ambient temperature, Min</v>
      </c>
      <c r="C20" s="9" t="str">
        <f>INDEX(signals_2020_05!$C$2:$AJ$680, MATCH($B20, signals_2020_05!$B$2:$B$680, 0), MATCH(C$2, signals_2020_05!$C$1:$AJ$1, 0))</f>
        <v>NaT</v>
      </c>
      <c r="D20" s="14">
        <f t="shared" si="0"/>
        <v>0</v>
      </c>
      <c r="E20" s="11">
        <f t="shared" si="1"/>
        <v>0</v>
      </c>
      <c r="F20" s="11">
        <f t="shared" ca="1" si="2"/>
        <v>0</v>
      </c>
      <c r="G20" s="9" t="e">
        <f>INDEX(signals_2019_10!$C$2:$AJ$682, MATCH($B20, signals_2019_10!$B$2:$B$682, 0), MATCH(C$2, signals_2019_10!$C$1:$AJ$1, 0))</f>
        <v>#N/A</v>
      </c>
      <c r="H20" s="14">
        <f t="shared" si="3"/>
        <v>0</v>
      </c>
      <c r="I20" s="11">
        <f t="shared" si="4"/>
        <v>0</v>
      </c>
      <c r="J20" s="11">
        <f t="shared" ca="1" si="5"/>
        <v>0</v>
      </c>
    </row>
    <row r="21" spans="1:10" hidden="1" x14ac:dyDescent="0.35">
      <c r="A21" s="20">
        <f>INDEX(signals_2020_05!$A$2:$A$680, MATCH(B21, signals_2020_05!$B$2:$B$680, 0))</f>
        <v>941</v>
      </c>
      <c r="B21" s="2" t="str">
        <f>signals_2020_05!B11</f>
        <v>Ambient temperature, Standard deviation</v>
      </c>
      <c r="C21" s="9" t="str">
        <f>INDEX(signals_2020_05!$C$2:$AJ$680, MATCH($B21, signals_2020_05!$B$2:$B$680, 0), MATCH(C$2, signals_2020_05!$C$1:$AJ$1, 0))</f>
        <v>NaT</v>
      </c>
      <c r="D21" s="14">
        <f t="shared" si="0"/>
        <v>0</v>
      </c>
      <c r="E21" s="11">
        <f t="shared" si="1"/>
        <v>0</v>
      </c>
      <c r="F21" s="11">
        <f t="shared" ca="1" si="2"/>
        <v>0</v>
      </c>
      <c r="G21" s="9" t="e">
        <f>INDEX(signals_2019_10!$C$2:$AJ$682, MATCH($B21, signals_2019_10!$B$2:$B$682, 0), MATCH(C$2, signals_2019_10!$C$1:$AJ$1, 0))</f>
        <v>#N/A</v>
      </c>
      <c r="H21" s="14">
        <f t="shared" si="3"/>
        <v>0</v>
      </c>
      <c r="I21" s="11">
        <f t="shared" si="4"/>
        <v>0</v>
      </c>
      <c r="J21" s="11">
        <f t="shared" ca="1" si="5"/>
        <v>0</v>
      </c>
    </row>
    <row r="22" spans="1:10" hidden="1" x14ac:dyDescent="0.35">
      <c r="A22" s="20">
        <f>INDEX(signals_2020_05!$A$2:$A$680, MATCH(B22, signals_2020_05!$B$2:$B$680, 0))</f>
        <v>323</v>
      </c>
      <c r="B22" s="2" t="str">
        <f>signals_2020_05!B12</f>
        <v>Apparent power</v>
      </c>
      <c r="C22" s="9" t="str">
        <f>INDEX(signals_2020_05!$C$2:$AJ$680, MATCH($B22, signals_2020_05!$B$2:$B$680, 0), MATCH(C$2, signals_2020_05!$C$1:$AJ$1, 0))</f>
        <v>NaT</v>
      </c>
      <c r="D22" s="14">
        <f t="shared" si="0"/>
        <v>0</v>
      </c>
      <c r="E22" s="11">
        <f t="shared" si="1"/>
        <v>0</v>
      </c>
      <c r="F22" s="11">
        <f t="shared" ca="1" si="2"/>
        <v>0</v>
      </c>
      <c r="G22" s="9" t="str">
        <f>INDEX(signals_2019_10!$C$2:$AJ$682, MATCH($B22, signals_2019_10!$B$2:$B$682, 0), MATCH(C$2, signals_2019_10!$C$1:$AJ$1, 0))</f>
        <v>NaT</v>
      </c>
      <c r="H22" s="14">
        <f t="shared" si="3"/>
        <v>0</v>
      </c>
      <c r="I22" s="11">
        <f t="shared" si="4"/>
        <v>0</v>
      </c>
      <c r="J22" s="11">
        <f t="shared" ca="1" si="5"/>
        <v>0</v>
      </c>
    </row>
    <row r="23" spans="1:10" hidden="1" x14ac:dyDescent="0.35">
      <c r="A23" s="20">
        <f>INDEX(signals_2020_05!$A$2:$A$680, MATCH(B23, signals_2020_05!$B$2:$B$680, 0))</f>
        <v>4115</v>
      </c>
      <c r="B23" s="2" t="str">
        <f>signals_2020_05!B13</f>
        <v>Apparent power, Max</v>
      </c>
      <c r="C23" s="9" t="str">
        <f>INDEX(signals_2020_05!$C$2:$AJ$680, MATCH($B23, signals_2020_05!$B$2:$B$680, 0), MATCH(C$2, signals_2020_05!$C$1:$AJ$1, 0))</f>
        <v>NaT</v>
      </c>
      <c r="D23" s="14">
        <f t="shared" si="0"/>
        <v>0</v>
      </c>
      <c r="E23" s="11">
        <f t="shared" si="1"/>
        <v>0</v>
      </c>
      <c r="F23" s="11">
        <f t="shared" ca="1" si="2"/>
        <v>0</v>
      </c>
      <c r="G23" s="9" t="e">
        <f>INDEX(signals_2019_10!$C$2:$AJ$682, MATCH($B23, signals_2019_10!$B$2:$B$682, 0), MATCH(C$2, signals_2019_10!$C$1:$AJ$1, 0))</f>
        <v>#N/A</v>
      </c>
      <c r="H23" s="14">
        <f t="shared" si="3"/>
        <v>0</v>
      </c>
      <c r="I23" s="11">
        <f t="shared" si="4"/>
        <v>0</v>
      </c>
      <c r="J23" s="11">
        <f t="shared" ca="1" si="5"/>
        <v>0</v>
      </c>
    </row>
    <row r="24" spans="1:10" hidden="1" x14ac:dyDescent="0.35">
      <c r="A24" s="20">
        <f>INDEX(signals_2020_05!$A$2:$A$680, MATCH(B24, signals_2020_05!$B$2:$B$680, 0))</f>
        <v>4116</v>
      </c>
      <c r="B24" s="2" t="str">
        <f>signals_2020_05!B14</f>
        <v>Apparent power, Min</v>
      </c>
      <c r="C24" s="9" t="str">
        <f>INDEX(signals_2020_05!$C$2:$AJ$680, MATCH($B24, signals_2020_05!$B$2:$B$680, 0), MATCH(C$2, signals_2020_05!$C$1:$AJ$1, 0))</f>
        <v>NaT</v>
      </c>
      <c r="D24" s="14">
        <f t="shared" si="0"/>
        <v>0</v>
      </c>
      <c r="E24" s="11">
        <f t="shared" si="1"/>
        <v>0</v>
      </c>
      <c r="F24" s="11">
        <f t="shared" ca="1" si="2"/>
        <v>0</v>
      </c>
      <c r="G24" s="9" t="e">
        <f>INDEX(signals_2019_10!$C$2:$AJ$682, MATCH($B24, signals_2019_10!$B$2:$B$682, 0), MATCH(C$2, signals_2019_10!$C$1:$AJ$1, 0))</f>
        <v>#N/A</v>
      </c>
      <c r="H24" s="14">
        <f t="shared" si="3"/>
        <v>0</v>
      </c>
      <c r="I24" s="11">
        <f t="shared" si="4"/>
        <v>0</v>
      </c>
      <c r="J24" s="11">
        <f t="shared" ca="1" si="5"/>
        <v>0</v>
      </c>
    </row>
    <row r="25" spans="1:10" hidden="1" x14ac:dyDescent="0.35">
      <c r="A25" s="20">
        <f>INDEX(signals_2020_05!$A$2:$A$680, MATCH(B25, signals_2020_05!$B$2:$B$680, 0))</f>
        <v>4117</v>
      </c>
      <c r="B25" s="2" t="str">
        <f>signals_2020_05!B15</f>
        <v>Apparent power, StdDev</v>
      </c>
      <c r="C25" s="9" t="str">
        <f>INDEX(signals_2020_05!$C$2:$AJ$680, MATCH($B25, signals_2020_05!$B$2:$B$680, 0), MATCH(C$2, signals_2020_05!$C$1:$AJ$1, 0))</f>
        <v>NaT</v>
      </c>
      <c r="D25" s="14">
        <f t="shared" si="0"/>
        <v>0</v>
      </c>
      <c r="E25" s="11">
        <f t="shared" si="1"/>
        <v>0</v>
      </c>
      <c r="F25" s="11">
        <f t="shared" ca="1" si="2"/>
        <v>0</v>
      </c>
      <c r="G25" s="9" t="e">
        <f>INDEX(signals_2019_10!$C$2:$AJ$682, MATCH($B25, signals_2019_10!$B$2:$B$682, 0), MATCH(C$2, signals_2019_10!$C$1:$AJ$1, 0))</f>
        <v>#N/A</v>
      </c>
      <c r="H25" s="14">
        <f t="shared" si="3"/>
        <v>0</v>
      </c>
      <c r="I25" s="11">
        <f t="shared" si="4"/>
        <v>0</v>
      </c>
      <c r="J25" s="11">
        <f t="shared" ca="1" si="5"/>
        <v>0</v>
      </c>
    </row>
    <row r="26" spans="1:10" hidden="1" x14ac:dyDescent="0.35">
      <c r="A26" s="20">
        <f>INDEX(signals_2020_05!$A$2:$A$680, MATCH(B26, signals_2020_05!$B$2:$B$680, 0))</f>
        <v>330</v>
      </c>
      <c r="B26" s="2" t="str">
        <f>signals_2020_05!B16</f>
        <v>Avail. Stop</v>
      </c>
      <c r="C26" s="9" t="str">
        <f>INDEX(signals_2020_05!$C$2:$AJ$680, MATCH($B26, signals_2020_05!$B$2:$B$680, 0), MATCH(C$2, signals_2020_05!$C$1:$AJ$1, 0))</f>
        <v>NaT</v>
      </c>
      <c r="D26" s="14">
        <f t="shared" si="0"/>
        <v>0</v>
      </c>
      <c r="E26" s="11">
        <f t="shared" si="1"/>
        <v>0</v>
      </c>
      <c r="F26" s="11">
        <f t="shared" ca="1" si="2"/>
        <v>0</v>
      </c>
      <c r="G26" s="9" t="str">
        <f>INDEX(signals_2019_10!$C$2:$AJ$682, MATCH($B26, signals_2019_10!$B$2:$B$682, 0), MATCH(C$2, signals_2019_10!$C$1:$AJ$1, 0))</f>
        <v>NaT</v>
      </c>
      <c r="H26" s="14">
        <f t="shared" si="3"/>
        <v>0</v>
      </c>
      <c r="I26" s="11">
        <f t="shared" si="4"/>
        <v>0</v>
      </c>
      <c r="J26" s="11">
        <f t="shared" ca="1" si="5"/>
        <v>0</v>
      </c>
    </row>
    <row r="27" spans="1:10" hidden="1" x14ac:dyDescent="0.35">
      <c r="A27" s="20">
        <f>INDEX(signals_2020_05!$A$2:$A$680, MATCH(B27, signals_2020_05!$B$2:$B$680, 0))</f>
        <v>331</v>
      </c>
      <c r="B27" s="2" t="str">
        <f>signals_2020_05!B17</f>
        <v>Avail. Wait</v>
      </c>
      <c r="C27" s="9" t="str">
        <f>INDEX(signals_2020_05!$C$2:$AJ$680, MATCH($B27, signals_2020_05!$B$2:$B$680, 0), MATCH(C$2, signals_2020_05!$C$1:$AJ$1, 0))</f>
        <v>NaT</v>
      </c>
      <c r="D27" s="14">
        <f t="shared" si="0"/>
        <v>0</v>
      </c>
      <c r="E27" s="11">
        <f t="shared" si="1"/>
        <v>0</v>
      </c>
      <c r="F27" s="11">
        <f t="shared" ca="1" si="2"/>
        <v>0</v>
      </c>
      <c r="G27" s="9" t="str">
        <f>INDEX(signals_2019_10!$C$2:$AJ$682, MATCH($B27, signals_2019_10!$B$2:$B$682, 0), MATCH(C$2, signals_2019_10!$C$1:$AJ$1, 0))</f>
        <v>NaT</v>
      </c>
      <c r="H27" s="14">
        <f t="shared" si="3"/>
        <v>0</v>
      </c>
      <c r="I27" s="11">
        <f t="shared" si="4"/>
        <v>0</v>
      </c>
      <c r="J27" s="11">
        <f t="shared" ca="1" si="5"/>
        <v>0</v>
      </c>
    </row>
    <row r="28" spans="1:10" hidden="1" x14ac:dyDescent="0.35">
      <c r="A28" s="20">
        <f>INDEX(signals_2020_05!$A$2:$A$680, MATCH(B28, signals_2020_05!$B$2:$B$680, 0))</f>
        <v>3197</v>
      </c>
      <c r="B28" s="2" t="str">
        <f>signals_2020_05!B18</f>
        <v>Availability, Manufacturer</v>
      </c>
      <c r="C28" s="9" t="str">
        <f>INDEX(signals_2020_05!$C$2:$AJ$680, MATCH($B28, signals_2020_05!$B$2:$B$680, 0), MATCH(C$2, signals_2020_05!$C$1:$AJ$1, 0))</f>
        <v>NaT</v>
      </c>
      <c r="D28" s="14">
        <f t="shared" si="0"/>
        <v>0</v>
      </c>
      <c r="E28" s="11">
        <f t="shared" si="1"/>
        <v>0</v>
      </c>
      <c r="F28" s="11">
        <f t="shared" ca="1" si="2"/>
        <v>0</v>
      </c>
      <c r="G28" s="9" t="str">
        <f>INDEX(signals_2019_10!$C$2:$AJ$682, MATCH($B28, signals_2019_10!$B$2:$B$682, 0), MATCH(C$2, signals_2019_10!$C$1:$AJ$1, 0))</f>
        <v>NaT</v>
      </c>
      <c r="H28" s="14">
        <f t="shared" si="3"/>
        <v>0</v>
      </c>
      <c r="I28" s="11">
        <f t="shared" si="4"/>
        <v>0</v>
      </c>
      <c r="J28" s="11">
        <f t="shared" ca="1" si="5"/>
        <v>0</v>
      </c>
    </row>
    <row r="29" spans="1:10" hidden="1" x14ac:dyDescent="0.35">
      <c r="A29" s="20">
        <f>INDEX(signals_2020_05!$A$2:$A$680, MATCH(B29, signals_2020_05!$B$2:$B$680, 0))</f>
        <v>4389</v>
      </c>
      <c r="B29" s="2" t="str">
        <f>signals_2020_05!B19</f>
        <v>Availability, Manufacturer, Max</v>
      </c>
      <c r="C29" s="9" t="str">
        <f>INDEX(signals_2020_05!$C$2:$AJ$680, MATCH($B29, signals_2020_05!$B$2:$B$680, 0), MATCH(C$2, signals_2020_05!$C$1:$AJ$1, 0))</f>
        <v>NaT</v>
      </c>
      <c r="D29" s="14">
        <f t="shared" si="0"/>
        <v>0</v>
      </c>
      <c r="E29" s="11">
        <f t="shared" si="1"/>
        <v>0</v>
      </c>
      <c r="F29" s="11">
        <f t="shared" ca="1" si="2"/>
        <v>0</v>
      </c>
      <c r="G29" s="9" t="e">
        <f>INDEX(signals_2019_10!$C$2:$AJ$682, MATCH($B29, signals_2019_10!$B$2:$B$682, 0), MATCH(C$2, signals_2019_10!$C$1:$AJ$1, 0))</f>
        <v>#N/A</v>
      </c>
      <c r="H29" s="14">
        <f t="shared" si="3"/>
        <v>0</v>
      </c>
      <c r="I29" s="11">
        <f t="shared" si="4"/>
        <v>0</v>
      </c>
      <c r="J29" s="11">
        <f t="shared" ca="1" si="5"/>
        <v>0</v>
      </c>
    </row>
    <row r="30" spans="1:10" hidden="1" x14ac:dyDescent="0.35">
      <c r="A30" s="20">
        <f>INDEX(signals_2020_05!$A$2:$A$680, MATCH(B30, signals_2020_05!$B$2:$B$680, 0))</f>
        <v>4390</v>
      </c>
      <c r="B30" s="2" t="str">
        <f>signals_2020_05!B20</f>
        <v>Availability, Manufacturer, Min</v>
      </c>
      <c r="C30" s="9" t="str">
        <f>INDEX(signals_2020_05!$C$2:$AJ$680, MATCH($B30, signals_2020_05!$B$2:$B$680, 0), MATCH(C$2, signals_2020_05!$C$1:$AJ$1, 0))</f>
        <v>NaT</v>
      </c>
      <c r="D30" s="14">
        <f t="shared" si="0"/>
        <v>0</v>
      </c>
      <c r="E30" s="11">
        <f t="shared" si="1"/>
        <v>0</v>
      </c>
      <c r="F30" s="11">
        <f t="shared" ca="1" si="2"/>
        <v>0</v>
      </c>
      <c r="G30" s="9" t="e">
        <f>INDEX(signals_2019_10!$C$2:$AJ$682, MATCH($B30, signals_2019_10!$B$2:$B$682, 0), MATCH(C$2, signals_2019_10!$C$1:$AJ$1, 0))</f>
        <v>#N/A</v>
      </c>
      <c r="H30" s="14">
        <f t="shared" si="3"/>
        <v>0</v>
      </c>
      <c r="I30" s="11">
        <f t="shared" si="4"/>
        <v>0</v>
      </c>
      <c r="J30" s="11">
        <f t="shared" ca="1" si="5"/>
        <v>0</v>
      </c>
    </row>
    <row r="31" spans="1:10" hidden="1" x14ac:dyDescent="0.35">
      <c r="A31" s="20">
        <f>INDEX(signals_2020_05!$A$2:$A$680, MATCH(B31, signals_2020_05!$B$2:$B$680, 0))</f>
        <v>4391</v>
      </c>
      <c r="B31" s="2" t="str">
        <f>signals_2020_05!B21</f>
        <v>Availability, Manufacturer, StdDev</v>
      </c>
      <c r="C31" s="9" t="str">
        <f>INDEX(signals_2020_05!$C$2:$AJ$680, MATCH($B31, signals_2020_05!$B$2:$B$680, 0), MATCH(C$2, signals_2020_05!$C$1:$AJ$1, 0))</f>
        <v>NaT</v>
      </c>
      <c r="D31" s="14">
        <f t="shared" si="0"/>
        <v>0</v>
      </c>
      <c r="E31" s="11">
        <f t="shared" si="1"/>
        <v>0</v>
      </c>
      <c r="F31" s="11">
        <f t="shared" ca="1" si="2"/>
        <v>0</v>
      </c>
      <c r="G31" s="9" t="e">
        <f>INDEX(signals_2019_10!$C$2:$AJ$682, MATCH($B31, signals_2019_10!$B$2:$B$682, 0), MATCH(C$2, signals_2019_10!$C$1:$AJ$1, 0))</f>
        <v>#N/A</v>
      </c>
      <c r="H31" s="14">
        <f t="shared" si="3"/>
        <v>0</v>
      </c>
      <c r="I31" s="11">
        <f t="shared" si="4"/>
        <v>0</v>
      </c>
      <c r="J31" s="11">
        <f t="shared" ca="1" si="5"/>
        <v>0</v>
      </c>
    </row>
    <row r="32" spans="1:10" hidden="1" x14ac:dyDescent="0.35">
      <c r="A32" s="20">
        <f>INDEX(signals_2020_05!$A$2:$A$680, MATCH(B32, signals_2020_05!$B$2:$B$680, 0))</f>
        <v>230</v>
      </c>
      <c r="B32" s="2" t="str">
        <f>signals_2020_05!B22</f>
        <v>AviError</v>
      </c>
      <c r="C32" s="9" t="str">
        <f>INDEX(signals_2020_05!$C$2:$AJ$680, MATCH($B32, signals_2020_05!$B$2:$B$680, 0), MATCH(C$2, signals_2020_05!$C$1:$AJ$1, 0))</f>
        <v>NaT</v>
      </c>
      <c r="D32" s="14">
        <f t="shared" si="0"/>
        <v>0</v>
      </c>
      <c r="E32" s="11">
        <f t="shared" si="1"/>
        <v>0</v>
      </c>
      <c r="F32" s="11">
        <f t="shared" ca="1" si="2"/>
        <v>0</v>
      </c>
      <c r="G32" s="9" t="str">
        <f>INDEX(signals_2019_10!$C$2:$AJ$682, MATCH($B32, signals_2019_10!$B$2:$B$682, 0), MATCH(C$2, signals_2019_10!$C$1:$AJ$1, 0))</f>
        <v>NaT</v>
      </c>
      <c r="H32" s="14">
        <f t="shared" si="3"/>
        <v>0</v>
      </c>
      <c r="I32" s="11">
        <f t="shared" si="4"/>
        <v>0</v>
      </c>
      <c r="J32" s="11">
        <f t="shared" ca="1" si="5"/>
        <v>0</v>
      </c>
    </row>
    <row r="33" spans="1:10" hidden="1" x14ac:dyDescent="0.35">
      <c r="A33" s="20">
        <f>INDEX(signals_2020_05!$A$2:$A$680, MATCH(B33, signals_2020_05!$B$2:$B$680, 0))</f>
        <v>14</v>
      </c>
      <c r="B33" s="2" t="str">
        <f>signals_2020_05!B23</f>
        <v>Blade A pitch control box</v>
      </c>
      <c r="C33" s="9" t="str">
        <f>INDEX(signals_2020_05!$C$2:$AJ$680, MATCH($B33, signals_2020_05!$B$2:$B$680, 0), MATCH(C$2, signals_2020_05!$C$1:$AJ$1, 0))</f>
        <v>NaT</v>
      </c>
      <c r="D33" s="14">
        <f t="shared" si="0"/>
        <v>0</v>
      </c>
      <c r="E33" s="11">
        <f t="shared" si="1"/>
        <v>0</v>
      </c>
      <c r="F33" s="11">
        <f t="shared" ca="1" si="2"/>
        <v>0</v>
      </c>
      <c r="G33" s="9" t="str">
        <f>INDEX(signals_2019_10!$C$2:$AJ$682, MATCH($B33, signals_2019_10!$B$2:$B$682, 0), MATCH(C$2, signals_2019_10!$C$1:$AJ$1, 0))</f>
        <v>NaT</v>
      </c>
      <c r="H33" s="14">
        <f t="shared" si="3"/>
        <v>0</v>
      </c>
      <c r="I33" s="11">
        <f t="shared" si="4"/>
        <v>0</v>
      </c>
      <c r="J33" s="11">
        <f t="shared" ca="1" si="5"/>
        <v>0</v>
      </c>
    </row>
    <row r="34" spans="1:10" hidden="1" x14ac:dyDescent="0.35">
      <c r="A34" s="20">
        <f>INDEX(signals_2020_05!$A$2:$A$680, MATCH(B34, signals_2020_05!$B$2:$B$680, 0))</f>
        <v>3052</v>
      </c>
      <c r="B34" s="2" t="str">
        <f>signals_2020_05!B24</f>
        <v>Blade A pitch control box, Max</v>
      </c>
      <c r="C34" s="9" t="str">
        <f>INDEX(signals_2020_05!$C$2:$AJ$680, MATCH($B34, signals_2020_05!$B$2:$B$680, 0), MATCH(C$2, signals_2020_05!$C$1:$AJ$1, 0))</f>
        <v>NaT</v>
      </c>
      <c r="D34" s="14">
        <f t="shared" si="0"/>
        <v>0</v>
      </c>
      <c r="E34" s="11">
        <f t="shared" si="1"/>
        <v>0</v>
      </c>
      <c r="F34" s="11">
        <f t="shared" ca="1" si="2"/>
        <v>0</v>
      </c>
      <c r="G34" s="9" t="e">
        <f>INDEX(signals_2019_10!$C$2:$AJ$682, MATCH($B34, signals_2019_10!$B$2:$B$682, 0), MATCH(C$2, signals_2019_10!$C$1:$AJ$1, 0))</f>
        <v>#N/A</v>
      </c>
      <c r="H34" s="14">
        <f t="shared" si="3"/>
        <v>0</v>
      </c>
      <c r="I34" s="11">
        <f t="shared" si="4"/>
        <v>0</v>
      </c>
      <c r="J34" s="11">
        <f t="shared" ca="1" si="5"/>
        <v>0</v>
      </c>
    </row>
    <row r="35" spans="1:10" hidden="1" x14ac:dyDescent="0.35">
      <c r="A35" s="20">
        <f>INDEX(signals_2020_05!$A$2:$A$680, MATCH(B35, signals_2020_05!$B$2:$B$680, 0))</f>
        <v>3053</v>
      </c>
      <c r="B35" s="2" t="str">
        <f>signals_2020_05!B25</f>
        <v>Blade A pitch control box, Min</v>
      </c>
      <c r="C35" s="9" t="str">
        <f>INDEX(signals_2020_05!$C$2:$AJ$680, MATCH($B35, signals_2020_05!$B$2:$B$680, 0), MATCH(C$2, signals_2020_05!$C$1:$AJ$1, 0))</f>
        <v>NaT</v>
      </c>
      <c r="D35" s="14">
        <f t="shared" si="0"/>
        <v>0</v>
      </c>
      <c r="E35" s="11">
        <f t="shared" si="1"/>
        <v>0</v>
      </c>
      <c r="F35" s="11">
        <f t="shared" ca="1" si="2"/>
        <v>0</v>
      </c>
      <c r="G35" s="9" t="e">
        <f>INDEX(signals_2019_10!$C$2:$AJ$682, MATCH($B35, signals_2019_10!$B$2:$B$682, 0), MATCH(C$2, signals_2019_10!$C$1:$AJ$1, 0))</f>
        <v>#N/A</v>
      </c>
      <c r="H35" s="14">
        <f t="shared" si="3"/>
        <v>0</v>
      </c>
      <c r="I35" s="11">
        <f t="shared" si="4"/>
        <v>0</v>
      </c>
      <c r="J35" s="11">
        <f t="shared" ca="1" si="5"/>
        <v>0</v>
      </c>
    </row>
    <row r="36" spans="1:10" hidden="1" x14ac:dyDescent="0.35">
      <c r="A36" s="20">
        <f>INDEX(signals_2020_05!$A$2:$A$680, MATCH(B36, signals_2020_05!$B$2:$B$680, 0))</f>
        <v>3054</v>
      </c>
      <c r="B36" s="2" t="str">
        <f>signals_2020_05!B26</f>
        <v>Blade A pitch control box, StdDev</v>
      </c>
      <c r="C36" s="9" t="str">
        <f>INDEX(signals_2020_05!$C$2:$AJ$680, MATCH($B36, signals_2020_05!$B$2:$B$680, 0), MATCH(C$2, signals_2020_05!$C$1:$AJ$1, 0))</f>
        <v>NaT</v>
      </c>
      <c r="D36" s="14">
        <f t="shared" si="0"/>
        <v>0</v>
      </c>
      <c r="E36" s="11">
        <f t="shared" si="1"/>
        <v>0</v>
      </c>
      <c r="F36" s="11">
        <f t="shared" ca="1" si="2"/>
        <v>0</v>
      </c>
      <c r="G36" s="9" t="e">
        <f>INDEX(signals_2019_10!$C$2:$AJ$682, MATCH($B36, signals_2019_10!$B$2:$B$682, 0), MATCH(C$2, signals_2019_10!$C$1:$AJ$1, 0))</f>
        <v>#N/A</v>
      </c>
      <c r="H36" s="14">
        <f t="shared" si="3"/>
        <v>0</v>
      </c>
      <c r="I36" s="11">
        <f t="shared" si="4"/>
        <v>0</v>
      </c>
      <c r="J36" s="11">
        <f t="shared" ca="1" si="5"/>
        <v>0</v>
      </c>
    </row>
    <row r="37" spans="1:10" hidden="1" x14ac:dyDescent="0.35">
      <c r="A37" s="20">
        <f>INDEX(signals_2020_05!$A$2:$A$680, MATCH(B37, signals_2020_05!$B$2:$B$680, 0))</f>
        <v>11</v>
      </c>
      <c r="B37" s="2" t="str">
        <f>signals_2020_05!B27</f>
        <v>Blade A pitch heat sink</v>
      </c>
      <c r="C37" s="9" t="str">
        <f>INDEX(signals_2020_05!$C$2:$AJ$680, MATCH($B37, signals_2020_05!$B$2:$B$680, 0), MATCH(C$2, signals_2020_05!$C$1:$AJ$1, 0))</f>
        <v>NaT</v>
      </c>
      <c r="D37" s="14">
        <f t="shared" si="0"/>
        <v>0</v>
      </c>
      <c r="E37" s="11">
        <f t="shared" si="1"/>
        <v>0</v>
      </c>
      <c r="F37" s="11">
        <f t="shared" ca="1" si="2"/>
        <v>0</v>
      </c>
      <c r="G37" s="9" t="str">
        <f>INDEX(signals_2019_10!$C$2:$AJ$682, MATCH($B37, signals_2019_10!$B$2:$B$682, 0), MATCH(C$2, signals_2019_10!$C$1:$AJ$1, 0))</f>
        <v>NaT</v>
      </c>
      <c r="H37" s="14">
        <f t="shared" si="3"/>
        <v>0</v>
      </c>
      <c r="I37" s="11">
        <f t="shared" si="4"/>
        <v>0</v>
      </c>
      <c r="J37" s="11">
        <f t="shared" ca="1" si="5"/>
        <v>0</v>
      </c>
    </row>
    <row r="38" spans="1:10" hidden="1" x14ac:dyDescent="0.35">
      <c r="A38" s="20">
        <f>INDEX(signals_2020_05!$A$2:$A$680, MATCH(B38, signals_2020_05!$B$2:$B$680, 0))</f>
        <v>4392</v>
      </c>
      <c r="B38" s="2" t="str">
        <f>signals_2020_05!B28</f>
        <v>Blade A pitch heat sink, Max</v>
      </c>
      <c r="C38" s="9" t="str">
        <f>INDEX(signals_2020_05!$C$2:$AJ$680, MATCH($B38, signals_2020_05!$B$2:$B$680, 0), MATCH(C$2, signals_2020_05!$C$1:$AJ$1, 0))</f>
        <v>NaT</v>
      </c>
      <c r="D38" s="14">
        <f t="shared" si="0"/>
        <v>0</v>
      </c>
      <c r="E38" s="11">
        <f t="shared" si="1"/>
        <v>0</v>
      </c>
      <c r="F38" s="11">
        <f t="shared" ca="1" si="2"/>
        <v>0</v>
      </c>
      <c r="G38" s="9" t="e">
        <f>INDEX(signals_2019_10!$C$2:$AJ$682, MATCH($B38, signals_2019_10!$B$2:$B$682, 0), MATCH(C$2, signals_2019_10!$C$1:$AJ$1, 0))</f>
        <v>#N/A</v>
      </c>
      <c r="H38" s="14">
        <f t="shared" si="3"/>
        <v>0</v>
      </c>
      <c r="I38" s="11">
        <f t="shared" si="4"/>
        <v>0</v>
      </c>
      <c r="J38" s="11">
        <f t="shared" ca="1" si="5"/>
        <v>0</v>
      </c>
    </row>
    <row r="39" spans="1:10" hidden="1" x14ac:dyDescent="0.35">
      <c r="A39" s="20">
        <f>INDEX(signals_2020_05!$A$2:$A$680, MATCH(B39, signals_2020_05!$B$2:$B$680, 0))</f>
        <v>4393</v>
      </c>
      <c r="B39" s="2" t="str">
        <f>signals_2020_05!B29</f>
        <v>Blade A pitch heat sink, Min</v>
      </c>
      <c r="C39" s="9" t="str">
        <f>INDEX(signals_2020_05!$C$2:$AJ$680, MATCH($B39, signals_2020_05!$B$2:$B$680, 0), MATCH(C$2, signals_2020_05!$C$1:$AJ$1, 0))</f>
        <v>NaT</v>
      </c>
      <c r="D39" s="14">
        <f t="shared" si="0"/>
        <v>0</v>
      </c>
      <c r="E39" s="11">
        <f t="shared" si="1"/>
        <v>0</v>
      </c>
      <c r="F39" s="11">
        <f t="shared" ca="1" si="2"/>
        <v>0</v>
      </c>
      <c r="G39" s="9" t="e">
        <f>INDEX(signals_2019_10!$C$2:$AJ$682, MATCH($B39, signals_2019_10!$B$2:$B$682, 0), MATCH(C$2, signals_2019_10!$C$1:$AJ$1, 0))</f>
        <v>#N/A</v>
      </c>
      <c r="H39" s="14">
        <f t="shared" si="3"/>
        <v>0</v>
      </c>
      <c r="I39" s="11">
        <f t="shared" si="4"/>
        <v>0</v>
      </c>
      <c r="J39" s="11">
        <f t="shared" ca="1" si="5"/>
        <v>0</v>
      </c>
    </row>
    <row r="40" spans="1:10" hidden="1" x14ac:dyDescent="0.35">
      <c r="A40" s="20">
        <f>INDEX(signals_2020_05!$A$2:$A$680, MATCH(B40, signals_2020_05!$B$2:$B$680, 0))</f>
        <v>4394</v>
      </c>
      <c r="B40" s="2" t="str">
        <f>signals_2020_05!B30</f>
        <v>Blade A pitch heat sink, StdDev</v>
      </c>
      <c r="C40" s="9" t="str">
        <f>INDEX(signals_2020_05!$C$2:$AJ$680, MATCH($B40, signals_2020_05!$B$2:$B$680, 0), MATCH(C$2, signals_2020_05!$C$1:$AJ$1, 0))</f>
        <v>NaT</v>
      </c>
      <c r="D40" s="14">
        <f t="shared" si="0"/>
        <v>0</v>
      </c>
      <c r="E40" s="11">
        <f t="shared" si="1"/>
        <v>0</v>
      </c>
      <c r="F40" s="11">
        <f t="shared" ca="1" si="2"/>
        <v>0</v>
      </c>
      <c r="G40" s="9" t="e">
        <f>INDEX(signals_2019_10!$C$2:$AJ$682, MATCH($B40, signals_2019_10!$B$2:$B$682, 0), MATCH(C$2, signals_2019_10!$C$1:$AJ$1, 0))</f>
        <v>#N/A</v>
      </c>
      <c r="H40" s="14">
        <f t="shared" si="3"/>
        <v>0</v>
      </c>
      <c r="I40" s="11">
        <f t="shared" si="4"/>
        <v>0</v>
      </c>
      <c r="J40" s="11">
        <f t="shared" ca="1" si="5"/>
        <v>0</v>
      </c>
    </row>
    <row r="41" spans="1:10" hidden="1" x14ac:dyDescent="0.35">
      <c r="A41" s="20">
        <f>INDEX(signals_2020_05!$A$2:$A$680, MATCH(B41, signals_2020_05!$B$2:$B$680, 0))</f>
        <v>17</v>
      </c>
      <c r="B41" s="2" t="str">
        <f>signals_2020_05!B31</f>
        <v>Blade A temperature</v>
      </c>
      <c r="C41" s="9" t="str">
        <f>INDEX(signals_2020_05!$C$2:$AJ$680, MATCH($B41, signals_2020_05!$B$2:$B$680, 0), MATCH(C$2, signals_2020_05!$C$1:$AJ$1, 0))</f>
        <v>NaT</v>
      </c>
      <c r="D41" s="14">
        <f t="shared" si="0"/>
        <v>0</v>
      </c>
      <c r="E41" s="11">
        <f t="shared" si="1"/>
        <v>0</v>
      </c>
      <c r="F41" s="11">
        <f t="shared" ca="1" si="2"/>
        <v>0</v>
      </c>
      <c r="G41" s="9" t="str">
        <f>INDEX(signals_2019_10!$C$2:$AJ$682, MATCH($B41, signals_2019_10!$B$2:$B$682, 0), MATCH(C$2, signals_2019_10!$C$1:$AJ$1, 0))</f>
        <v>NaT</v>
      </c>
      <c r="H41" s="14">
        <f t="shared" si="3"/>
        <v>0</v>
      </c>
      <c r="I41" s="11">
        <f t="shared" si="4"/>
        <v>0</v>
      </c>
      <c r="J41" s="11">
        <f t="shared" ca="1" si="5"/>
        <v>0</v>
      </c>
    </row>
    <row r="42" spans="1:10" hidden="1" x14ac:dyDescent="0.35">
      <c r="A42" s="20">
        <f>INDEX(signals_2020_05!$A$2:$A$680, MATCH(B42, signals_2020_05!$B$2:$B$680, 0))</f>
        <v>4200</v>
      </c>
      <c r="B42" s="2" t="str">
        <f>signals_2020_05!B32</f>
        <v>Blade A temperature, Max</v>
      </c>
      <c r="C42" s="9" t="str">
        <f>INDEX(signals_2020_05!$C$2:$AJ$680, MATCH($B42, signals_2020_05!$B$2:$B$680, 0), MATCH(C$2, signals_2020_05!$C$1:$AJ$1, 0))</f>
        <v>NaT</v>
      </c>
      <c r="D42" s="14">
        <f t="shared" si="0"/>
        <v>0</v>
      </c>
      <c r="E42" s="11">
        <f t="shared" si="1"/>
        <v>0</v>
      </c>
      <c r="F42" s="11">
        <f t="shared" ca="1" si="2"/>
        <v>0</v>
      </c>
      <c r="G42" s="9" t="e">
        <f>INDEX(signals_2019_10!$C$2:$AJ$682, MATCH($B42, signals_2019_10!$B$2:$B$682, 0), MATCH(C$2, signals_2019_10!$C$1:$AJ$1, 0))</f>
        <v>#N/A</v>
      </c>
      <c r="H42" s="14">
        <f t="shared" si="3"/>
        <v>0</v>
      </c>
      <c r="I42" s="11">
        <f t="shared" si="4"/>
        <v>0</v>
      </c>
      <c r="J42" s="11">
        <f t="shared" ca="1" si="5"/>
        <v>0</v>
      </c>
    </row>
    <row r="43" spans="1:10" hidden="1" x14ac:dyDescent="0.35">
      <c r="A43" s="20">
        <f>INDEX(signals_2020_05!$A$2:$A$680, MATCH(B43, signals_2020_05!$B$2:$B$680, 0))</f>
        <v>4201</v>
      </c>
      <c r="B43" s="2" t="str">
        <f>signals_2020_05!B33</f>
        <v>Blade A temperature, Min</v>
      </c>
      <c r="C43" s="9" t="str">
        <f>INDEX(signals_2020_05!$C$2:$AJ$680, MATCH($B43, signals_2020_05!$B$2:$B$680, 0), MATCH(C$2, signals_2020_05!$C$1:$AJ$1, 0))</f>
        <v>NaT</v>
      </c>
      <c r="D43" s="14">
        <f t="shared" si="0"/>
        <v>0</v>
      </c>
      <c r="E43" s="11">
        <f t="shared" si="1"/>
        <v>0</v>
      </c>
      <c r="F43" s="11">
        <f t="shared" ca="1" si="2"/>
        <v>0</v>
      </c>
      <c r="G43" s="9" t="e">
        <f>INDEX(signals_2019_10!$C$2:$AJ$682, MATCH($B43, signals_2019_10!$B$2:$B$682, 0), MATCH(C$2, signals_2019_10!$C$1:$AJ$1, 0))</f>
        <v>#N/A</v>
      </c>
      <c r="H43" s="14">
        <f t="shared" si="3"/>
        <v>0</v>
      </c>
      <c r="I43" s="11">
        <f t="shared" si="4"/>
        <v>0</v>
      </c>
      <c r="J43" s="11">
        <f t="shared" ca="1" si="5"/>
        <v>0</v>
      </c>
    </row>
    <row r="44" spans="1:10" hidden="1" x14ac:dyDescent="0.35">
      <c r="A44" s="20">
        <f>INDEX(signals_2020_05!$A$2:$A$680, MATCH(B44, signals_2020_05!$B$2:$B$680, 0))</f>
        <v>4202</v>
      </c>
      <c r="B44" s="2" t="str">
        <f>signals_2020_05!B34</f>
        <v>Blade A temperature, StdDev</v>
      </c>
      <c r="C44" s="9" t="str">
        <f>INDEX(signals_2020_05!$C$2:$AJ$680, MATCH($B44, signals_2020_05!$B$2:$B$680, 0), MATCH(C$2, signals_2020_05!$C$1:$AJ$1, 0))</f>
        <v>NaT</v>
      </c>
      <c r="D44" s="14">
        <f t="shared" si="0"/>
        <v>0</v>
      </c>
      <c r="E44" s="11">
        <f t="shared" si="1"/>
        <v>0</v>
      </c>
      <c r="F44" s="11">
        <f t="shared" ca="1" si="2"/>
        <v>0</v>
      </c>
      <c r="G44" s="9" t="e">
        <f>INDEX(signals_2019_10!$C$2:$AJ$682, MATCH($B44, signals_2019_10!$B$2:$B$682, 0), MATCH(C$2, signals_2019_10!$C$1:$AJ$1, 0))</f>
        <v>#N/A</v>
      </c>
      <c r="H44" s="14">
        <f t="shared" si="3"/>
        <v>0</v>
      </c>
      <c r="I44" s="11">
        <f t="shared" si="4"/>
        <v>0</v>
      </c>
      <c r="J44" s="11">
        <f t="shared" ca="1" si="5"/>
        <v>0</v>
      </c>
    </row>
    <row r="45" spans="1:10" hidden="1" x14ac:dyDescent="0.35">
      <c r="A45" s="20">
        <f>INDEX(signals_2020_05!$A$2:$A$680, MATCH(B45, signals_2020_05!$B$2:$B$680, 0))</f>
        <v>83</v>
      </c>
      <c r="B45" s="2" t="str">
        <f>signals_2020_05!B35</f>
        <v>Blade angle (pitch position)</v>
      </c>
      <c r="C45" s="9" t="str">
        <f>INDEX(signals_2020_05!$C$2:$AJ$680, MATCH($B45, signals_2020_05!$B$2:$B$680, 0), MATCH(C$2, signals_2020_05!$C$1:$AJ$1, 0))</f>
        <v>NaT</v>
      </c>
      <c r="D45" s="14">
        <f t="shared" si="0"/>
        <v>0</v>
      </c>
      <c r="E45" s="11">
        <f t="shared" si="1"/>
        <v>0</v>
      </c>
      <c r="F45" s="11">
        <f t="shared" ca="1" si="2"/>
        <v>0</v>
      </c>
      <c r="G45" s="9" t="str">
        <f>INDEX(signals_2019_10!$C$2:$AJ$682, MATCH($B45, signals_2019_10!$B$2:$B$682, 0), MATCH(C$2, signals_2019_10!$C$1:$AJ$1, 0))</f>
        <v>NaT</v>
      </c>
      <c r="H45" s="14">
        <f t="shared" si="3"/>
        <v>0</v>
      </c>
      <c r="I45" s="11">
        <f t="shared" si="4"/>
        <v>0</v>
      </c>
      <c r="J45" s="11">
        <f t="shared" ca="1" si="5"/>
        <v>0</v>
      </c>
    </row>
    <row r="46" spans="1:10" hidden="1" x14ac:dyDescent="0.35">
      <c r="A46" s="20">
        <f>INDEX(signals_2020_05!$A$2:$A$680, MATCH(B46, signals_2020_05!$B$2:$B$680, 0))</f>
        <v>80</v>
      </c>
      <c r="B46" s="2" t="str">
        <f>signals_2020_05!B36</f>
        <v>Blade angle (pitch position) A</v>
      </c>
      <c r="C46" s="9" t="str">
        <f>INDEX(signals_2020_05!$C$2:$AJ$680, MATCH($B46, signals_2020_05!$B$2:$B$680, 0), MATCH(C$2, signals_2020_05!$C$1:$AJ$1, 0))</f>
        <v>NaT</v>
      </c>
      <c r="D46" s="14">
        <f t="shared" si="0"/>
        <v>0</v>
      </c>
      <c r="E46" s="11">
        <f t="shared" si="1"/>
        <v>0</v>
      </c>
      <c r="F46" s="11">
        <f t="shared" ca="1" si="2"/>
        <v>0</v>
      </c>
      <c r="G46" s="9" t="str">
        <f>INDEX(signals_2019_10!$C$2:$AJ$682, MATCH($B46, signals_2019_10!$B$2:$B$682, 0), MATCH(C$2, signals_2019_10!$C$1:$AJ$1, 0))</f>
        <v>NaT</v>
      </c>
      <c r="H46" s="14">
        <f t="shared" si="3"/>
        <v>0</v>
      </c>
      <c r="I46" s="11">
        <f t="shared" si="4"/>
        <v>0</v>
      </c>
      <c r="J46" s="11">
        <f t="shared" ca="1" si="5"/>
        <v>0</v>
      </c>
    </row>
    <row r="47" spans="1:10" hidden="1" x14ac:dyDescent="0.35">
      <c r="A47" s="20">
        <f>INDEX(signals_2020_05!$A$2:$A$680, MATCH(B47, signals_2020_05!$B$2:$B$680, 0))</f>
        <v>3523</v>
      </c>
      <c r="B47" s="2" t="str">
        <f>signals_2020_05!B37</f>
        <v>Blade angle (pitch position) A, Max</v>
      </c>
      <c r="C47" s="9" t="str">
        <f>INDEX(signals_2020_05!$C$2:$AJ$680, MATCH($B47, signals_2020_05!$B$2:$B$680, 0), MATCH(C$2, signals_2020_05!$C$1:$AJ$1, 0))</f>
        <v>NaT</v>
      </c>
      <c r="D47" s="14">
        <f t="shared" si="0"/>
        <v>0</v>
      </c>
      <c r="E47" s="11">
        <f t="shared" si="1"/>
        <v>0</v>
      </c>
      <c r="F47" s="11">
        <f t="shared" ca="1" si="2"/>
        <v>0</v>
      </c>
      <c r="G47" s="9" t="str">
        <f>INDEX(signals_2019_10!$C$2:$AJ$682, MATCH($B47, signals_2019_10!$B$2:$B$682, 0), MATCH(C$2, signals_2019_10!$C$1:$AJ$1, 0))</f>
        <v>NaT</v>
      </c>
      <c r="H47" s="14">
        <f t="shared" si="3"/>
        <v>0</v>
      </c>
      <c r="I47" s="11">
        <f t="shared" si="4"/>
        <v>0</v>
      </c>
      <c r="J47" s="11">
        <f t="shared" ca="1" si="5"/>
        <v>0</v>
      </c>
    </row>
    <row r="48" spans="1:10" hidden="1" x14ac:dyDescent="0.35">
      <c r="A48" s="20">
        <f>INDEX(signals_2020_05!$A$2:$A$680, MATCH(B48, signals_2020_05!$B$2:$B$680, 0))</f>
        <v>3524</v>
      </c>
      <c r="B48" s="2" t="str">
        <f>signals_2020_05!B38</f>
        <v>Blade angle (pitch position) A, Min</v>
      </c>
      <c r="C48" s="9" t="str">
        <f>INDEX(signals_2020_05!$C$2:$AJ$680, MATCH($B48, signals_2020_05!$B$2:$B$680, 0), MATCH(C$2, signals_2020_05!$C$1:$AJ$1, 0))</f>
        <v>NaT</v>
      </c>
      <c r="D48" s="14">
        <f t="shared" si="0"/>
        <v>0</v>
      </c>
      <c r="E48" s="11">
        <f t="shared" si="1"/>
        <v>0</v>
      </c>
      <c r="F48" s="11">
        <f t="shared" ca="1" si="2"/>
        <v>0</v>
      </c>
      <c r="G48" s="9" t="str">
        <f>INDEX(signals_2019_10!$C$2:$AJ$682, MATCH($B48, signals_2019_10!$B$2:$B$682, 0), MATCH(C$2, signals_2019_10!$C$1:$AJ$1, 0))</f>
        <v>NaT</v>
      </c>
      <c r="H48" s="14">
        <f t="shared" si="3"/>
        <v>0</v>
      </c>
      <c r="I48" s="11">
        <f t="shared" si="4"/>
        <v>0</v>
      </c>
      <c r="J48" s="11">
        <f t="shared" ca="1" si="5"/>
        <v>0</v>
      </c>
    </row>
    <row r="49" spans="1:10" hidden="1" x14ac:dyDescent="0.35">
      <c r="A49" s="20">
        <f>INDEX(signals_2020_05!$A$2:$A$680, MATCH(B49, signals_2020_05!$B$2:$B$680, 0))</f>
        <v>3525</v>
      </c>
      <c r="B49" s="2" t="str">
        <f>signals_2020_05!B39</f>
        <v>Blade angle (pitch position) A, Standard deviation</v>
      </c>
      <c r="C49" s="9" t="str">
        <f>INDEX(signals_2020_05!$C$2:$AJ$680, MATCH($B49, signals_2020_05!$B$2:$B$680, 0), MATCH(C$2, signals_2020_05!$C$1:$AJ$1, 0))</f>
        <v>NaT</v>
      </c>
      <c r="D49" s="14">
        <f t="shared" si="0"/>
        <v>0</v>
      </c>
      <c r="E49" s="11">
        <f t="shared" si="1"/>
        <v>0</v>
      </c>
      <c r="F49" s="11">
        <f t="shared" ca="1" si="2"/>
        <v>0</v>
      </c>
      <c r="G49" s="9" t="str">
        <f>INDEX(signals_2019_10!$C$2:$AJ$682, MATCH($B49, signals_2019_10!$B$2:$B$682, 0), MATCH(C$2, signals_2019_10!$C$1:$AJ$1, 0))</f>
        <v>NaT</v>
      </c>
      <c r="H49" s="14">
        <f t="shared" si="3"/>
        <v>0</v>
      </c>
      <c r="I49" s="11">
        <f t="shared" si="4"/>
        <v>0</v>
      </c>
      <c r="J49" s="11">
        <f t="shared" ca="1" si="5"/>
        <v>0</v>
      </c>
    </row>
    <row r="50" spans="1:10" hidden="1" x14ac:dyDescent="0.35">
      <c r="A50" s="20">
        <f>INDEX(signals_2020_05!$A$2:$A$680, MATCH(B50, signals_2020_05!$B$2:$B$680, 0))</f>
        <v>81</v>
      </c>
      <c r="B50" s="2" t="str">
        <f>signals_2020_05!B40</f>
        <v>Blade angle (pitch position) B</v>
      </c>
      <c r="C50" s="9" t="str">
        <f>INDEX(signals_2020_05!$C$2:$AJ$680, MATCH($B50, signals_2020_05!$B$2:$B$680, 0), MATCH(C$2, signals_2020_05!$C$1:$AJ$1, 0))</f>
        <v>NaT</v>
      </c>
      <c r="D50" s="14">
        <f t="shared" si="0"/>
        <v>0</v>
      </c>
      <c r="E50" s="11">
        <f t="shared" si="1"/>
        <v>0</v>
      </c>
      <c r="F50" s="11">
        <f t="shared" ca="1" si="2"/>
        <v>0</v>
      </c>
      <c r="G50" s="9" t="str">
        <f>INDEX(signals_2019_10!$C$2:$AJ$682, MATCH($B50, signals_2019_10!$B$2:$B$682, 0), MATCH(C$2, signals_2019_10!$C$1:$AJ$1, 0))</f>
        <v>NaT</v>
      </c>
      <c r="H50" s="14">
        <f t="shared" si="3"/>
        <v>0</v>
      </c>
      <c r="I50" s="11">
        <f t="shared" si="4"/>
        <v>0</v>
      </c>
      <c r="J50" s="11">
        <f t="shared" ca="1" si="5"/>
        <v>0</v>
      </c>
    </row>
    <row r="51" spans="1:10" hidden="1" x14ac:dyDescent="0.35">
      <c r="A51" s="20">
        <f>INDEX(signals_2020_05!$A$2:$A$680, MATCH(B51, signals_2020_05!$B$2:$B$680, 0))</f>
        <v>3526</v>
      </c>
      <c r="B51" s="2" t="str">
        <f>signals_2020_05!B41</f>
        <v>Blade angle (pitch position) B, Max</v>
      </c>
      <c r="C51" s="9" t="str">
        <f>INDEX(signals_2020_05!$C$2:$AJ$680, MATCH($B51, signals_2020_05!$B$2:$B$680, 0), MATCH(C$2, signals_2020_05!$C$1:$AJ$1, 0))</f>
        <v>NaT</v>
      </c>
      <c r="D51" s="14">
        <f t="shared" si="0"/>
        <v>0</v>
      </c>
      <c r="E51" s="11">
        <f t="shared" si="1"/>
        <v>0</v>
      </c>
      <c r="F51" s="11">
        <f t="shared" ca="1" si="2"/>
        <v>0</v>
      </c>
      <c r="G51" s="9" t="str">
        <f>INDEX(signals_2019_10!$C$2:$AJ$682, MATCH($B51, signals_2019_10!$B$2:$B$682, 0), MATCH(C$2, signals_2019_10!$C$1:$AJ$1, 0))</f>
        <v>NaT</v>
      </c>
      <c r="H51" s="14">
        <f t="shared" si="3"/>
        <v>0</v>
      </c>
      <c r="I51" s="11">
        <f t="shared" si="4"/>
        <v>0</v>
      </c>
      <c r="J51" s="11">
        <f t="shared" ca="1" si="5"/>
        <v>0</v>
      </c>
    </row>
    <row r="52" spans="1:10" hidden="1" x14ac:dyDescent="0.35">
      <c r="A52" s="20">
        <f>INDEX(signals_2020_05!$A$2:$A$680, MATCH(B52, signals_2020_05!$B$2:$B$680, 0))</f>
        <v>3527</v>
      </c>
      <c r="B52" s="2" t="str">
        <f>signals_2020_05!B42</f>
        <v>Blade angle (pitch position) B, Min</v>
      </c>
      <c r="C52" s="9" t="str">
        <f>INDEX(signals_2020_05!$C$2:$AJ$680, MATCH($B52, signals_2020_05!$B$2:$B$680, 0), MATCH(C$2, signals_2020_05!$C$1:$AJ$1, 0))</f>
        <v>NaT</v>
      </c>
      <c r="D52" s="14">
        <f t="shared" si="0"/>
        <v>0</v>
      </c>
      <c r="E52" s="11">
        <f t="shared" si="1"/>
        <v>0</v>
      </c>
      <c r="F52" s="11">
        <f t="shared" ca="1" si="2"/>
        <v>0</v>
      </c>
      <c r="G52" s="9" t="str">
        <f>INDEX(signals_2019_10!$C$2:$AJ$682, MATCH($B52, signals_2019_10!$B$2:$B$682, 0), MATCH(C$2, signals_2019_10!$C$1:$AJ$1, 0))</f>
        <v>NaT</v>
      </c>
      <c r="H52" s="14">
        <f t="shared" si="3"/>
        <v>0</v>
      </c>
      <c r="I52" s="11">
        <f t="shared" si="4"/>
        <v>0</v>
      </c>
      <c r="J52" s="11">
        <f t="shared" ca="1" si="5"/>
        <v>0</v>
      </c>
    </row>
    <row r="53" spans="1:10" hidden="1" x14ac:dyDescent="0.35">
      <c r="A53" s="20">
        <f>INDEX(signals_2020_05!$A$2:$A$680, MATCH(B53, signals_2020_05!$B$2:$B$680, 0))</f>
        <v>3528</v>
      </c>
      <c r="B53" s="2" t="str">
        <f>signals_2020_05!B43</f>
        <v>Blade angle (pitch position) B, Standard deviation</v>
      </c>
      <c r="C53" s="9" t="str">
        <f>INDEX(signals_2020_05!$C$2:$AJ$680, MATCH($B53, signals_2020_05!$B$2:$B$680, 0), MATCH(C$2, signals_2020_05!$C$1:$AJ$1, 0))</f>
        <v>NaT</v>
      </c>
      <c r="D53" s="14">
        <f t="shared" si="0"/>
        <v>0</v>
      </c>
      <c r="E53" s="11">
        <f t="shared" si="1"/>
        <v>0</v>
      </c>
      <c r="F53" s="11">
        <f t="shared" ca="1" si="2"/>
        <v>0</v>
      </c>
      <c r="G53" s="9" t="str">
        <f>INDEX(signals_2019_10!$C$2:$AJ$682, MATCH($B53, signals_2019_10!$B$2:$B$682, 0), MATCH(C$2, signals_2019_10!$C$1:$AJ$1, 0))</f>
        <v>NaT</v>
      </c>
      <c r="H53" s="14">
        <f t="shared" si="3"/>
        <v>0</v>
      </c>
      <c r="I53" s="11">
        <f t="shared" si="4"/>
        <v>0</v>
      </c>
      <c r="J53" s="11">
        <f t="shared" ca="1" si="5"/>
        <v>0</v>
      </c>
    </row>
    <row r="54" spans="1:10" hidden="1" x14ac:dyDescent="0.35">
      <c r="A54" s="20">
        <f>INDEX(signals_2020_05!$A$2:$A$680, MATCH(B54, signals_2020_05!$B$2:$B$680, 0))</f>
        <v>82</v>
      </c>
      <c r="B54" s="2" t="str">
        <f>signals_2020_05!B44</f>
        <v>Blade angle (pitch position) C</v>
      </c>
      <c r="C54" s="9" t="str">
        <f>INDEX(signals_2020_05!$C$2:$AJ$680, MATCH($B54, signals_2020_05!$B$2:$B$680, 0), MATCH(C$2, signals_2020_05!$C$1:$AJ$1, 0))</f>
        <v>NaT</v>
      </c>
      <c r="D54" s="14">
        <f t="shared" si="0"/>
        <v>0</v>
      </c>
      <c r="E54" s="11">
        <f t="shared" si="1"/>
        <v>0</v>
      </c>
      <c r="F54" s="11">
        <f t="shared" ca="1" si="2"/>
        <v>0</v>
      </c>
      <c r="G54" s="9" t="str">
        <f>INDEX(signals_2019_10!$C$2:$AJ$682, MATCH($B54, signals_2019_10!$B$2:$B$682, 0), MATCH(C$2, signals_2019_10!$C$1:$AJ$1, 0))</f>
        <v>NaT</v>
      </c>
      <c r="H54" s="14">
        <f t="shared" si="3"/>
        <v>0</v>
      </c>
      <c r="I54" s="11">
        <f t="shared" si="4"/>
        <v>0</v>
      </c>
      <c r="J54" s="11">
        <f t="shared" ca="1" si="5"/>
        <v>0</v>
      </c>
    </row>
    <row r="55" spans="1:10" hidden="1" x14ac:dyDescent="0.35">
      <c r="A55" s="20">
        <f>INDEX(signals_2020_05!$A$2:$A$680, MATCH(B55, signals_2020_05!$B$2:$B$680, 0))</f>
        <v>3529</v>
      </c>
      <c r="B55" s="2" t="str">
        <f>signals_2020_05!B45</f>
        <v>Blade angle (pitch position) C, Max</v>
      </c>
      <c r="C55" s="9" t="str">
        <f>INDEX(signals_2020_05!$C$2:$AJ$680, MATCH($B55, signals_2020_05!$B$2:$B$680, 0), MATCH(C$2, signals_2020_05!$C$1:$AJ$1, 0))</f>
        <v>NaT</v>
      </c>
      <c r="D55" s="14">
        <f t="shared" si="0"/>
        <v>0</v>
      </c>
      <c r="E55" s="11">
        <f t="shared" si="1"/>
        <v>0</v>
      </c>
      <c r="F55" s="11">
        <f t="shared" ca="1" si="2"/>
        <v>0</v>
      </c>
      <c r="G55" s="9" t="str">
        <f>INDEX(signals_2019_10!$C$2:$AJ$682, MATCH($B55, signals_2019_10!$B$2:$B$682, 0), MATCH(C$2, signals_2019_10!$C$1:$AJ$1, 0))</f>
        <v>NaT</v>
      </c>
      <c r="H55" s="14">
        <f t="shared" si="3"/>
        <v>0</v>
      </c>
      <c r="I55" s="11">
        <f t="shared" si="4"/>
        <v>0</v>
      </c>
      <c r="J55" s="11">
        <f t="shared" ca="1" si="5"/>
        <v>0</v>
      </c>
    </row>
    <row r="56" spans="1:10" hidden="1" x14ac:dyDescent="0.35">
      <c r="A56" s="20">
        <f>INDEX(signals_2020_05!$A$2:$A$680, MATCH(B56, signals_2020_05!$B$2:$B$680, 0))</f>
        <v>3530</v>
      </c>
      <c r="B56" s="2" t="str">
        <f>signals_2020_05!B46</f>
        <v>Blade angle (pitch position) C, Min</v>
      </c>
      <c r="C56" s="9" t="str">
        <f>INDEX(signals_2020_05!$C$2:$AJ$680, MATCH($B56, signals_2020_05!$B$2:$B$680, 0), MATCH(C$2, signals_2020_05!$C$1:$AJ$1, 0))</f>
        <v>NaT</v>
      </c>
      <c r="D56" s="14">
        <f t="shared" si="0"/>
        <v>0</v>
      </c>
      <c r="E56" s="11">
        <f t="shared" si="1"/>
        <v>0</v>
      </c>
      <c r="F56" s="11">
        <f t="shared" ca="1" si="2"/>
        <v>0</v>
      </c>
      <c r="G56" s="9" t="str">
        <f>INDEX(signals_2019_10!$C$2:$AJ$682, MATCH($B56, signals_2019_10!$B$2:$B$682, 0), MATCH(C$2, signals_2019_10!$C$1:$AJ$1, 0))</f>
        <v>NaT</v>
      </c>
      <c r="H56" s="14">
        <f t="shared" si="3"/>
        <v>0</v>
      </c>
      <c r="I56" s="11">
        <f t="shared" si="4"/>
        <v>0</v>
      </c>
      <c r="J56" s="11">
        <f t="shared" ca="1" si="5"/>
        <v>0</v>
      </c>
    </row>
    <row r="57" spans="1:10" hidden="1" x14ac:dyDescent="0.35">
      <c r="A57" s="20">
        <f>INDEX(signals_2020_05!$A$2:$A$680, MATCH(B57, signals_2020_05!$B$2:$B$680, 0))</f>
        <v>3531</v>
      </c>
      <c r="B57" s="2" t="str">
        <f>signals_2020_05!B47</f>
        <v>Blade angle (pitch position) C, Standard deviation</v>
      </c>
      <c r="C57" s="9" t="str">
        <f>INDEX(signals_2020_05!$C$2:$AJ$680, MATCH($B57, signals_2020_05!$B$2:$B$680, 0), MATCH(C$2, signals_2020_05!$C$1:$AJ$1, 0))</f>
        <v>NaT</v>
      </c>
      <c r="D57" s="14">
        <f t="shared" si="0"/>
        <v>0</v>
      </c>
      <c r="E57" s="11">
        <f t="shared" si="1"/>
        <v>0</v>
      </c>
      <c r="F57" s="11">
        <f t="shared" ca="1" si="2"/>
        <v>0</v>
      </c>
      <c r="G57" s="9" t="str">
        <f>INDEX(signals_2019_10!$C$2:$AJ$682, MATCH($B57, signals_2019_10!$B$2:$B$682, 0), MATCH(C$2, signals_2019_10!$C$1:$AJ$1, 0))</f>
        <v>NaT</v>
      </c>
      <c r="H57" s="14">
        <f t="shared" si="3"/>
        <v>0</v>
      </c>
      <c r="I57" s="11">
        <f t="shared" si="4"/>
        <v>0</v>
      </c>
      <c r="J57" s="11">
        <f t="shared" ca="1" si="5"/>
        <v>0</v>
      </c>
    </row>
    <row r="58" spans="1:10" hidden="1" x14ac:dyDescent="0.35">
      <c r="A58" s="20">
        <f>INDEX(signals_2020_05!$A$2:$A$680, MATCH(B58, signals_2020_05!$B$2:$B$680, 0))</f>
        <v>918</v>
      </c>
      <c r="B58" s="2" t="str">
        <f>signals_2020_05!B48</f>
        <v>Blade angle (pitch position), Max</v>
      </c>
      <c r="C58" s="9" t="str">
        <f>INDEX(signals_2020_05!$C$2:$AJ$680, MATCH($B58, signals_2020_05!$B$2:$B$680, 0), MATCH(C$2, signals_2020_05!$C$1:$AJ$1, 0))</f>
        <v>NaT</v>
      </c>
      <c r="D58" s="14">
        <f t="shared" si="0"/>
        <v>0</v>
      </c>
      <c r="E58" s="11">
        <f t="shared" si="1"/>
        <v>0</v>
      </c>
      <c r="F58" s="11">
        <f t="shared" ca="1" si="2"/>
        <v>0</v>
      </c>
      <c r="G58" s="9" t="e">
        <f>INDEX(signals_2019_10!$C$2:$AJ$682, MATCH($B58, signals_2019_10!$B$2:$B$682, 0), MATCH(C$2, signals_2019_10!$C$1:$AJ$1, 0))</f>
        <v>#N/A</v>
      </c>
      <c r="H58" s="14">
        <f t="shared" si="3"/>
        <v>0</v>
      </c>
      <c r="I58" s="11">
        <f t="shared" si="4"/>
        <v>0</v>
      </c>
      <c r="J58" s="11">
        <f t="shared" ca="1" si="5"/>
        <v>0</v>
      </c>
    </row>
    <row r="59" spans="1:10" hidden="1" x14ac:dyDescent="0.35">
      <c r="A59" s="20">
        <f>INDEX(signals_2020_05!$A$2:$A$680, MATCH(B59, signals_2020_05!$B$2:$B$680, 0))</f>
        <v>919</v>
      </c>
      <c r="B59" s="2" t="str">
        <f>signals_2020_05!B49</f>
        <v>Blade angle (pitch position), Min</v>
      </c>
      <c r="C59" s="9" t="str">
        <f>INDEX(signals_2020_05!$C$2:$AJ$680, MATCH($B59, signals_2020_05!$B$2:$B$680, 0), MATCH(C$2, signals_2020_05!$C$1:$AJ$1, 0))</f>
        <v>NaT</v>
      </c>
      <c r="D59" s="14">
        <f t="shared" si="0"/>
        <v>0</v>
      </c>
      <c r="E59" s="11">
        <f t="shared" si="1"/>
        <v>0</v>
      </c>
      <c r="F59" s="11">
        <f t="shared" ca="1" si="2"/>
        <v>0</v>
      </c>
      <c r="G59" s="9" t="e">
        <f>INDEX(signals_2019_10!$C$2:$AJ$682, MATCH($B59, signals_2019_10!$B$2:$B$682, 0), MATCH(C$2, signals_2019_10!$C$1:$AJ$1, 0))</f>
        <v>#N/A</v>
      </c>
      <c r="H59" s="14">
        <f t="shared" si="3"/>
        <v>0</v>
      </c>
      <c r="I59" s="11">
        <f t="shared" si="4"/>
        <v>0</v>
      </c>
      <c r="J59" s="11">
        <f t="shared" ca="1" si="5"/>
        <v>0</v>
      </c>
    </row>
    <row r="60" spans="1:10" hidden="1" x14ac:dyDescent="0.35">
      <c r="A60" s="20">
        <f>INDEX(signals_2020_05!$A$2:$A$680, MATCH(B60, signals_2020_05!$B$2:$B$680, 0))</f>
        <v>920</v>
      </c>
      <c r="B60" s="2" t="str">
        <f>signals_2020_05!B50</f>
        <v>Blade angle (pitch position), Standard deviation</v>
      </c>
      <c r="C60" s="9" t="str">
        <f>INDEX(signals_2020_05!$C$2:$AJ$680, MATCH($B60, signals_2020_05!$B$2:$B$680, 0), MATCH(C$2, signals_2020_05!$C$1:$AJ$1, 0))</f>
        <v>NaT</v>
      </c>
      <c r="D60" s="14">
        <f t="shared" si="0"/>
        <v>0</v>
      </c>
      <c r="E60" s="11">
        <f t="shared" si="1"/>
        <v>0</v>
      </c>
      <c r="F60" s="11">
        <f t="shared" ca="1" si="2"/>
        <v>0</v>
      </c>
      <c r="G60" s="9" t="e">
        <f>INDEX(signals_2019_10!$C$2:$AJ$682, MATCH($B60, signals_2019_10!$B$2:$B$682, 0), MATCH(C$2, signals_2019_10!$C$1:$AJ$1, 0))</f>
        <v>#N/A</v>
      </c>
      <c r="H60" s="14">
        <f t="shared" si="3"/>
        <v>0</v>
      </c>
      <c r="I60" s="11">
        <f t="shared" si="4"/>
        <v>0</v>
      </c>
      <c r="J60" s="11">
        <f t="shared" ca="1" si="5"/>
        <v>0</v>
      </c>
    </row>
    <row r="61" spans="1:10" hidden="1" x14ac:dyDescent="0.35">
      <c r="A61" s="20">
        <f>INDEX(signals_2020_05!$A$2:$A$680, MATCH(B61, signals_2020_05!$B$2:$B$680, 0))</f>
        <v>15</v>
      </c>
      <c r="B61" s="2" t="str">
        <f>signals_2020_05!B51</f>
        <v>Blade B pitch control box</v>
      </c>
      <c r="C61" s="9" t="str">
        <f>INDEX(signals_2020_05!$C$2:$AJ$680, MATCH($B61, signals_2020_05!$B$2:$B$680, 0), MATCH(C$2, signals_2020_05!$C$1:$AJ$1, 0))</f>
        <v>NaT</v>
      </c>
      <c r="D61" s="14">
        <f t="shared" si="0"/>
        <v>0</v>
      </c>
      <c r="E61" s="11">
        <f t="shared" si="1"/>
        <v>0</v>
      </c>
      <c r="F61" s="11">
        <f t="shared" ca="1" si="2"/>
        <v>0</v>
      </c>
      <c r="G61" s="9" t="str">
        <f>INDEX(signals_2019_10!$C$2:$AJ$682, MATCH($B61, signals_2019_10!$B$2:$B$682, 0), MATCH(C$2, signals_2019_10!$C$1:$AJ$1, 0))</f>
        <v>NaT</v>
      </c>
      <c r="H61" s="14">
        <f t="shared" si="3"/>
        <v>0</v>
      </c>
      <c r="I61" s="11">
        <f t="shared" si="4"/>
        <v>0</v>
      </c>
      <c r="J61" s="11">
        <f t="shared" ca="1" si="5"/>
        <v>0</v>
      </c>
    </row>
    <row r="62" spans="1:10" hidden="1" x14ac:dyDescent="0.35">
      <c r="A62" s="20">
        <f>INDEX(signals_2020_05!$A$2:$A$680, MATCH(B62, signals_2020_05!$B$2:$B$680, 0))</f>
        <v>3055</v>
      </c>
      <c r="B62" s="2" t="str">
        <f>signals_2020_05!B52</f>
        <v>Blade B pitch control box, Max</v>
      </c>
      <c r="C62" s="9" t="str">
        <f>INDEX(signals_2020_05!$C$2:$AJ$680, MATCH($B62, signals_2020_05!$B$2:$B$680, 0), MATCH(C$2, signals_2020_05!$C$1:$AJ$1, 0))</f>
        <v>NaT</v>
      </c>
      <c r="D62" s="14">
        <f t="shared" si="0"/>
        <v>0</v>
      </c>
      <c r="E62" s="11">
        <f t="shared" si="1"/>
        <v>0</v>
      </c>
      <c r="F62" s="11">
        <f t="shared" ca="1" si="2"/>
        <v>0</v>
      </c>
      <c r="G62" s="9" t="e">
        <f>INDEX(signals_2019_10!$C$2:$AJ$682, MATCH($B62, signals_2019_10!$B$2:$B$682, 0), MATCH(C$2, signals_2019_10!$C$1:$AJ$1, 0))</f>
        <v>#N/A</v>
      </c>
      <c r="H62" s="14">
        <f t="shared" si="3"/>
        <v>0</v>
      </c>
      <c r="I62" s="11">
        <f t="shared" si="4"/>
        <v>0</v>
      </c>
      <c r="J62" s="11">
        <f t="shared" ca="1" si="5"/>
        <v>0</v>
      </c>
    </row>
    <row r="63" spans="1:10" hidden="1" x14ac:dyDescent="0.35">
      <c r="A63" s="20">
        <f>INDEX(signals_2020_05!$A$2:$A$680, MATCH(B63, signals_2020_05!$B$2:$B$680, 0))</f>
        <v>3056</v>
      </c>
      <c r="B63" s="2" t="str">
        <f>signals_2020_05!B53</f>
        <v>Blade B pitch control box, Min</v>
      </c>
      <c r="C63" s="9" t="str">
        <f>INDEX(signals_2020_05!$C$2:$AJ$680, MATCH($B63, signals_2020_05!$B$2:$B$680, 0), MATCH(C$2, signals_2020_05!$C$1:$AJ$1, 0))</f>
        <v>NaT</v>
      </c>
      <c r="D63" s="14">
        <f t="shared" si="0"/>
        <v>0</v>
      </c>
      <c r="E63" s="11">
        <f t="shared" si="1"/>
        <v>0</v>
      </c>
      <c r="F63" s="11">
        <f t="shared" ca="1" si="2"/>
        <v>0</v>
      </c>
      <c r="G63" s="9" t="e">
        <f>INDEX(signals_2019_10!$C$2:$AJ$682, MATCH($B63, signals_2019_10!$B$2:$B$682, 0), MATCH(C$2, signals_2019_10!$C$1:$AJ$1, 0))</f>
        <v>#N/A</v>
      </c>
      <c r="H63" s="14">
        <f t="shared" si="3"/>
        <v>0</v>
      </c>
      <c r="I63" s="11">
        <f t="shared" si="4"/>
        <v>0</v>
      </c>
      <c r="J63" s="11">
        <f t="shared" ca="1" si="5"/>
        <v>0</v>
      </c>
    </row>
    <row r="64" spans="1:10" hidden="1" x14ac:dyDescent="0.35">
      <c r="A64" s="20">
        <f>INDEX(signals_2020_05!$A$2:$A$680, MATCH(B64, signals_2020_05!$B$2:$B$680, 0))</f>
        <v>3057</v>
      </c>
      <c r="B64" s="2" t="str">
        <f>signals_2020_05!B54</f>
        <v>Blade B pitch control box, StdDev</v>
      </c>
      <c r="C64" s="9" t="str">
        <f>INDEX(signals_2020_05!$C$2:$AJ$680, MATCH($B64, signals_2020_05!$B$2:$B$680, 0), MATCH(C$2, signals_2020_05!$C$1:$AJ$1, 0))</f>
        <v>NaT</v>
      </c>
      <c r="D64" s="14">
        <f t="shared" si="0"/>
        <v>0</v>
      </c>
      <c r="E64" s="11">
        <f t="shared" si="1"/>
        <v>0</v>
      </c>
      <c r="F64" s="11">
        <f t="shared" ca="1" si="2"/>
        <v>0</v>
      </c>
      <c r="G64" s="9" t="e">
        <f>INDEX(signals_2019_10!$C$2:$AJ$682, MATCH($B64, signals_2019_10!$B$2:$B$682, 0), MATCH(C$2, signals_2019_10!$C$1:$AJ$1, 0))</f>
        <v>#N/A</v>
      </c>
      <c r="H64" s="14">
        <f t="shared" si="3"/>
        <v>0</v>
      </c>
      <c r="I64" s="11">
        <f t="shared" si="4"/>
        <v>0</v>
      </c>
      <c r="J64" s="11">
        <f t="shared" ca="1" si="5"/>
        <v>0</v>
      </c>
    </row>
    <row r="65" spans="1:10" hidden="1" x14ac:dyDescent="0.35">
      <c r="A65" s="20">
        <f>INDEX(signals_2020_05!$A$2:$A$680, MATCH(B65, signals_2020_05!$B$2:$B$680, 0))</f>
        <v>12</v>
      </c>
      <c r="B65" s="2" t="str">
        <f>signals_2020_05!B55</f>
        <v>Blade B pitch heat sink</v>
      </c>
      <c r="C65" s="9" t="str">
        <f>INDEX(signals_2020_05!$C$2:$AJ$680, MATCH($B65, signals_2020_05!$B$2:$B$680, 0), MATCH(C$2, signals_2020_05!$C$1:$AJ$1, 0))</f>
        <v>NaT</v>
      </c>
      <c r="D65" s="14">
        <f t="shared" si="0"/>
        <v>0</v>
      </c>
      <c r="E65" s="11">
        <f t="shared" si="1"/>
        <v>0</v>
      </c>
      <c r="F65" s="11">
        <f t="shared" ca="1" si="2"/>
        <v>0</v>
      </c>
      <c r="G65" s="9" t="str">
        <f>INDEX(signals_2019_10!$C$2:$AJ$682, MATCH($B65, signals_2019_10!$B$2:$B$682, 0), MATCH(C$2, signals_2019_10!$C$1:$AJ$1, 0))</f>
        <v>NaT</v>
      </c>
      <c r="H65" s="14">
        <f t="shared" si="3"/>
        <v>0</v>
      </c>
      <c r="I65" s="11">
        <f t="shared" si="4"/>
        <v>0</v>
      </c>
      <c r="J65" s="11">
        <f t="shared" ca="1" si="5"/>
        <v>0</v>
      </c>
    </row>
    <row r="66" spans="1:10" hidden="1" x14ac:dyDescent="0.35">
      <c r="A66" s="20">
        <f>INDEX(signals_2020_05!$A$2:$A$680, MATCH(B66, signals_2020_05!$B$2:$B$680, 0))</f>
        <v>4395</v>
      </c>
      <c r="B66" s="2" t="str">
        <f>signals_2020_05!B56</f>
        <v>Blade B pitch heat sink, Max</v>
      </c>
      <c r="C66" s="9" t="str">
        <f>INDEX(signals_2020_05!$C$2:$AJ$680, MATCH($B66, signals_2020_05!$B$2:$B$680, 0), MATCH(C$2, signals_2020_05!$C$1:$AJ$1, 0))</f>
        <v>NaT</v>
      </c>
      <c r="D66" s="14">
        <f t="shared" si="0"/>
        <v>0</v>
      </c>
      <c r="E66" s="11">
        <f t="shared" si="1"/>
        <v>0</v>
      </c>
      <c r="F66" s="11">
        <f t="shared" ca="1" si="2"/>
        <v>0</v>
      </c>
      <c r="G66" s="9" t="e">
        <f>INDEX(signals_2019_10!$C$2:$AJ$682, MATCH($B66, signals_2019_10!$B$2:$B$682, 0), MATCH(C$2, signals_2019_10!$C$1:$AJ$1, 0))</f>
        <v>#N/A</v>
      </c>
      <c r="H66" s="14">
        <f t="shared" si="3"/>
        <v>0</v>
      </c>
      <c r="I66" s="11">
        <f t="shared" si="4"/>
        <v>0</v>
      </c>
      <c r="J66" s="11">
        <f t="shared" ca="1" si="5"/>
        <v>0</v>
      </c>
    </row>
    <row r="67" spans="1:10" hidden="1" x14ac:dyDescent="0.35">
      <c r="A67" s="20">
        <f>INDEX(signals_2020_05!$A$2:$A$680, MATCH(B67, signals_2020_05!$B$2:$B$680, 0))</f>
        <v>4396</v>
      </c>
      <c r="B67" s="2" t="str">
        <f>signals_2020_05!B57</f>
        <v>Blade B pitch heat sink, Min</v>
      </c>
      <c r="C67" s="9" t="str">
        <f>INDEX(signals_2020_05!$C$2:$AJ$680, MATCH($B67, signals_2020_05!$B$2:$B$680, 0), MATCH(C$2, signals_2020_05!$C$1:$AJ$1, 0))</f>
        <v>NaT</v>
      </c>
      <c r="D67" s="14">
        <f t="shared" si="0"/>
        <v>0</v>
      </c>
      <c r="E67" s="11">
        <f t="shared" si="1"/>
        <v>0</v>
      </c>
      <c r="F67" s="11">
        <f t="shared" ca="1" si="2"/>
        <v>0</v>
      </c>
      <c r="G67" s="9" t="e">
        <f>INDEX(signals_2019_10!$C$2:$AJ$682, MATCH($B67, signals_2019_10!$B$2:$B$682, 0), MATCH(C$2, signals_2019_10!$C$1:$AJ$1, 0))</f>
        <v>#N/A</v>
      </c>
      <c r="H67" s="14">
        <f t="shared" si="3"/>
        <v>0</v>
      </c>
      <c r="I67" s="11">
        <f t="shared" si="4"/>
        <v>0</v>
      </c>
      <c r="J67" s="11">
        <f t="shared" ca="1" si="5"/>
        <v>0</v>
      </c>
    </row>
    <row r="68" spans="1:10" hidden="1" x14ac:dyDescent="0.35">
      <c r="A68" s="20">
        <f>INDEX(signals_2020_05!$A$2:$A$680, MATCH(B68, signals_2020_05!$B$2:$B$680, 0))</f>
        <v>4397</v>
      </c>
      <c r="B68" s="2" t="str">
        <f>signals_2020_05!B58</f>
        <v>Blade B pitch heat sink, StdDev</v>
      </c>
      <c r="C68" s="9" t="str">
        <f>INDEX(signals_2020_05!$C$2:$AJ$680, MATCH($B68, signals_2020_05!$B$2:$B$680, 0), MATCH(C$2, signals_2020_05!$C$1:$AJ$1, 0))</f>
        <v>NaT</v>
      </c>
      <c r="D68" s="14">
        <f t="shared" si="0"/>
        <v>0</v>
      </c>
      <c r="E68" s="11">
        <f t="shared" si="1"/>
        <v>0</v>
      </c>
      <c r="F68" s="11">
        <f t="shared" ca="1" si="2"/>
        <v>0</v>
      </c>
      <c r="G68" s="9" t="e">
        <f>INDEX(signals_2019_10!$C$2:$AJ$682, MATCH($B68, signals_2019_10!$B$2:$B$682, 0), MATCH(C$2, signals_2019_10!$C$1:$AJ$1, 0))</f>
        <v>#N/A</v>
      </c>
      <c r="H68" s="14">
        <f t="shared" si="3"/>
        <v>0</v>
      </c>
      <c r="I68" s="11">
        <f t="shared" si="4"/>
        <v>0</v>
      </c>
      <c r="J68" s="11">
        <f t="shared" ca="1" si="5"/>
        <v>0</v>
      </c>
    </row>
    <row r="69" spans="1:10" hidden="1" x14ac:dyDescent="0.35">
      <c r="A69" s="20">
        <f>INDEX(signals_2020_05!$A$2:$A$680, MATCH(B69, signals_2020_05!$B$2:$B$680, 0))</f>
        <v>18</v>
      </c>
      <c r="B69" s="2" t="str">
        <f>signals_2020_05!B59</f>
        <v>Blade B temperature</v>
      </c>
      <c r="C69" s="9" t="str">
        <f>INDEX(signals_2020_05!$C$2:$AJ$680, MATCH($B69, signals_2020_05!$B$2:$B$680, 0), MATCH(C$2, signals_2020_05!$C$1:$AJ$1, 0))</f>
        <v>NaT</v>
      </c>
      <c r="D69" s="14">
        <f t="shared" si="0"/>
        <v>0</v>
      </c>
      <c r="E69" s="11">
        <f t="shared" si="1"/>
        <v>0</v>
      </c>
      <c r="F69" s="11">
        <f t="shared" ca="1" si="2"/>
        <v>0</v>
      </c>
      <c r="G69" s="9" t="str">
        <f>INDEX(signals_2019_10!$C$2:$AJ$682, MATCH($B69, signals_2019_10!$B$2:$B$682, 0), MATCH(C$2, signals_2019_10!$C$1:$AJ$1, 0))</f>
        <v>NaT</v>
      </c>
      <c r="H69" s="14">
        <f t="shared" si="3"/>
        <v>0</v>
      </c>
      <c r="I69" s="11">
        <f t="shared" si="4"/>
        <v>0</v>
      </c>
      <c r="J69" s="11">
        <f t="shared" ca="1" si="5"/>
        <v>0</v>
      </c>
    </row>
    <row r="70" spans="1:10" hidden="1" x14ac:dyDescent="0.35">
      <c r="A70" s="20">
        <f>INDEX(signals_2020_05!$A$2:$A$680, MATCH(B70, signals_2020_05!$B$2:$B$680, 0))</f>
        <v>4203</v>
      </c>
      <c r="B70" s="2" t="str">
        <f>signals_2020_05!B60</f>
        <v>Blade B temperature, Max</v>
      </c>
      <c r="C70" s="9" t="str">
        <f>INDEX(signals_2020_05!$C$2:$AJ$680, MATCH($B70, signals_2020_05!$B$2:$B$680, 0), MATCH(C$2, signals_2020_05!$C$1:$AJ$1, 0))</f>
        <v>NaT</v>
      </c>
      <c r="D70" s="14">
        <f t="shared" si="0"/>
        <v>0</v>
      </c>
      <c r="E70" s="11">
        <f t="shared" si="1"/>
        <v>0</v>
      </c>
      <c r="F70" s="11">
        <f t="shared" ca="1" si="2"/>
        <v>0</v>
      </c>
      <c r="G70" s="9" t="e">
        <f>INDEX(signals_2019_10!$C$2:$AJ$682, MATCH($B70, signals_2019_10!$B$2:$B$682, 0), MATCH(C$2, signals_2019_10!$C$1:$AJ$1, 0))</f>
        <v>#N/A</v>
      </c>
      <c r="H70" s="14">
        <f t="shared" si="3"/>
        <v>0</v>
      </c>
      <c r="I70" s="11">
        <f t="shared" si="4"/>
        <v>0</v>
      </c>
      <c r="J70" s="11">
        <f t="shared" ca="1" si="5"/>
        <v>0</v>
      </c>
    </row>
    <row r="71" spans="1:10" hidden="1" x14ac:dyDescent="0.35">
      <c r="A71" s="20">
        <f>INDEX(signals_2020_05!$A$2:$A$680, MATCH(B71, signals_2020_05!$B$2:$B$680, 0))</f>
        <v>4204</v>
      </c>
      <c r="B71" s="2" t="str">
        <f>signals_2020_05!B61</f>
        <v>Blade B temperature, Min</v>
      </c>
      <c r="C71" s="9" t="str">
        <f>INDEX(signals_2020_05!$C$2:$AJ$680, MATCH($B71, signals_2020_05!$B$2:$B$680, 0), MATCH(C$2, signals_2020_05!$C$1:$AJ$1, 0))</f>
        <v>NaT</v>
      </c>
      <c r="D71" s="14">
        <f t="shared" si="0"/>
        <v>0</v>
      </c>
      <c r="E71" s="11">
        <f t="shared" si="1"/>
        <v>0</v>
      </c>
      <c r="F71" s="11">
        <f t="shared" ca="1" si="2"/>
        <v>0</v>
      </c>
      <c r="G71" s="9" t="e">
        <f>INDEX(signals_2019_10!$C$2:$AJ$682, MATCH($B71, signals_2019_10!$B$2:$B$682, 0), MATCH(C$2, signals_2019_10!$C$1:$AJ$1, 0))</f>
        <v>#N/A</v>
      </c>
      <c r="H71" s="14">
        <f t="shared" si="3"/>
        <v>0</v>
      </c>
      <c r="I71" s="11">
        <f t="shared" si="4"/>
        <v>0</v>
      </c>
      <c r="J71" s="11">
        <f t="shared" ca="1" si="5"/>
        <v>0</v>
      </c>
    </row>
    <row r="72" spans="1:10" hidden="1" x14ac:dyDescent="0.35">
      <c r="A72" s="20">
        <f>INDEX(signals_2020_05!$A$2:$A$680, MATCH(B72, signals_2020_05!$B$2:$B$680, 0))</f>
        <v>4205</v>
      </c>
      <c r="B72" s="2" t="str">
        <f>signals_2020_05!B62</f>
        <v>Blade B temperature, StdDev</v>
      </c>
      <c r="C72" s="9" t="str">
        <f>INDEX(signals_2020_05!$C$2:$AJ$680, MATCH($B72, signals_2020_05!$B$2:$B$680, 0), MATCH(C$2, signals_2020_05!$C$1:$AJ$1, 0))</f>
        <v>NaT</v>
      </c>
      <c r="D72" s="14">
        <f t="shared" si="0"/>
        <v>0</v>
      </c>
      <c r="E72" s="11">
        <f t="shared" si="1"/>
        <v>0</v>
      </c>
      <c r="F72" s="11">
        <f t="shared" ca="1" si="2"/>
        <v>0</v>
      </c>
      <c r="G72" s="9" t="e">
        <f>INDEX(signals_2019_10!$C$2:$AJ$682, MATCH($B72, signals_2019_10!$B$2:$B$682, 0), MATCH(C$2, signals_2019_10!$C$1:$AJ$1, 0))</f>
        <v>#N/A</v>
      </c>
      <c r="H72" s="14">
        <f t="shared" si="3"/>
        <v>0</v>
      </c>
      <c r="I72" s="11">
        <f t="shared" si="4"/>
        <v>0</v>
      </c>
      <c r="J72" s="11">
        <f t="shared" ca="1" si="5"/>
        <v>0</v>
      </c>
    </row>
    <row r="73" spans="1:10" hidden="1" x14ac:dyDescent="0.35">
      <c r="A73" s="20">
        <f>INDEX(signals_2020_05!$A$2:$A$680, MATCH(B73, signals_2020_05!$B$2:$B$680, 0))</f>
        <v>16</v>
      </c>
      <c r="B73" s="2" t="str">
        <f>signals_2020_05!B63</f>
        <v>Blade C pitch control box</v>
      </c>
      <c r="C73" s="9" t="str">
        <f>INDEX(signals_2020_05!$C$2:$AJ$680, MATCH($B73, signals_2020_05!$B$2:$B$680, 0), MATCH(C$2, signals_2020_05!$C$1:$AJ$1, 0))</f>
        <v>NaT</v>
      </c>
      <c r="D73" s="14">
        <f t="shared" si="0"/>
        <v>0</v>
      </c>
      <c r="E73" s="11">
        <f t="shared" si="1"/>
        <v>0</v>
      </c>
      <c r="F73" s="11">
        <f t="shared" ca="1" si="2"/>
        <v>0</v>
      </c>
      <c r="G73" s="9" t="str">
        <f>INDEX(signals_2019_10!$C$2:$AJ$682, MATCH($B73, signals_2019_10!$B$2:$B$682, 0), MATCH(C$2, signals_2019_10!$C$1:$AJ$1, 0))</f>
        <v>NaT</v>
      </c>
      <c r="H73" s="14">
        <f t="shared" si="3"/>
        <v>0</v>
      </c>
      <c r="I73" s="11">
        <f t="shared" si="4"/>
        <v>0</v>
      </c>
      <c r="J73" s="11">
        <f t="shared" ca="1" si="5"/>
        <v>0</v>
      </c>
    </row>
    <row r="74" spans="1:10" hidden="1" x14ac:dyDescent="0.35">
      <c r="A74" s="20">
        <f>INDEX(signals_2020_05!$A$2:$A$680, MATCH(B74, signals_2020_05!$B$2:$B$680, 0))</f>
        <v>3058</v>
      </c>
      <c r="B74" s="2" t="str">
        <f>signals_2020_05!B64</f>
        <v>Blade C pitch control box, Max</v>
      </c>
      <c r="C74" s="9" t="str">
        <f>INDEX(signals_2020_05!$C$2:$AJ$680, MATCH($B74, signals_2020_05!$B$2:$B$680, 0), MATCH(C$2, signals_2020_05!$C$1:$AJ$1, 0))</f>
        <v>NaT</v>
      </c>
      <c r="D74" s="14">
        <f t="shared" si="0"/>
        <v>0</v>
      </c>
      <c r="E74" s="11">
        <f t="shared" si="1"/>
        <v>0</v>
      </c>
      <c r="F74" s="11">
        <f t="shared" ca="1" si="2"/>
        <v>0</v>
      </c>
      <c r="G74" s="9" t="e">
        <f>INDEX(signals_2019_10!$C$2:$AJ$682, MATCH($B74, signals_2019_10!$B$2:$B$682, 0), MATCH(C$2, signals_2019_10!$C$1:$AJ$1, 0))</f>
        <v>#N/A</v>
      </c>
      <c r="H74" s="14">
        <f t="shared" si="3"/>
        <v>0</v>
      </c>
      <c r="I74" s="11">
        <f t="shared" si="4"/>
        <v>0</v>
      </c>
      <c r="J74" s="11">
        <f t="shared" ca="1" si="5"/>
        <v>0</v>
      </c>
    </row>
    <row r="75" spans="1:10" hidden="1" x14ac:dyDescent="0.35">
      <c r="A75" s="20">
        <f>INDEX(signals_2020_05!$A$2:$A$680, MATCH(B75, signals_2020_05!$B$2:$B$680, 0))</f>
        <v>3059</v>
      </c>
      <c r="B75" s="2" t="str">
        <f>signals_2020_05!B65</f>
        <v>Blade C pitch control box, Min</v>
      </c>
      <c r="C75" s="9" t="str">
        <f>INDEX(signals_2020_05!$C$2:$AJ$680, MATCH($B75, signals_2020_05!$B$2:$B$680, 0), MATCH(C$2, signals_2020_05!$C$1:$AJ$1, 0))</f>
        <v>NaT</v>
      </c>
      <c r="D75" s="14">
        <f t="shared" si="0"/>
        <v>0</v>
      </c>
      <c r="E75" s="11">
        <f t="shared" si="1"/>
        <v>0</v>
      </c>
      <c r="F75" s="11">
        <f t="shared" ca="1" si="2"/>
        <v>0</v>
      </c>
      <c r="G75" s="9" t="e">
        <f>INDEX(signals_2019_10!$C$2:$AJ$682, MATCH($B75, signals_2019_10!$B$2:$B$682, 0), MATCH(C$2, signals_2019_10!$C$1:$AJ$1, 0))</f>
        <v>#N/A</v>
      </c>
      <c r="H75" s="14">
        <f t="shared" si="3"/>
        <v>0</v>
      </c>
      <c r="I75" s="11">
        <f t="shared" si="4"/>
        <v>0</v>
      </c>
      <c r="J75" s="11">
        <f t="shared" ca="1" si="5"/>
        <v>0</v>
      </c>
    </row>
    <row r="76" spans="1:10" hidden="1" x14ac:dyDescent="0.35">
      <c r="A76" s="20">
        <f>INDEX(signals_2020_05!$A$2:$A$680, MATCH(B76, signals_2020_05!$B$2:$B$680, 0))</f>
        <v>3060</v>
      </c>
      <c r="B76" s="2" t="str">
        <f>signals_2020_05!B66</f>
        <v>Blade C pitch control box, StdDev</v>
      </c>
      <c r="C76" s="9" t="str">
        <f>INDEX(signals_2020_05!$C$2:$AJ$680, MATCH($B76, signals_2020_05!$B$2:$B$680, 0), MATCH(C$2, signals_2020_05!$C$1:$AJ$1, 0))</f>
        <v>NaT</v>
      </c>
      <c r="D76" s="14">
        <f t="shared" si="0"/>
        <v>0</v>
      </c>
      <c r="E76" s="11">
        <f t="shared" si="1"/>
        <v>0</v>
      </c>
      <c r="F76" s="11">
        <f t="shared" ca="1" si="2"/>
        <v>0</v>
      </c>
      <c r="G76" s="9" t="e">
        <f>INDEX(signals_2019_10!$C$2:$AJ$682, MATCH($B76, signals_2019_10!$B$2:$B$682, 0), MATCH(C$2, signals_2019_10!$C$1:$AJ$1, 0))</f>
        <v>#N/A</v>
      </c>
      <c r="H76" s="14">
        <f t="shared" si="3"/>
        <v>0</v>
      </c>
      <c r="I76" s="11">
        <f t="shared" si="4"/>
        <v>0</v>
      </c>
      <c r="J76" s="11">
        <f t="shared" ca="1" si="5"/>
        <v>0</v>
      </c>
    </row>
    <row r="77" spans="1:10" hidden="1" x14ac:dyDescent="0.35">
      <c r="A77" s="20">
        <f>INDEX(signals_2020_05!$A$2:$A$680, MATCH(B77, signals_2020_05!$B$2:$B$680, 0))</f>
        <v>13</v>
      </c>
      <c r="B77" s="2" t="str">
        <f>signals_2020_05!B67</f>
        <v>Blade C pitch heat sink</v>
      </c>
      <c r="C77" s="9" t="str">
        <f>INDEX(signals_2020_05!$C$2:$AJ$680, MATCH($B77, signals_2020_05!$B$2:$B$680, 0), MATCH(C$2, signals_2020_05!$C$1:$AJ$1, 0))</f>
        <v>NaT</v>
      </c>
      <c r="D77" s="14">
        <f t="shared" ref="D77:D140" si="6">IF(ISERROR(C77), 0, IF(C77="NaT", 0, 1))</f>
        <v>0</v>
      </c>
      <c r="E77" s="11">
        <f t="shared" ref="E77:E140" si="7">IF(D77, IF(FLOOR($C77, 1) = FLOOR($C$5, 1), 1, 0), 0)</f>
        <v>0</v>
      </c>
      <c r="F77" s="11">
        <f t="shared" ref="F77:F140" ca="1" si="8">IF(ISERROR(C77), 0, IF(C77="NaT", 0,ROUND(((NOW()-C77)/365.25)*10, 0)/10))</f>
        <v>0</v>
      </c>
      <c r="G77" s="9" t="str">
        <f>INDEX(signals_2019_10!$C$2:$AJ$682, MATCH($B77, signals_2019_10!$B$2:$B$682, 0), MATCH(C$2, signals_2019_10!$C$1:$AJ$1, 0))</f>
        <v>NaT</v>
      </c>
      <c r="H77" s="14">
        <f t="shared" ref="H77:H140" si="9">IF(ISERROR(G77), 0, IF(G77="NaT", 0, 1))</f>
        <v>0</v>
      </c>
      <c r="I77" s="11">
        <f t="shared" ref="I77:I140" si="10">IF(H77, IF(FLOOR($C77, 1) = FLOOR($C$5, 1), 1, 0), 0)</f>
        <v>0</v>
      </c>
      <c r="J77" s="11">
        <f t="shared" ref="J77:J140" ca="1" si="11">IF(ISERROR(G77), 0, IF(G77="NaT", 0,ROUND(((NOW()-G77)/365.25)*10, 0)/10))</f>
        <v>0</v>
      </c>
    </row>
    <row r="78" spans="1:10" hidden="1" x14ac:dyDescent="0.35">
      <c r="A78" s="20">
        <f>INDEX(signals_2020_05!$A$2:$A$680, MATCH(B78, signals_2020_05!$B$2:$B$680, 0))</f>
        <v>4398</v>
      </c>
      <c r="B78" s="2" t="str">
        <f>signals_2020_05!B68</f>
        <v>Blade C pitch heat sink, Max</v>
      </c>
      <c r="C78" s="9" t="str">
        <f>INDEX(signals_2020_05!$C$2:$AJ$680, MATCH($B78, signals_2020_05!$B$2:$B$680, 0), MATCH(C$2, signals_2020_05!$C$1:$AJ$1, 0))</f>
        <v>NaT</v>
      </c>
      <c r="D78" s="14">
        <f t="shared" si="6"/>
        <v>0</v>
      </c>
      <c r="E78" s="11">
        <f t="shared" si="7"/>
        <v>0</v>
      </c>
      <c r="F78" s="11">
        <f t="shared" ca="1" si="8"/>
        <v>0</v>
      </c>
      <c r="G78" s="9" t="e">
        <f>INDEX(signals_2019_10!$C$2:$AJ$682, MATCH($B78, signals_2019_10!$B$2:$B$682, 0), MATCH(C$2, signals_2019_10!$C$1:$AJ$1, 0))</f>
        <v>#N/A</v>
      </c>
      <c r="H78" s="14">
        <f t="shared" si="9"/>
        <v>0</v>
      </c>
      <c r="I78" s="11">
        <f t="shared" si="10"/>
        <v>0</v>
      </c>
      <c r="J78" s="11">
        <f t="shared" ca="1" si="11"/>
        <v>0</v>
      </c>
    </row>
    <row r="79" spans="1:10" hidden="1" x14ac:dyDescent="0.35">
      <c r="A79" s="20">
        <f>INDEX(signals_2020_05!$A$2:$A$680, MATCH(B79, signals_2020_05!$B$2:$B$680, 0))</f>
        <v>4399</v>
      </c>
      <c r="B79" s="2" t="str">
        <f>signals_2020_05!B69</f>
        <v>Blade C pitch heat sink, Min</v>
      </c>
      <c r="C79" s="9" t="str">
        <f>INDEX(signals_2020_05!$C$2:$AJ$680, MATCH($B79, signals_2020_05!$B$2:$B$680, 0), MATCH(C$2, signals_2020_05!$C$1:$AJ$1, 0))</f>
        <v>NaT</v>
      </c>
      <c r="D79" s="14">
        <f t="shared" si="6"/>
        <v>0</v>
      </c>
      <c r="E79" s="11">
        <f t="shared" si="7"/>
        <v>0</v>
      </c>
      <c r="F79" s="11">
        <f t="shared" ca="1" si="8"/>
        <v>0</v>
      </c>
      <c r="G79" s="9" t="e">
        <f>INDEX(signals_2019_10!$C$2:$AJ$682, MATCH($B79, signals_2019_10!$B$2:$B$682, 0), MATCH(C$2, signals_2019_10!$C$1:$AJ$1, 0))</f>
        <v>#N/A</v>
      </c>
      <c r="H79" s="14">
        <f t="shared" si="9"/>
        <v>0</v>
      </c>
      <c r="I79" s="11">
        <f t="shared" si="10"/>
        <v>0</v>
      </c>
      <c r="J79" s="11">
        <f t="shared" ca="1" si="11"/>
        <v>0</v>
      </c>
    </row>
    <row r="80" spans="1:10" hidden="1" x14ac:dyDescent="0.35">
      <c r="A80" s="20">
        <f>INDEX(signals_2020_05!$A$2:$A$680, MATCH(B80, signals_2020_05!$B$2:$B$680, 0))</f>
        <v>4400</v>
      </c>
      <c r="B80" s="2" t="str">
        <f>signals_2020_05!B70</f>
        <v>Blade C pitch heat sink, StdDev</v>
      </c>
      <c r="C80" s="9" t="str">
        <f>INDEX(signals_2020_05!$C$2:$AJ$680, MATCH($B80, signals_2020_05!$B$2:$B$680, 0), MATCH(C$2, signals_2020_05!$C$1:$AJ$1, 0))</f>
        <v>NaT</v>
      </c>
      <c r="D80" s="14">
        <f t="shared" si="6"/>
        <v>0</v>
      </c>
      <c r="E80" s="11">
        <f t="shared" si="7"/>
        <v>0</v>
      </c>
      <c r="F80" s="11">
        <f t="shared" ca="1" si="8"/>
        <v>0</v>
      </c>
      <c r="G80" s="9" t="e">
        <f>INDEX(signals_2019_10!$C$2:$AJ$682, MATCH($B80, signals_2019_10!$B$2:$B$682, 0), MATCH(C$2, signals_2019_10!$C$1:$AJ$1, 0))</f>
        <v>#N/A</v>
      </c>
      <c r="H80" s="14">
        <f t="shared" si="9"/>
        <v>0</v>
      </c>
      <c r="I80" s="11">
        <f t="shared" si="10"/>
        <v>0</v>
      </c>
      <c r="J80" s="11">
        <f t="shared" ca="1" si="11"/>
        <v>0</v>
      </c>
    </row>
    <row r="81" spans="1:10" hidden="1" x14ac:dyDescent="0.35">
      <c r="A81" s="20">
        <f>INDEX(signals_2020_05!$A$2:$A$680, MATCH(B81, signals_2020_05!$B$2:$B$680, 0))</f>
        <v>19</v>
      </c>
      <c r="B81" s="2" t="str">
        <f>signals_2020_05!B71</f>
        <v>Blade C temperature</v>
      </c>
      <c r="C81" s="9" t="str">
        <f>INDEX(signals_2020_05!$C$2:$AJ$680, MATCH($B81, signals_2020_05!$B$2:$B$680, 0), MATCH(C$2, signals_2020_05!$C$1:$AJ$1, 0))</f>
        <v>NaT</v>
      </c>
      <c r="D81" s="14">
        <f t="shared" si="6"/>
        <v>0</v>
      </c>
      <c r="E81" s="11">
        <f t="shared" si="7"/>
        <v>0</v>
      </c>
      <c r="F81" s="11">
        <f t="shared" ca="1" si="8"/>
        <v>0</v>
      </c>
      <c r="G81" s="9" t="str">
        <f>INDEX(signals_2019_10!$C$2:$AJ$682, MATCH($B81, signals_2019_10!$B$2:$B$682, 0), MATCH(C$2, signals_2019_10!$C$1:$AJ$1, 0))</f>
        <v>NaT</v>
      </c>
      <c r="H81" s="14">
        <f t="shared" si="9"/>
        <v>0</v>
      </c>
      <c r="I81" s="11">
        <f t="shared" si="10"/>
        <v>0</v>
      </c>
      <c r="J81" s="11">
        <f t="shared" ca="1" si="11"/>
        <v>0</v>
      </c>
    </row>
    <row r="82" spans="1:10" hidden="1" x14ac:dyDescent="0.35">
      <c r="A82" s="20">
        <f>INDEX(signals_2020_05!$A$2:$A$680, MATCH(B82, signals_2020_05!$B$2:$B$680, 0))</f>
        <v>4206</v>
      </c>
      <c r="B82" s="2" t="str">
        <f>signals_2020_05!B72</f>
        <v>Blade C temperature, Max</v>
      </c>
      <c r="C82" s="9" t="str">
        <f>INDEX(signals_2020_05!$C$2:$AJ$680, MATCH($B82, signals_2020_05!$B$2:$B$680, 0), MATCH(C$2, signals_2020_05!$C$1:$AJ$1, 0))</f>
        <v>NaT</v>
      </c>
      <c r="D82" s="14">
        <f t="shared" si="6"/>
        <v>0</v>
      </c>
      <c r="E82" s="11">
        <f t="shared" si="7"/>
        <v>0</v>
      </c>
      <c r="F82" s="11">
        <f t="shared" ca="1" si="8"/>
        <v>0</v>
      </c>
      <c r="G82" s="9" t="e">
        <f>INDEX(signals_2019_10!$C$2:$AJ$682, MATCH($B82, signals_2019_10!$B$2:$B$682, 0), MATCH(C$2, signals_2019_10!$C$1:$AJ$1, 0))</f>
        <v>#N/A</v>
      </c>
      <c r="H82" s="14">
        <f t="shared" si="9"/>
        <v>0</v>
      </c>
      <c r="I82" s="11">
        <f t="shared" si="10"/>
        <v>0</v>
      </c>
      <c r="J82" s="11">
        <f t="shared" ca="1" si="11"/>
        <v>0</v>
      </c>
    </row>
    <row r="83" spans="1:10" hidden="1" x14ac:dyDescent="0.35">
      <c r="A83" s="20">
        <f>INDEX(signals_2020_05!$A$2:$A$680, MATCH(B83, signals_2020_05!$B$2:$B$680, 0))</f>
        <v>4207</v>
      </c>
      <c r="B83" s="2" t="str">
        <f>signals_2020_05!B73</f>
        <v>Blade C temperature, Min</v>
      </c>
      <c r="C83" s="9" t="str">
        <f>INDEX(signals_2020_05!$C$2:$AJ$680, MATCH($B83, signals_2020_05!$B$2:$B$680, 0), MATCH(C$2, signals_2020_05!$C$1:$AJ$1, 0))</f>
        <v>NaT</v>
      </c>
      <c r="D83" s="14">
        <f t="shared" si="6"/>
        <v>0</v>
      </c>
      <c r="E83" s="11">
        <f t="shared" si="7"/>
        <v>0</v>
      </c>
      <c r="F83" s="11">
        <f t="shared" ca="1" si="8"/>
        <v>0</v>
      </c>
      <c r="G83" s="9" t="e">
        <f>INDEX(signals_2019_10!$C$2:$AJ$682, MATCH($B83, signals_2019_10!$B$2:$B$682, 0), MATCH(C$2, signals_2019_10!$C$1:$AJ$1, 0))</f>
        <v>#N/A</v>
      </c>
      <c r="H83" s="14">
        <f t="shared" si="9"/>
        <v>0</v>
      </c>
      <c r="I83" s="11">
        <f t="shared" si="10"/>
        <v>0</v>
      </c>
      <c r="J83" s="11">
        <f t="shared" ca="1" si="11"/>
        <v>0</v>
      </c>
    </row>
    <row r="84" spans="1:10" hidden="1" x14ac:dyDescent="0.35">
      <c r="A84" s="20">
        <f>INDEX(signals_2020_05!$A$2:$A$680, MATCH(B84, signals_2020_05!$B$2:$B$680, 0))</f>
        <v>4208</v>
      </c>
      <c r="B84" s="2" t="str">
        <f>signals_2020_05!B74</f>
        <v>Blade C temperature, StdDev</v>
      </c>
      <c r="C84" s="9" t="str">
        <f>INDEX(signals_2020_05!$C$2:$AJ$680, MATCH($B84, signals_2020_05!$B$2:$B$680, 0), MATCH(C$2, signals_2020_05!$C$1:$AJ$1, 0))</f>
        <v>NaT</v>
      </c>
      <c r="D84" s="14">
        <f t="shared" si="6"/>
        <v>0</v>
      </c>
      <c r="E84" s="11">
        <f t="shared" si="7"/>
        <v>0</v>
      </c>
      <c r="F84" s="11">
        <f t="shared" ca="1" si="8"/>
        <v>0</v>
      </c>
      <c r="G84" s="9" t="e">
        <f>INDEX(signals_2019_10!$C$2:$AJ$682, MATCH($B84, signals_2019_10!$B$2:$B$682, 0), MATCH(C$2, signals_2019_10!$C$1:$AJ$1, 0))</f>
        <v>#N/A</v>
      </c>
      <c r="H84" s="14">
        <f t="shared" si="9"/>
        <v>0</v>
      </c>
      <c r="I84" s="11">
        <f t="shared" si="10"/>
        <v>0</v>
      </c>
      <c r="J84" s="11">
        <f t="shared" ca="1" si="11"/>
        <v>0</v>
      </c>
    </row>
    <row r="85" spans="1:10" hidden="1" x14ac:dyDescent="0.35">
      <c r="A85" s="20">
        <f>INDEX(signals_2020_05!$A$2:$A$680, MATCH(B85, signals_2020_05!$B$2:$B$680, 0))</f>
        <v>84</v>
      </c>
      <c r="B85" s="2" t="str">
        <f>signals_2020_05!B75</f>
        <v>Blade pressure (hydraulic)</v>
      </c>
      <c r="C85" s="9" t="str">
        <f>INDEX(signals_2020_05!$C$2:$AJ$680, MATCH($B85, signals_2020_05!$B$2:$B$680, 0), MATCH(C$2, signals_2020_05!$C$1:$AJ$1, 0))</f>
        <v>NaT</v>
      </c>
      <c r="D85" s="14">
        <f t="shared" si="6"/>
        <v>0</v>
      </c>
      <c r="E85" s="11">
        <f t="shared" si="7"/>
        <v>0</v>
      </c>
      <c r="F85" s="11">
        <f t="shared" ca="1" si="8"/>
        <v>0</v>
      </c>
      <c r="G85" s="9" t="str">
        <f>INDEX(signals_2019_10!$C$2:$AJ$682, MATCH($B85, signals_2019_10!$B$2:$B$682, 0), MATCH(C$2, signals_2019_10!$C$1:$AJ$1, 0))</f>
        <v>NaT</v>
      </c>
      <c r="H85" s="14">
        <f t="shared" si="9"/>
        <v>0</v>
      </c>
      <c r="I85" s="11">
        <f t="shared" si="10"/>
        <v>0</v>
      </c>
      <c r="J85" s="11">
        <f t="shared" ca="1" si="11"/>
        <v>0</v>
      </c>
    </row>
    <row r="86" spans="1:10" hidden="1" x14ac:dyDescent="0.35">
      <c r="A86" s="20">
        <f>INDEX(signals_2020_05!$A$2:$A$680, MATCH(B86, signals_2020_05!$B$2:$B$680, 0))</f>
        <v>4118</v>
      </c>
      <c r="B86" s="2" t="str">
        <f>signals_2020_05!B76</f>
        <v>Blade pressure (hydraulic), Max</v>
      </c>
      <c r="C86" s="9" t="str">
        <f>INDEX(signals_2020_05!$C$2:$AJ$680, MATCH($B86, signals_2020_05!$B$2:$B$680, 0), MATCH(C$2, signals_2020_05!$C$1:$AJ$1, 0))</f>
        <v>NaT</v>
      </c>
      <c r="D86" s="14">
        <f t="shared" si="6"/>
        <v>0</v>
      </c>
      <c r="E86" s="11">
        <f t="shared" si="7"/>
        <v>0</v>
      </c>
      <c r="F86" s="11">
        <f t="shared" ca="1" si="8"/>
        <v>0</v>
      </c>
      <c r="G86" s="9" t="e">
        <f>INDEX(signals_2019_10!$C$2:$AJ$682, MATCH($B86, signals_2019_10!$B$2:$B$682, 0), MATCH(C$2, signals_2019_10!$C$1:$AJ$1, 0))</f>
        <v>#N/A</v>
      </c>
      <c r="H86" s="14">
        <f t="shared" si="9"/>
        <v>0</v>
      </c>
      <c r="I86" s="11">
        <f t="shared" si="10"/>
        <v>0</v>
      </c>
      <c r="J86" s="11">
        <f t="shared" ca="1" si="11"/>
        <v>0</v>
      </c>
    </row>
    <row r="87" spans="1:10" hidden="1" x14ac:dyDescent="0.35">
      <c r="A87" s="20">
        <f>INDEX(signals_2020_05!$A$2:$A$680, MATCH(B87, signals_2020_05!$B$2:$B$680, 0))</f>
        <v>4119</v>
      </c>
      <c r="B87" s="2" t="str">
        <f>signals_2020_05!B77</f>
        <v>Blade pressure (hydraulic), Min</v>
      </c>
      <c r="C87" s="9" t="str">
        <f>INDEX(signals_2020_05!$C$2:$AJ$680, MATCH($B87, signals_2020_05!$B$2:$B$680, 0), MATCH(C$2, signals_2020_05!$C$1:$AJ$1, 0))</f>
        <v>NaT</v>
      </c>
      <c r="D87" s="14">
        <f t="shared" si="6"/>
        <v>0</v>
      </c>
      <c r="E87" s="11">
        <f t="shared" si="7"/>
        <v>0</v>
      </c>
      <c r="F87" s="11">
        <f t="shared" ca="1" si="8"/>
        <v>0</v>
      </c>
      <c r="G87" s="9" t="e">
        <f>INDEX(signals_2019_10!$C$2:$AJ$682, MATCH($B87, signals_2019_10!$B$2:$B$682, 0), MATCH(C$2, signals_2019_10!$C$1:$AJ$1, 0))</f>
        <v>#N/A</v>
      </c>
      <c r="H87" s="14">
        <f t="shared" si="9"/>
        <v>0</v>
      </c>
      <c r="I87" s="11">
        <f t="shared" si="10"/>
        <v>0</v>
      </c>
      <c r="J87" s="11">
        <f t="shared" ca="1" si="11"/>
        <v>0</v>
      </c>
    </row>
    <row r="88" spans="1:10" hidden="1" x14ac:dyDescent="0.35">
      <c r="A88" s="20">
        <f>INDEX(signals_2020_05!$A$2:$A$680, MATCH(B88, signals_2020_05!$B$2:$B$680, 0))</f>
        <v>4120</v>
      </c>
      <c r="B88" s="2" t="str">
        <f>signals_2020_05!B78</f>
        <v>Blade pressure (hydraulic), StdDev</v>
      </c>
      <c r="C88" s="9" t="str">
        <f>INDEX(signals_2020_05!$C$2:$AJ$680, MATCH($B88, signals_2020_05!$B$2:$B$680, 0), MATCH(C$2, signals_2020_05!$C$1:$AJ$1, 0))</f>
        <v>NaT</v>
      </c>
      <c r="D88" s="14">
        <f t="shared" si="6"/>
        <v>0</v>
      </c>
      <c r="E88" s="11">
        <f t="shared" si="7"/>
        <v>0</v>
      </c>
      <c r="F88" s="11">
        <f t="shared" ca="1" si="8"/>
        <v>0</v>
      </c>
      <c r="G88" s="9" t="e">
        <f>INDEX(signals_2019_10!$C$2:$AJ$682, MATCH($B88, signals_2019_10!$B$2:$B$682, 0), MATCH(C$2, signals_2019_10!$C$1:$AJ$1, 0))</f>
        <v>#N/A</v>
      </c>
      <c r="H88" s="14">
        <f t="shared" si="9"/>
        <v>0</v>
      </c>
      <c r="I88" s="11">
        <f t="shared" si="10"/>
        <v>0</v>
      </c>
      <c r="J88" s="11">
        <f t="shared" ca="1" si="11"/>
        <v>0</v>
      </c>
    </row>
    <row r="89" spans="1:10" hidden="1" x14ac:dyDescent="0.35">
      <c r="A89" s="20">
        <f>INDEX(signals_2020_05!$A$2:$A$680, MATCH(B89, signals_2020_05!$B$2:$B$680, 0))</f>
        <v>407</v>
      </c>
      <c r="B89" s="2" t="str">
        <f>signals_2020_05!B79</f>
        <v>Box temp 1</v>
      </c>
      <c r="C89" s="9" t="str">
        <f>INDEX(signals_2020_05!$C$2:$AJ$680, MATCH($B89, signals_2020_05!$B$2:$B$680, 0), MATCH(C$2, signals_2020_05!$C$1:$AJ$1, 0))</f>
        <v>NaT</v>
      </c>
      <c r="D89" s="14">
        <f t="shared" si="6"/>
        <v>0</v>
      </c>
      <c r="E89" s="11">
        <f t="shared" si="7"/>
        <v>0</v>
      </c>
      <c r="F89" s="11">
        <f t="shared" ca="1" si="8"/>
        <v>0</v>
      </c>
      <c r="G89" s="9" t="str">
        <f>INDEX(signals_2019_10!$C$2:$AJ$682, MATCH($B89, signals_2019_10!$B$2:$B$682, 0), MATCH(C$2, signals_2019_10!$C$1:$AJ$1, 0))</f>
        <v>NaT</v>
      </c>
      <c r="H89" s="14">
        <f t="shared" si="9"/>
        <v>0</v>
      </c>
      <c r="I89" s="11">
        <f t="shared" si="10"/>
        <v>0</v>
      </c>
      <c r="J89" s="11">
        <f t="shared" ca="1" si="11"/>
        <v>0</v>
      </c>
    </row>
    <row r="90" spans="1:10" hidden="1" x14ac:dyDescent="0.35">
      <c r="A90" s="20">
        <f>INDEX(signals_2020_05!$A$2:$A$680, MATCH(B90, signals_2020_05!$B$2:$B$680, 0))</f>
        <v>4121</v>
      </c>
      <c r="B90" s="2" t="str">
        <f>signals_2020_05!B80</f>
        <v>Box temp 1, Max</v>
      </c>
      <c r="C90" s="9" t="str">
        <f>INDEX(signals_2020_05!$C$2:$AJ$680, MATCH($B90, signals_2020_05!$B$2:$B$680, 0), MATCH(C$2, signals_2020_05!$C$1:$AJ$1, 0))</f>
        <v>NaT</v>
      </c>
      <c r="D90" s="14">
        <f t="shared" si="6"/>
        <v>0</v>
      </c>
      <c r="E90" s="11">
        <f t="shared" si="7"/>
        <v>0</v>
      </c>
      <c r="F90" s="11">
        <f t="shared" ca="1" si="8"/>
        <v>0</v>
      </c>
      <c r="G90" s="9" t="e">
        <f>INDEX(signals_2019_10!$C$2:$AJ$682, MATCH($B90, signals_2019_10!$B$2:$B$682, 0), MATCH(C$2, signals_2019_10!$C$1:$AJ$1, 0))</f>
        <v>#N/A</v>
      </c>
      <c r="H90" s="14">
        <f t="shared" si="9"/>
        <v>0</v>
      </c>
      <c r="I90" s="11">
        <f t="shared" si="10"/>
        <v>0</v>
      </c>
      <c r="J90" s="11">
        <f t="shared" ca="1" si="11"/>
        <v>0</v>
      </c>
    </row>
    <row r="91" spans="1:10" hidden="1" x14ac:dyDescent="0.35">
      <c r="A91" s="20">
        <f>INDEX(signals_2020_05!$A$2:$A$680, MATCH(B91, signals_2020_05!$B$2:$B$680, 0))</f>
        <v>4122</v>
      </c>
      <c r="B91" s="2" t="str">
        <f>signals_2020_05!B81</f>
        <v>Box temp 1, Min</v>
      </c>
      <c r="C91" s="9" t="str">
        <f>INDEX(signals_2020_05!$C$2:$AJ$680, MATCH($B91, signals_2020_05!$B$2:$B$680, 0), MATCH(C$2, signals_2020_05!$C$1:$AJ$1, 0))</f>
        <v>NaT</v>
      </c>
      <c r="D91" s="14">
        <f t="shared" si="6"/>
        <v>0</v>
      </c>
      <c r="E91" s="11">
        <f t="shared" si="7"/>
        <v>0</v>
      </c>
      <c r="F91" s="11">
        <f t="shared" ca="1" si="8"/>
        <v>0</v>
      </c>
      <c r="G91" s="9" t="e">
        <f>INDEX(signals_2019_10!$C$2:$AJ$682, MATCH($B91, signals_2019_10!$B$2:$B$682, 0), MATCH(C$2, signals_2019_10!$C$1:$AJ$1, 0))</f>
        <v>#N/A</v>
      </c>
      <c r="H91" s="14">
        <f t="shared" si="9"/>
        <v>0</v>
      </c>
      <c r="I91" s="11">
        <f t="shared" si="10"/>
        <v>0</v>
      </c>
      <c r="J91" s="11">
        <f t="shared" ca="1" si="11"/>
        <v>0</v>
      </c>
    </row>
    <row r="92" spans="1:10" hidden="1" x14ac:dyDescent="0.35">
      <c r="A92" s="20">
        <f>INDEX(signals_2020_05!$A$2:$A$680, MATCH(B92, signals_2020_05!$B$2:$B$680, 0))</f>
        <v>4123</v>
      </c>
      <c r="B92" s="2" t="str">
        <f>signals_2020_05!B82</f>
        <v>Box temp 1, StdDev</v>
      </c>
      <c r="C92" s="9" t="str">
        <f>INDEX(signals_2020_05!$C$2:$AJ$680, MATCH($B92, signals_2020_05!$B$2:$B$680, 0), MATCH(C$2, signals_2020_05!$C$1:$AJ$1, 0))</f>
        <v>NaT</v>
      </c>
      <c r="D92" s="14">
        <f t="shared" si="6"/>
        <v>0</v>
      </c>
      <c r="E92" s="11">
        <f t="shared" si="7"/>
        <v>0</v>
      </c>
      <c r="F92" s="11">
        <f t="shared" ca="1" si="8"/>
        <v>0</v>
      </c>
      <c r="G92" s="9" t="e">
        <f>INDEX(signals_2019_10!$C$2:$AJ$682, MATCH($B92, signals_2019_10!$B$2:$B$682, 0), MATCH(C$2, signals_2019_10!$C$1:$AJ$1, 0))</f>
        <v>#N/A</v>
      </c>
      <c r="H92" s="14">
        <f t="shared" si="9"/>
        <v>0</v>
      </c>
      <c r="I92" s="11">
        <f t="shared" si="10"/>
        <v>0</v>
      </c>
      <c r="J92" s="11">
        <f t="shared" ca="1" si="11"/>
        <v>0</v>
      </c>
    </row>
    <row r="93" spans="1:10" hidden="1" x14ac:dyDescent="0.35">
      <c r="A93" s="20">
        <f>INDEX(signals_2020_05!$A$2:$A$680, MATCH(B93, signals_2020_05!$B$2:$B$680, 0))</f>
        <v>408</v>
      </c>
      <c r="B93" s="2" t="str">
        <f>signals_2020_05!B83</f>
        <v>Box temp 2</v>
      </c>
      <c r="C93" s="9" t="str">
        <f>INDEX(signals_2020_05!$C$2:$AJ$680, MATCH($B93, signals_2020_05!$B$2:$B$680, 0), MATCH(C$2, signals_2020_05!$C$1:$AJ$1, 0))</f>
        <v>NaT</v>
      </c>
      <c r="D93" s="14">
        <f t="shared" si="6"/>
        <v>0</v>
      </c>
      <c r="E93" s="11">
        <f t="shared" si="7"/>
        <v>0</v>
      </c>
      <c r="F93" s="11">
        <f t="shared" ca="1" si="8"/>
        <v>0</v>
      </c>
      <c r="G93" s="9" t="str">
        <f>INDEX(signals_2019_10!$C$2:$AJ$682, MATCH($B93, signals_2019_10!$B$2:$B$682, 0), MATCH(C$2, signals_2019_10!$C$1:$AJ$1, 0))</f>
        <v>NaT</v>
      </c>
      <c r="H93" s="14">
        <f t="shared" si="9"/>
        <v>0</v>
      </c>
      <c r="I93" s="11">
        <f t="shared" si="10"/>
        <v>0</v>
      </c>
      <c r="J93" s="11">
        <f t="shared" ca="1" si="11"/>
        <v>0</v>
      </c>
    </row>
    <row r="94" spans="1:10" hidden="1" x14ac:dyDescent="0.35">
      <c r="A94" s="20">
        <f>INDEX(signals_2020_05!$A$2:$A$680, MATCH(B94, signals_2020_05!$B$2:$B$680, 0))</f>
        <v>4124</v>
      </c>
      <c r="B94" s="2" t="str">
        <f>signals_2020_05!B84</f>
        <v>Box temp 2, Max</v>
      </c>
      <c r="C94" s="9" t="str">
        <f>INDEX(signals_2020_05!$C$2:$AJ$680, MATCH($B94, signals_2020_05!$B$2:$B$680, 0), MATCH(C$2, signals_2020_05!$C$1:$AJ$1, 0))</f>
        <v>NaT</v>
      </c>
      <c r="D94" s="14">
        <f t="shared" si="6"/>
        <v>0</v>
      </c>
      <c r="E94" s="11">
        <f t="shared" si="7"/>
        <v>0</v>
      </c>
      <c r="F94" s="11">
        <f t="shared" ca="1" si="8"/>
        <v>0</v>
      </c>
      <c r="G94" s="9" t="e">
        <f>INDEX(signals_2019_10!$C$2:$AJ$682, MATCH($B94, signals_2019_10!$B$2:$B$682, 0), MATCH(C$2, signals_2019_10!$C$1:$AJ$1, 0))</f>
        <v>#N/A</v>
      </c>
      <c r="H94" s="14">
        <f t="shared" si="9"/>
        <v>0</v>
      </c>
      <c r="I94" s="11">
        <f t="shared" si="10"/>
        <v>0</v>
      </c>
      <c r="J94" s="11">
        <f t="shared" ca="1" si="11"/>
        <v>0</v>
      </c>
    </row>
    <row r="95" spans="1:10" hidden="1" x14ac:dyDescent="0.35">
      <c r="A95" s="20">
        <f>INDEX(signals_2020_05!$A$2:$A$680, MATCH(B95, signals_2020_05!$B$2:$B$680, 0))</f>
        <v>4125</v>
      </c>
      <c r="B95" s="2" t="str">
        <f>signals_2020_05!B85</f>
        <v>Box temp 2, Min</v>
      </c>
      <c r="C95" s="9" t="str">
        <f>INDEX(signals_2020_05!$C$2:$AJ$680, MATCH($B95, signals_2020_05!$B$2:$B$680, 0), MATCH(C$2, signals_2020_05!$C$1:$AJ$1, 0))</f>
        <v>NaT</v>
      </c>
      <c r="D95" s="14">
        <f t="shared" si="6"/>
        <v>0</v>
      </c>
      <c r="E95" s="11">
        <f t="shared" si="7"/>
        <v>0</v>
      </c>
      <c r="F95" s="11">
        <f t="shared" ca="1" si="8"/>
        <v>0</v>
      </c>
      <c r="G95" s="9" t="e">
        <f>INDEX(signals_2019_10!$C$2:$AJ$682, MATCH($B95, signals_2019_10!$B$2:$B$682, 0), MATCH(C$2, signals_2019_10!$C$1:$AJ$1, 0))</f>
        <v>#N/A</v>
      </c>
      <c r="H95" s="14">
        <f t="shared" si="9"/>
        <v>0</v>
      </c>
      <c r="I95" s="11">
        <f t="shared" si="10"/>
        <v>0</v>
      </c>
      <c r="J95" s="11">
        <f t="shared" ca="1" si="11"/>
        <v>0</v>
      </c>
    </row>
    <row r="96" spans="1:10" hidden="1" x14ac:dyDescent="0.35">
      <c r="A96" s="20">
        <f>INDEX(signals_2020_05!$A$2:$A$680, MATCH(B96, signals_2020_05!$B$2:$B$680, 0))</f>
        <v>4126</v>
      </c>
      <c r="B96" s="2" t="str">
        <f>signals_2020_05!B86</f>
        <v>Box temp 2, StdDev</v>
      </c>
      <c r="C96" s="9" t="str">
        <f>INDEX(signals_2020_05!$C$2:$AJ$680, MATCH($B96, signals_2020_05!$B$2:$B$680, 0), MATCH(C$2, signals_2020_05!$C$1:$AJ$1, 0))</f>
        <v>NaT</v>
      </c>
      <c r="D96" s="14">
        <f t="shared" si="6"/>
        <v>0</v>
      </c>
      <c r="E96" s="11">
        <f t="shared" si="7"/>
        <v>0</v>
      </c>
      <c r="F96" s="11">
        <f t="shared" ca="1" si="8"/>
        <v>0</v>
      </c>
      <c r="G96" s="9" t="e">
        <f>INDEX(signals_2019_10!$C$2:$AJ$682, MATCH($B96, signals_2019_10!$B$2:$B$682, 0), MATCH(C$2, signals_2019_10!$C$1:$AJ$1, 0))</f>
        <v>#N/A</v>
      </c>
      <c r="H96" s="14">
        <f t="shared" si="9"/>
        <v>0</v>
      </c>
      <c r="I96" s="11">
        <f t="shared" si="10"/>
        <v>0</v>
      </c>
      <c r="J96" s="11">
        <f t="shared" ca="1" si="11"/>
        <v>0</v>
      </c>
    </row>
    <row r="97" spans="1:10" hidden="1" x14ac:dyDescent="0.35">
      <c r="A97" s="20">
        <f>INDEX(signals_2020_05!$A$2:$A$680, MATCH(B97, signals_2020_05!$B$2:$B$680, 0))</f>
        <v>409</v>
      </c>
      <c r="B97" s="2" t="str">
        <f>signals_2020_05!B87</f>
        <v>Box temp 3</v>
      </c>
      <c r="C97" s="9" t="str">
        <f>INDEX(signals_2020_05!$C$2:$AJ$680, MATCH($B97, signals_2020_05!$B$2:$B$680, 0), MATCH(C$2, signals_2020_05!$C$1:$AJ$1, 0))</f>
        <v>NaT</v>
      </c>
      <c r="D97" s="14">
        <f t="shared" si="6"/>
        <v>0</v>
      </c>
      <c r="E97" s="11">
        <f t="shared" si="7"/>
        <v>0</v>
      </c>
      <c r="F97" s="11">
        <f t="shared" ca="1" si="8"/>
        <v>0</v>
      </c>
      <c r="G97" s="9" t="str">
        <f>INDEX(signals_2019_10!$C$2:$AJ$682, MATCH($B97, signals_2019_10!$B$2:$B$682, 0), MATCH(C$2, signals_2019_10!$C$1:$AJ$1, 0))</f>
        <v>NaT</v>
      </c>
      <c r="H97" s="14">
        <f t="shared" si="9"/>
        <v>0</v>
      </c>
      <c r="I97" s="11">
        <f t="shared" si="10"/>
        <v>0</v>
      </c>
      <c r="J97" s="11">
        <f t="shared" ca="1" si="11"/>
        <v>0</v>
      </c>
    </row>
    <row r="98" spans="1:10" hidden="1" x14ac:dyDescent="0.35">
      <c r="A98" s="20">
        <f>INDEX(signals_2020_05!$A$2:$A$680, MATCH(B98, signals_2020_05!$B$2:$B$680, 0))</f>
        <v>4127</v>
      </c>
      <c r="B98" s="2" t="str">
        <f>signals_2020_05!B88</f>
        <v>Box temp 3, Max</v>
      </c>
      <c r="C98" s="9" t="str">
        <f>INDEX(signals_2020_05!$C$2:$AJ$680, MATCH($B98, signals_2020_05!$B$2:$B$680, 0), MATCH(C$2, signals_2020_05!$C$1:$AJ$1, 0))</f>
        <v>NaT</v>
      </c>
      <c r="D98" s="14">
        <f t="shared" si="6"/>
        <v>0</v>
      </c>
      <c r="E98" s="11">
        <f t="shared" si="7"/>
        <v>0</v>
      </c>
      <c r="F98" s="11">
        <f t="shared" ca="1" si="8"/>
        <v>0</v>
      </c>
      <c r="G98" s="9" t="e">
        <f>INDEX(signals_2019_10!$C$2:$AJ$682, MATCH($B98, signals_2019_10!$B$2:$B$682, 0), MATCH(C$2, signals_2019_10!$C$1:$AJ$1, 0))</f>
        <v>#N/A</v>
      </c>
      <c r="H98" s="14">
        <f t="shared" si="9"/>
        <v>0</v>
      </c>
      <c r="I98" s="11">
        <f t="shared" si="10"/>
        <v>0</v>
      </c>
      <c r="J98" s="11">
        <f t="shared" ca="1" si="11"/>
        <v>0</v>
      </c>
    </row>
    <row r="99" spans="1:10" hidden="1" x14ac:dyDescent="0.35">
      <c r="A99" s="20">
        <f>INDEX(signals_2020_05!$A$2:$A$680, MATCH(B99, signals_2020_05!$B$2:$B$680, 0))</f>
        <v>4128</v>
      </c>
      <c r="B99" s="2" t="str">
        <f>signals_2020_05!B89</f>
        <v>Box temp 3, Min</v>
      </c>
      <c r="C99" s="9" t="str">
        <f>INDEX(signals_2020_05!$C$2:$AJ$680, MATCH($B99, signals_2020_05!$B$2:$B$680, 0), MATCH(C$2, signals_2020_05!$C$1:$AJ$1, 0))</f>
        <v>NaT</v>
      </c>
      <c r="D99" s="14">
        <f t="shared" si="6"/>
        <v>0</v>
      </c>
      <c r="E99" s="11">
        <f t="shared" si="7"/>
        <v>0</v>
      </c>
      <c r="F99" s="11">
        <f t="shared" ca="1" si="8"/>
        <v>0</v>
      </c>
      <c r="G99" s="9" t="e">
        <f>INDEX(signals_2019_10!$C$2:$AJ$682, MATCH($B99, signals_2019_10!$B$2:$B$682, 0), MATCH(C$2, signals_2019_10!$C$1:$AJ$1, 0))</f>
        <v>#N/A</v>
      </c>
      <c r="H99" s="14">
        <f t="shared" si="9"/>
        <v>0</v>
      </c>
      <c r="I99" s="11">
        <f t="shared" si="10"/>
        <v>0</v>
      </c>
      <c r="J99" s="11">
        <f t="shared" ca="1" si="11"/>
        <v>0</v>
      </c>
    </row>
    <row r="100" spans="1:10" hidden="1" x14ac:dyDescent="0.35">
      <c r="A100" s="20">
        <f>INDEX(signals_2020_05!$A$2:$A$680, MATCH(B100, signals_2020_05!$B$2:$B$680, 0))</f>
        <v>4129</v>
      </c>
      <c r="B100" s="2" t="str">
        <f>signals_2020_05!B90</f>
        <v>Box temp 3, StdDev</v>
      </c>
      <c r="C100" s="9" t="str">
        <f>INDEX(signals_2020_05!$C$2:$AJ$680, MATCH($B100, signals_2020_05!$B$2:$B$680, 0), MATCH(C$2, signals_2020_05!$C$1:$AJ$1, 0))</f>
        <v>NaT</v>
      </c>
      <c r="D100" s="14">
        <f t="shared" si="6"/>
        <v>0</v>
      </c>
      <c r="E100" s="11">
        <f t="shared" si="7"/>
        <v>0</v>
      </c>
      <c r="F100" s="11">
        <f t="shared" ca="1" si="8"/>
        <v>0</v>
      </c>
      <c r="G100" s="9" t="e">
        <f>INDEX(signals_2019_10!$C$2:$AJ$682, MATCH($B100, signals_2019_10!$B$2:$B$682, 0), MATCH(C$2, signals_2019_10!$C$1:$AJ$1, 0))</f>
        <v>#N/A</v>
      </c>
      <c r="H100" s="14">
        <f t="shared" si="9"/>
        <v>0</v>
      </c>
      <c r="I100" s="11">
        <f t="shared" si="10"/>
        <v>0</v>
      </c>
      <c r="J100" s="11">
        <f t="shared" ca="1" si="11"/>
        <v>0</v>
      </c>
    </row>
    <row r="101" spans="1:10" hidden="1" x14ac:dyDescent="0.35">
      <c r="A101" s="20">
        <f>INDEX(signals_2020_05!$A$2:$A$680, MATCH(B101, signals_2020_05!$B$2:$B$680, 0))</f>
        <v>300</v>
      </c>
      <c r="B101" s="2" t="str">
        <f>signals_2020_05!B91</f>
        <v>Brake pressure</v>
      </c>
      <c r="C101" s="9" t="str">
        <f>INDEX(signals_2020_05!$C$2:$AJ$680, MATCH($B101, signals_2020_05!$B$2:$B$680, 0), MATCH(C$2, signals_2020_05!$C$1:$AJ$1, 0))</f>
        <v>NaT</v>
      </c>
      <c r="D101" s="14">
        <f t="shared" si="6"/>
        <v>0</v>
      </c>
      <c r="E101" s="11">
        <f t="shared" si="7"/>
        <v>0</v>
      </c>
      <c r="F101" s="11">
        <f t="shared" ca="1" si="8"/>
        <v>0</v>
      </c>
      <c r="G101" s="9" t="str">
        <f>INDEX(signals_2019_10!$C$2:$AJ$682, MATCH($B101, signals_2019_10!$B$2:$B$682, 0), MATCH(C$2, signals_2019_10!$C$1:$AJ$1, 0))</f>
        <v>NaT</v>
      </c>
      <c r="H101" s="14">
        <f t="shared" si="9"/>
        <v>0</v>
      </c>
      <c r="I101" s="11">
        <f t="shared" si="10"/>
        <v>0</v>
      </c>
      <c r="J101" s="11">
        <f t="shared" ca="1" si="11"/>
        <v>0</v>
      </c>
    </row>
    <row r="102" spans="1:10" hidden="1" x14ac:dyDescent="0.35">
      <c r="A102" s="20">
        <f>INDEX(signals_2020_05!$A$2:$A$680, MATCH(B102, signals_2020_05!$B$2:$B$680, 0))</f>
        <v>4130</v>
      </c>
      <c r="B102" s="2" t="str">
        <f>signals_2020_05!B92</f>
        <v>Brakes pressure, Max</v>
      </c>
      <c r="C102" s="9" t="str">
        <f>INDEX(signals_2020_05!$C$2:$AJ$680, MATCH($B102, signals_2020_05!$B$2:$B$680, 0), MATCH(C$2, signals_2020_05!$C$1:$AJ$1, 0))</f>
        <v>NaT</v>
      </c>
      <c r="D102" s="14">
        <f t="shared" si="6"/>
        <v>0</v>
      </c>
      <c r="E102" s="11">
        <f t="shared" si="7"/>
        <v>0</v>
      </c>
      <c r="F102" s="11">
        <f t="shared" ca="1" si="8"/>
        <v>0</v>
      </c>
      <c r="G102" s="9" t="e">
        <f>INDEX(signals_2019_10!$C$2:$AJ$682, MATCH($B102, signals_2019_10!$B$2:$B$682, 0), MATCH(C$2, signals_2019_10!$C$1:$AJ$1, 0))</f>
        <v>#N/A</v>
      </c>
      <c r="H102" s="14">
        <f t="shared" si="9"/>
        <v>0</v>
      </c>
      <c r="I102" s="11">
        <f t="shared" si="10"/>
        <v>0</v>
      </c>
      <c r="J102" s="11">
        <f t="shared" ca="1" si="11"/>
        <v>0</v>
      </c>
    </row>
    <row r="103" spans="1:10" hidden="1" x14ac:dyDescent="0.35">
      <c r="A103" s="20">
        <f>INDEX(signals_2020_05!$A$2:$A$680, MATCH(B103, signals_2020_05!$B$2:$B$680, 0))</f>
        <v>4131</v>
      </c>
      <c r="B103" s="2" t="str">
        <f>signals_2020_05!B93</f>
        <v>Brakes pressure, Min</v>
      </c>
      <c r="C103" s="9" t="str">
        <f>INDEX(signals_2020_05!$C$2:$AJ$680, MATCH($B103, signals_2020_05!$B$2:$B$680, 0), MATCH(C$2, signals_2020_05!$C$1:$AJ$1, 0))</f>
        <v>NaT</v>
      </c>
      <c r="D103" s="14">
        <f t="shared" si="6"/>
        <v>0</v>
      </c>
      <c r="E103" s="11">
        <f t="shared" si="7"/>
        <v>0</v>
      </c>
      <c r="F103" s="11">
        <f t="shared" ca="1" si="8"/>
        <v>0</v>
      </c>
      <c r="G103" s="9" t="e">
        <f>INDEX(signals_2019_10!$C$2:$AJ$682, MATCH($B103, signals_2019_10!$B$2:$B$682, 0), MATCH(C$2, signals_2019_10!$C$1:$AJ$1, 0))</f>
        <v>#N/A</v>
      </c>
      <c r="H103" s="14">
        <f t="shared" si="9"/>
        <v>0</v>
      </c>
      <c r="I103" s="11">
        <f t="shared" si="10"/>
        <v>0</v>
      </c>
      <c r="J103" s="11">
        <f t="shared" ca="1" si="11"/>
        <v>0</v>
      </c>
    </row>
    <row r="104" spans="1:10" hidden="1" x14ac:dyDescent="0.35">
      <c r="A104" s="20">
        <f>INDEX(signals_2020_05!$A$2:$A$680, MATCH(B104, signals_2020_05!$B$2:$B$680, 0))</f>
        <v>4132</v>
      </c>
      <c r="B104" s="2" t="str">
        <f>signals_2020_05!B94</f>
        <v>Brakes pressure, StdDev</v>
      </c>
      <c r="C104" s="9" t="str">
        <f>INDEX(signals_2020_05!$C$2:$AJ$680, MATCH($B104, signals_2020_05!$B$2:$B$680, 0), MATCH(C$2, signals_2020_05!$C$1:$AJ$1, 0))</f>
        <v>NaT</v>
      </c>
      <c r="D104" s="14">
        <f t="shared" si="6"/>
        <v>0</v>
      </c>
      <c r="E104" s="11">
        <f t="shared" si="7"/>
        <v>0</v>
      </c>
      <c r="F104" s="11">
        <f t="shared" ca="1" si="8"/>
        <v>0</v>
      </c>
      <c r="G104" s="9" t="e">
        <f>INDEX(signals_2019_10!$C$2:$AJ$682, MATCH($B104, signals_2019_10!$B$2:$B$682, 0), MATCH(C$2, signals_2019_10!$C$1:$AJ$1, 0))</f>
        <v>#N/A</v>
      </c>
      <c r="H104" s="14">
        <f t="shared" si="9"/>
        <v>0</v>
      </c>
      <c r="I104" s="11">
        <f t="shared" si="10"/>
        <v>0</v>
      </c>
      <c r="J104" s="11">
        <f t="shared" ca="1" si="11"/>
        <v>0</v>
      </c>
    </row>
    <row r="105" spans="1:10" hidden="1" x14ac:dyDescent="0.35">
      <c r="A105" s="20">
        <f>INDEX(signals_2020_05!$A$2:$A$680, MATCH(B105, signals_2020_05!$B$2:$B$680, 0))</f>
        <v>215</v>
      </c>
      <c r="B105" s="2" t="str">
        <f>signals_2020_05!B95</f>
        <v>Cable twist</v>
      </c>
      <c r="C105" s="9" t="str">
        <f>INDEX(signals_2020_05!$C$2:$AJ$680, MATCH($B105, signals_2020_05!$B$2:$B$680, 0), MATCH(C$2, signals_2020_05!$C$1:$AJ$1, 0))</f>
        <v>NaT</v>
      </c>
      <c r="D105" s="14">
        <f t="shared" si="6"/>
        <v>0</v>
      </c>
      <c r="E105" s="11">
        <f t="shared" si="7"/>
        <v>0</v>
      </c>
      <c r="F105" s="11">
        <f t="shared" ca="1" si="8"/>
        <v>0</v>
      </c>
      <c r="G105" s="9" t="str">
        <f>INDEX(signals_2019_10!$C$2:$AJ$682, MATCH($B105, signals_2019_10!$B$2:$B$682, 0), MATCH(C$2, signals_2019_10!$C$1:$AJ$1, 0))</f>
        <v>NaT</v>
      </c>
      <c r="H105" s="14">
        <f t="shared" si="9"/>
        <v>0</v>
      </c>
      <c r="I105" s="11">
        <f t="shared" si="10"/>
        <v>0</v>
      </c>
      <c r="J105" s="11">
        <f t="shared" ca="1" si="11"/>
        <v>0</v>
      </c>
    </row>
    <row r="106" spans="1:10" hidden="1" x14ac:dyDescent="0.35">
      <c r="A106" s="20">
        <f>INDEX(signals_2020_05!$A$2:$A$680, MATCH(B106, signals_2020_05!$B$2:$B$680, 0))</f>
        <v>321</v>
      </c>
      <c r="B106" s="2" t="str">
        <f>signals_2020_05!B96</f>
        <v>Cable twist (degrees)</v>
      </c>
      <c r="C106" s="9" t="str">
        <f>INDEX(signals_2020_05!$C$2:$AJ$680, MATCH($B106, signals_2020_05!$B$2:$B$680, 0), MATCH(C$2, signals_2020_05!$C$1:$AJ$1, 0))</f>
        <v>NaT</v>
      </c>
      <c r="D106" s="14">
        <f t="shared" si="6"/>
        <v>0</v>
      </c>
      <c r="E106" s="11">
        <f t="shared" si="7"/>
        <v>0</v>
      </c>
      <c r="F106" s="11">
        <f t="shared" ca="1" si="8"/>
        <v>0</v>
      </c>
      <c r="G106" s="9" t="str">
        <f>INDEX(signals_2019_10!$C$2:$AJ$682, MATCH($B106, signals_2019_10!$B$2:$B$682, 0), MATCH(C$2, signals_2019_10!$C$1:$AJ$1, 0))</f>
        <v>NaT</v>
      </c>
      <c r="H106" s="14">
        <f t="shared" si="9"/>
        <v>0</v>
      </c>
      <c r="I106" s="11">
        <f t="shared" si="10"/>
        <v>0</v>
      </c>
      <c r="J106" s="11">
        <f t="shared" ca="1" si="11"/>
        <v>0</v>
      </c>
    </row>
    <row r="107" spans="1:10" hidden="1" x14ac:dyDescent="0.35">
      <c r="A107" s="20">
        <f>INDEX(signals_2020_05!$A$2:$A$680, MATCH(B107, signals_2020_05!$B$2:$B$680, 0))</f>
        <v>4404</v>
      </c>
      <c r="B107" s="2" t="str">
        <f>signals_2020_05!B97</f>
        <v>Cable twist (degrees), Max</v>
      </c>
      <c r="C107" s="9" t="str">
        <f>INDEX(signals_2020_05!$C$2:$AJ$680, MATCH($B107, signals_2020_05!$B$2:$B$680, 0), MATCH(C$2, signals_2020_05!$C$1:$AJ$1, 0))</f>
        <v>NaT</v>
      </c>
      <c r="D107" s="14">
        <f t="shared" si="6"/>
        <v>0</v>
      </c>
      <c r="E107" s="11">
        <f t="shared" si="7"/>
        <v>0</v>
      </c>
      <c r="F107" s="11">
        <f t="shared" ca="1" si="8"/>
        <v>0</v>
      </c>
      <c r="G107" s="9" t="e">
        <f>INDEX(signals_2019_10!$C$2:$AJ$682, MATCH($B107, signals_2019_10!$B$2:$B$682, 0), MATCH(C$2, signals_2019_10!$C$1:$AJ$1, 0))</f>
        <v>#N/A</v>
      </c>
      <c r="H107" s="14">
        <f t="shared" si="9"/>
        <v>0</v>
      </c>
      <c r="I107" s="11">
        <f t="shared" si="10"/>
        <v>0</v>
      </c>
      <c r="J107" s="11">
        <f t="shared" ca="1" si="11"/>
        <v>0</v>
      </c>
    </row>
    <row r="108" spans="1:10" hidden="1" x14ac:dyDescent="0.35">
      <c r="A108" s="20">
        <f>INDEX(signals_2020_05!$A$2:$A$680, MATCH(B108, signals_2020_05!$B$2:$B$680, 0))</f>
        <v>4405</v>
      </c>
      <c r="B108" s="2" t="str">
        <f>signals_2020_05!B98</f>
        <v>Cable twist (degrees), Min</v>
      </c>
      <c r="C108" s="9" t="str">
        <f>INDEX(signals_2020_05!$C$2:$AJ$680, MATCH($B108, signals_2020_05!$B$2:$B$680, 0), MATCH(C$2, signals_2020_05!$C$1:$AJ$1, 0))</f>
        <v>NaT</v>
      </c>
      <c r="D108" s="14">
        <f t="shared" si="6"/>
        <v>0</v>
      </c>
      <c r="E108" s="11">
        <f t="shared" si="7"/>
        <v>0</v>
      </c>
      <c r="F108" s="11">
        <f t="shared" ca="1" si="8"/>
        <v>0</v>
      </c>
      <c r="G108" s="9" t="e">
        <f>INDEX(signals_2019_10!$C$2:$AJ$682, MATCH($B108, signals_2019_10!$B$2:$B$682, 0), MATCH(C$2, signals_2019_10!$C$1:$AJ$1, 0))</f>
        <v>#N/A</v>
      </c>
      <c r="H108" s="14">
        <f t="shared" si="9"/>
        <v>0</v>
      </c>
      <c r="I108" s="11">
        <f t="shared" si="10"/>
        <v>0</v>
      </c>
      <c r="J108" s="11">
        <f t="shared" ca="1" si="11"/>
        <v>0</v>
      </c>
    </row>
    <row r="109" spans="1:10" hidden="1" x14ac:dyDescent="0.35">
      <c r="A109" s="20">
        <f>INDEX(signals_2020_05!$A$2:$A$680, MATCH(B109, signals_2020_05!$B$2:$B$680, 0))</f>
        <v>4406</v>
      </c>
      <c r="B109" s="2" t="str">
        <f>signals_2020_05!B99</f>
        <v>Cable twist (degrees), StdDev</v>
      </c>
      <c r="C109" s="9" t="str">
        <f>INDEX(signals_2020_05!$C$2:$AJ$680, MATCH($B109, signals_2020_05!$B$2:$B$680, 0), MATCH(C$2, signals_2020_05!$C$1:$AJ$1, 0))</f>
        <v>NaT</v>
      </c>
      <c r="D109" s="14">
        <f t="shared" si="6"/>
        <v>0</v>
      </c>
      <c r="E109" s="11">
        <f t="shared" si="7"/>
        <v>0</v>
      </c>
      <c r="F109" s="11">
        <f t="shared" ca="1" si="8"/>
        <v>0</v>
      </c>
      <c r="G109" s="9" t="e">
        <f>INDEX(signals_2019_10!$C$2:$AJ$682, MATCH($B109, signals_2019_10!$B$2:$B$682, 0), MATCH(C$2, signals_2019_10!$C$1:$AJ$1, 0))</f>
        <v>#N/A</v>
      </c>
      <c r="H109" s="14">
        <f t="shared" si="9"/>
        <v>0</v>
      </c>
      <c r="I109" s="11">
        <f t="shared" si="10"/>
        <v>0</v>
      </c>
      <c r="J109" s="11">
        <f t="shared" ca="1" si="11"/>
        <v>0</v>
      </c>
    </row>
    <row r="110" spans="1:10" hidden="1" x14ac:dyDescent="0.35">
      <c r="A110" s="20">
        <f>INDEX(signals_2020_05!$A$2:$A$680, MATCH(B110, signals_2020_05!$B$2:$B$680, 0))</f>
        <v>4401</v>
      </c>
      <c r="B110" s="2" t="str">
        <f>signals_2020_05!B100</f>
        <v>Cable twist, Max</v>
      </c>
      <c r="C110" s="9" t="str">
        <f>INDEX(signals_2020_05!$C$2:$AJ$680, MATCH($B110, signals_2020_05!$B$2:$B$680, 0), MATCH(C$2, signals_2020_05!$C$1:$AJ$1, 0))</f>
        <v>NaT</v>
      </c>
      <c r="D110" s="14">
        <f t="shared" si="6"/>
        <v>0</v>
      </c>
      <c r="E110" s="11">
        <f t="shared" si="7"/>
        <v>0</v>
      </c>
      <c r="F110" s="11">
        <f t="shared" ca="1" si="8"/>
        <v>0</v>
      </c>
      <c r="G110" s="9" t="e">
        <f>INDEX(signals_2019_10!$C$2:$AJ$682, MATCH($B110, signals_2019_10!$B$2:$B$682, 0), MATCH(C$2, signals_2019_10!$C$1:$AJ$1, 0))</f>
        <v>#N/A</v>
      </c>
      <c r="H110" s="14">
        <f t="shared" si="9"/>
        <v>0</v>
      </c>
      <c r="I110" s="11">
        <f t="shared" si="10"/>
        <v>0</v>
      </c>
      <c r="J110" s="11">
        <f t="shared" ca="1" si="11"/>
        <v>0</v>
      </c>
    </row>
    <row r="111" spans="1:10" hidden="1" x14ac:dyDescent="0.35">
      <c r="A111" s="20">
        <f>INDEX(signals_2020_05!$A$2:$A$680, MATCH(B111, signals_2020_05!$B$2:$B$680, 0))</f>
        <v>4402</v>
      </c>
      <c r="B111" s="2" t="str">
        <f>signals_2020_05!B101</f>
        <v>Cable twist, Min</v>
      </c>
      <c r="C111" s="9" t="str">
        <f>INDEX(signals_2020_05!$C$2:$AJ$680, MATCH($B111, signals_2020_05!$B$2:$B$680, 0), MATCH(C$2, signals_2020_05!$C$1:$AJ$1, 0))</f>
        <v>NaT</v>
      </c>
      <c r="D111" s="14">
        <f t="shared" si="6"/>
        <v>0</v>
      </c>
      <c r="E111" s="11">
        <f t="shared" si="7"/>
        <v>0</v>
      </c>
      <c r="F111" s="11">
        <f t="shared" ca="1" si="8"/>
        <v>0</v>
      </c>
      <c r="G111" s="9" t="e">
        <f>INDEX(signals_2019_10!$C$2:$AJ$682, MATCH($B111, signals_2019_10!$B$2:$B$682, 0), MATCH(C$2, signals_2019_10!$C$1:$AJ$1, 0))</f>
        <v>#N/A</v>
      </c>
      <c r="H111" s="14">
        <f t="shared" si="9"/>
        <v>0</v>
      </c>
      <c r="I111" s="11">
        <f t="shared" si="10"/>
        <v>0</v>
      </c>
      <c r="J111" s="11">
        <f t="shared" ca="1" si="11"/>
        <v>0</v>
      </c>
    </row>
    <row r="112" spans="1:10" hidden="1" x14ac:dyDescent="0.35">
      <c r="A112" s="20">
        <f>INDEX(signals_2020_05!$A$2:$A$680, MATCH(B112, signals_2020_05!$B$2:$B$680, 0))</f>
        <v>4403</v>
      </c>
      <c r="B112" s="2" t="str">
        <f>signals_2020_05!B102</f>
        <v>Cable twist, StdDev</v>
      </c>
      <c r="C112" s="9" t="str">
        <f>INDEX(signals_2020_05!$C$2:$AJ$680, MATCH($B112, signals_2020_05!$B$2:$B$680, 0), MATCH(C$2, signals_2020_05!$C$1:$AJ$1, 0))</f>
        <v>NaT</v>
      </c>
      <c r="D112" s="14">
        <f t="shared" si="6"/>
        <v>0</v>
      </c>
      <c r="E112" s="11">
        <f t="shared" si="7"/>
        <v>0</v>
      </c>
      <c r="F112" s="11">
        <f t="shared" ca="1" si="8"/>
        <v>0</v>
      </c>
      <c r="G112" s="9" t="e">
        <f>INDEX(signals_2019_10!$C$2:$AJ$682, MATCH($B112, signals_2019_10!$B$2:$B$682, 0), MATCH(C$2, signals_2019_10!$C$1:$AJ$1, 0))</f>
        <v>#N/A</v>
      </c>
      <c r="H112" s="14">
        <f t="shared" si="9"/>
        <v>0</v>
      </c>
      <c r="I112" s="11">
        <f t="shared" si="10"/>
        <v>0</v>
      </c>
      <c r="J112" s="11">
        <f t="shared" ca="1" si="11"/>
        <v>0</v>
      </c>
    </row>
    <row r="113" spans="1:10" hidden="1" x14ac:dyDescent="0.35">
      <c r="A113" s="20">
        <f>INDEX(signals_2020_05!$A$2:$A$680, MATCH(B113, signals_2020_05!$B$2:$B$680, 0))</f>
        <v>33</v>
      </c>
      <c r="B113" s="2" t="str">
        <f>signals_2020_05!B103</f>
        <v>Control cabinet temperature</v>
      </c>
      <c r="C113" s="9" t="str">
        <f>INDEX(signals_2020_05!$C$2:$AJ$680, MATCH($B113, signals_2020_05!$B$2:$B$680, 0), MATCH(C$2, signals_2020_05!$C$1:$AJ$1, 0))</f>
        <v>NaT</v>
      </c>
      <c r="D113" s="14">
        <f t="shared" si="6"/>
        <v>0</v>
      </c>
      <c r="E113" s="11">
        <f t="shared" si="7"/>
        <v>0</v>
      </c>
      <c r="F113" s="11">
        <f t="shared" ca="1" si="8"/>
        <v>0</v>
      </c>
      <c r="G113" s="9" t="str">
        <f>INDEX(signals_2019_10!$C$2:$AJ$682, MATCH($B113, signals_2019_10!$B$2:$B$682, 0), MATCH(C$2, signals_2019_10!$C$1:$AJ$1, 0))</f>
        <v>NaT</v>
      </c>
      <c r="H113" s="14">
        <f t="shared" si="9"/>
        <v>0</v>
      </c>
      <c r="I113" s="11">
        <f t="shared" si="10"/>
        <v>0</v>
      </c>
      <c r="J113" s="11">
        <f t="shared" ca="1" si="11"/>
        <v>0</v>
      </c>
    </row>
    <row r="114" spans="1:10" hidden="1" x14ac:dyDescent="0.35">
      <c r="A114" s="20">
        <f>INDEX(signals_2020_05!$A$2:$A$680, MATCH(B114, signals_2020_05!$B$2:$B$680, 0))</f>
        <v>3013</v>
      </c>
      <c r="B114" s="2" t="str">
        <f>signals_2020_05!B104</f>
        <v>Control cabinet temperature, Max</v>
      </c>
      <c r="C114" s="9" t="str">
        <f>INDEX(signals_2020_05!$C$2:$AJ$680, MATCH($B114, signals_2020_05!$B$2:$B$680, 0), MATCH(C$2, signals_2020_05!$C$1:$AJ$1, 0))</f>
        <v>NaT</v>
      </c>
      <c r="D114" s="14">
        <f t="shared" si="6"/>
        <v>0</v>
      </c>
      <c r="E114" s="11">
        <f t="shared" si="7"/>
        <v>0</v>
      </c>
      <c r="F114" s="11">
        <f t="shared" ca="1" si="8"/>
        <v>0</v>
      </c>
      <c r="G114" s="9" t="e">
        <f>INDEX(signals_2019_10!$C$2:$AJ$682, MATCH($B114, signals_2019_10!$B$2:$B$682, 0), MATCH(C$2, signals_2019_10!$C$1:$AJ$1, 0))</f>
        <v>#N/A</v>
      </c>
      <c r="H114" s="14">
        <f t="shared" si="9"/>
        <v>0</v>
      </c>
      <c r="I114" s="11">
        <f t="shared" si="10"/>
        <v>0</v>
      </c>
      <c r="J114" s="11">
        <f t="shared" ca="1" si="11"/>
        <v>0</v>
      </c>
    </row>
    <row r="115" spans="1:10" hidden="1" x14ac:dyDescent="0.35">
      <c r="A115" s="20">
        <f>INDEX(signals_2020_05!$A$2:$A$680, MATCH(B115, signals_2020_05!$B$2:$B$680, 0))</f>
        <v>3014</v>
      </c>
      <c r="B115" s="2" t="str">
        <f>signals_2020_05!B105</f>
        <v>Control cabinet temperature, Min</v>
      </c>
      <c r="C115" s="9" t="str">
        <f>INDEX(signals_2020_05!$C$2:$AJ$680, MATCH($B115, signals_2020_05!$B$2:$B$680, 0), MATCH(C$2, signals_2020_05!$C$1:$AJ$1, 0))</f>
        <v>NaT</v>
      </c>
      <c r="D115" s="14">
        <f t="shared" si="6"/>
        <v>0</v>
      </c>
      <c r="E115" s="11">
        <f t="shared" si="7"/>
        <v>0</v>
      </c>
      <c r="F115" s="11">
        <f t="shared" ca="1" si="8"/>
        <v>0</v>
      </c>
      <c r="G115" s="9" t="e">
        <f>INDEX(signals_2019_10!$C$2:$AJ$682, MATCH($B115, signals_2019_10!$B$2:$B$682, 0), MATCH(C$2, signals_2019_10!$C$1:$AJ$1, 0))</f>
        <v>#N/A</v>
      </c>
      <c r="H115" s="14">
        <f t="shared" si="9"/>
        <v>0</v>
      </c>
      <c r="I115" s="11">
        <f t="shared" si="10"/>
        <v>0</v>
      </c>
      <c r="J115" s="11">
        <f t="shared" ca="1" si="11"/>
        <v>0</v>
      </c>
    </row>
    <row r="116" spans="1:10" hidden="1" x14ac:dyDescent="0.35">
      <c r="A116" s="20">
        <f>INDEX(signals_2020_05!$A$2:$A$680, MATCH(B116, signals_2020_05!$B$2:$B$680, 0))</f>
        <v>3015</v>
      </c>
      <c r="B116" s="2" t="str">
        <f>signals_2020_05!B106</f>
        <v>Control cabinet temperature, StdDev</v>
      </c>
      <c r="C116" s="9" t="str">
        <f>INDEX(signals_2020_05!$C$2:$AJ$680, MATCH($B116, signals_2020_05!$B$2:$B$680, 0), MATCH(C$2, signals_2020_05!$C$1:$AJ$1, 0))</f>
        <v>NaT</v>
      </c>
      <c r="D116" s="14">
        <f t="shared" si="6"/>
        <v>0</v>
      </c>
      <c r="E116" s="11">
        <f t="shared" si="7"/>
        <v>0</v>
      </c>
      <c r="F116" s="11">
        <f t="shared" ca="1" si="8"/>
        <v>0</v>
      </c>
      <c r="G116" s="9" t="e">
        <f>INDEX(signals_2019_10!$C$2:$AJ$682, MATCH($B116, signals_2019_10!$B$2:$B$682, 0), MATCH(C$2, signals_2019_10!$C$1:$AJ$1, 0))</f>
        <v>#N/A</v>
      </c>
      <c r="H116" s="14">
        <f t="shared" si="9"/>
        <v>0</v>
      </c>
      <c r="I116" s="11">
        <f t="shared" si="10"/>
        <v>0</v>
      </c>
      <c r="J116" s="11">
        <f t="shared" ca="1" si="11"/>
        <v>0</v>
      </c>
    </row>
    <row r="117" spans="1:10" hidden="1" x14ac:dyDescent="0.35">
      <c r="A117" s="20">
        <f>INDEX(signals_2020_05!$A$2:$A$680, MATCH(B117, signals_2020_05!$B$2:$B$680, 0))</f>
        <v>302</v>
      </c>
      <c r="B117" s="2" t="str">
        <f>signals_2020_05!B107</f>
        <v>Controller VCP temperature</v>
      </c>
      <c r="C117" s="9" t="str">
        <f>INDEX(signals_2020_05!$C$2:$AJ$680, MATCH($B117, signals_2020_05!$B$2:$B$680, 0), MATCH(C$2, signals_2020_05!$C$1:$AJ$1, 0))</f>
        <v>NaT</v>
      </c>
      <c r="D117" s="14">
        <f t="shared" si="6"/>
        <v>0</v>
      </c>
      <c r="E117" s="11">
        <f t="shared" si="7"/>
        <v>0</v>
      </c>
      <c r="F117" s="11">
        <f t="shared" ca="1" si="8"/>
        <v>0</v>
      </c>
      <c r="G117" s="9" t="str">
        <f>INDEX(signals_2019_10!$C$2:$AJ$682, MATCH($B117, signals_2019_10!$B$2:$B$682, 0), MATCH(C$2, signals_2019_10!$C$1:$AJ$1, 0))</f>
        <v>NaT</v>
      </c>
      <c r="H117" s="14">
        <f t="shared" si="9"/>
        <v>0</v>
      </c>
      <c r="I117" s="11">
        <f t="shared" si="10"/>
        <v>0</v>
      </c>
      <c r="J117" s="11">
        <f t="shared" ca="1" si="11"/>
        <v>0</v>
      </c>
    </row>
    <row r="118" spans="1:10" hidden="1" x14ac:dyDescent="0.35">
      <c r="A118" s="20">
        <f>INDEX(signals_2020_05!$A$2:$A$680, MATCH(B118, signals_2020_05!$B$2:$B$680, 0))</f>
        <v>3760</v>
      </c>
      <c r="B118" s="2" t="str">
        <f>signals_2020_05!B108</f>
        <v>Controller VCP temperature, Max</v>
      </c>
      <c r="C118" s="9" t="str">
        <f>INDEX(signals_2020_05!$C$2:$AJ$680, MATCH($B118, signals_2020_05!$B$2:$B$680, 0), MATCH(C$2, signals_2020_05!$C$1:$AJ$1, 0))</f>
        <v>NaT</v>
      </c>
      <c r="D118" s="14">
        <f t="shared" si="6"/>
        <v>0</v>
      </c>
      <c r="E118" s="11">
        <f t="shared" si="7"/>
        <v>0</v>
      </c>
      <c r="F118" s="11">
        <f t="shared" ca="1" si="8"/>
        <v>0</v>
      </c>
      <c r="G118" s="9" t="e">
        <f>INDEX(signals_2019_10!$C$2:$AJ$682, MATCH($B118, signals_2019_10!$B$2:$B$682, 0), MATCH(C$2, signals_2019_10!$C$1:$AJ$1, 0))</f>
        <v>#N/A</v>
      </c>
      <c r="H118" s="14">
        <f t="shared" si="9"/>
        <v>0</v>
      </c>
      <c r="I118" s="11">
        <f t="shared" si="10"/>
        <v>0</v>
      </c>
      <c r="J118" s="11">
        <f t="shared" ca="1" si="11"/>
        <v>0</v>
      </c>
    </row>
    <row r="119" spans="1:10" hidden="1" x14ac:dyDescent="0.35">
      <c r="A119" s="20">
        <f>INDEX(signals_2020_05!$A$2:$A$680, MATCH(B119, signals_2020_05!$B$2:$B$680, 0))</f>
        <v>3761</v>
      </c>
      <c r="B119" s="2" t="str">
        <f>signals_2020_05!B109</f>
        <v>Controller VCP temperature, Min</v>
      </c>
      <c r="C119" s="9" t="str">
        <f>INDEX(signals_2020_05!$C$2:$AJ$680, MATCH($B119, signals_2020_05!$B$2:$B$680, 0), MATCH(C$2, signals_2020_05!$C$1:$AJ$1, 0))</f>
        <v>NaT</v>
      </c>
      <c r="D119" s="14">
        <f t="shared" si="6"/>
        <v>0</v>
      </c>
      <c r="E119" s="11">
        <f t="shared" si="7"/>
        <v>0</v>
      </c>
      <c r="F119" s="11">
        <f t="shared" ca="1" si="8"/>
        <v>0</v>
      </c>
      <c r="G119" s="9" t="e">
        <f>INDEX(signals_2019_10!$C$2:$AJ$682, MATCH($B119, signals_2019_10!$B$2:$B$682, 0), MATCH(C$2, signals_2019_10!$C$1:$AJ$1, 0))</f>
        <v>#N/A</v>
      </c>
      <c r="H119" s="14">
        <f t="shared" si="9"/>
        <v>0</v>
      </c>
      <c r="I119" s="11">
        <f t="shared" si="10"/>
        <v>0</v>
      </c>
      <c r="J119" s="11">
        <f t="shared" ca="1" si="11"/>
        <v>0</v>
      </c>
    </row>
    <row r="120" spans="1:10" x14ac:dyDescent="0.35">
      <c r="A120" s="20">
        <f>INDEX(signals_2020_05!$A$2:$A$680, MATCH(B120, signals_2020_05!$B$2:$B$680, 0))</f>
        <v>49</v>
      </c>
      <c r="B120" s="2" t="str">
        <f>signals_2020_05!B110</f>
        <v>Current L1 / U</v>
      </c>
      <c r="C120" s="9">
        <f>INDEX(signals_2020_05!$C$2:$AJ$680, MATCH($B120, signals_2020_05!$B$2:$B$680, 0), MATCH(C$2, signals_2020_05!$C$1:$AJ$1, 0))</f>
        <v>43054.631944444445</v>
      </c>
      <c r="D120" s="14">
        <f t="shared" si="6"/>
        <v>1</v>
      </c>
      <c r="E120" s="11">
        <f t="shared" si="7"/>
        <v>1</v>
      </c>
      <c r="F120" s="11">
        <f t="shared" ca="1" si="8"/>
        <v>2.7</v>
      </c>
      <c r="G120" s="9">
        <f>INDEX(signals_2019_10!$C$2:$AJ$682, MATCH($B120, signals_2019_10!$B$2:$B$682, 0), MATCH(C$2, signals_2019_10!$C$1:$AJ$1, 0))</f>
        <v>43054.631944444445</v>
      </c>
      <c r="H120" s="14">
        <f t="shared" si="9"/>
        <v>1</v>
      </c>
      <c r="I120" s="11">
        <f t="shared" si="10"/>
        <v>1</v>
      </c>
      <c r="J120" s="11">
        <f t="shared" ca="1" si="11"/>
        <v>2.7</v>
      </c>
    </row>
    <row r="121" spans="1:10" hidden="1" x14ac:dyDescent="0.35">
      <c r="A121" s="20">
        <f>INDEX(signals_2020_05!$A$2:$A$680, MATCH(B121, signals_2020_05!$B$2:$B$680, 0))</f>
        <v>2890</v>
      </c>
      <c r="B121" s="2" t="str">
        <f>signals_2020_05!B111</f>
        <v>Current L1 / U, max</v>
      </c>
      <c r="C121" s="9" t="str">
        <f>INDEX(signals_2020_05!$C$2:$AJ$680, MATCH($B121, signals_2020_05!$B$2:$B$680, 0), MATCH(C$2, signals_2020_05!$C$1:$AJ$1, 0))</f>
        <v>NaT</v>
      </c>
      <c r="D121" s="14">
        <f t="shared" si="6"/>
        <v>0</v>
      </c>
      <c r="E121" s="11">
        <f t="shared" si="7"/>
        <v>0</v>
      </c>
      <c r="F121" s="11">
        <f t="shared" ca="1" si="8"/>
        <v>0</v>
      </c>
      <c r="G121" s="9" t="e">
        <f>INDEX(signals_2019_10!$C$2:$AJ$682, MATCH($B121, signals_2019_10!$B$2:$B$682, 0), MATCH(C$2, signals_2019_10!$C$1:$AJ$1, 0))</f>
        <v>#N/A</v>
      </c>
      <c r="H121" s="14">
        <f t="shared" si="9"/>
        <v>0</v>
      </c>
      <c r="I121" s="11">
        <f t="shared" si="10"/>
        <v>0</v>
      </c>
      <c r="J121" s="11">
        <f t="shared" ca="1" si="11"/>
        <v>0</v>
      </c>
    </row>
    <row r="122" spans="1:10" hidden="1" x14ac:dyDescent="0.35">
      <c r="A122" s="20">
        <f>INDEX(signals_2020_05!$A$2:$A$680, MATCH(B122, signals_2020_05!$B$2:$B$680, 0))</f>
        <v>2889</v>
      </c>
      <c r="B122" s="2" t="str">
        <f>signals_2020_05!B112</f>
        <v>Current L1 / U, min</v>
      </c>
      <c r="C122" s="9" t="str">
        <f>INDEX(signals_2020_05!$C$2:$AJ$680, MATCH($B122, signals_2020_05!$B$2:$B$680, 0), MATCH(C$2, signals_2020_05!$C$1:$AJ$1, 0))</f>
        <v>NaT</v>
      </c>
      <c r="D122" s="14">
        <f t="shared" si="6"/>
        <v>0</v>
      </c>
      <c r="E122" s="11">
        <f t="shared" si="7"/>
        <v>0</v>
      </c>
      <c r="F122" s="11">
        <f t="shared" ca="1" si="8"/>
        <v>0</v>
      </c>
      <c r="G122" s="9" t="e">
        <f>INDEX(signals_2019_10!$C$2:$AJ$682, MATCH($B122, signals_2019_10!$B$2:$B$682, 0), MATCH(C$2, signals_2019_10!$C$1:$AJ$1, 0))</f>
        <v>#N/A</v>
      </c>
      <c r="H122" s="14">
        <f t="shared" si="9"/>
        <v>0</v>
      </c>
      <c r="I122" s="11">
        <f t="shared" si="10"/>
        <v>0</v>
      </c>
      <c r="J122" s="11">
        <f t="shared" ca="1" si="11"/>
        <v>0</v>
      </c>
    </row>
    <row r="123" spans="1:10" hidden="1" x14ac:dyDescent="0.35">
      <c r="A123" s="20">
        <f>INDEX(signals_2020_05!$A$2:$A$680, MATCH(B123, signals_2020_05!$B$2:$B$680, 0))</f>
        <v>2891</v>
      </c>
      <c r="B123" s="2" t="str">
        <f>signals_2020_05!B113</f>
        <v>Current L1 / U, StdDev</v>
      </c>
      <c r="C123" s="9" t="str">
        <f>INDEX(signals_2020_05!$C$2:$AJ$680, MATCH($B123, signals_2020_05!$B$2:$B$680, 0), MATCH(C$2, signals_2020_05!$C$1:$AJ$1, 0))</f>
        <v>NaT</v>
      </c>
      <c r="D123" s="14">
        <f t="shared" si="6"/>
        <v>0</v>
      </c>
      <c r="E123" s="11">
        <f t="shared" si="7"/>
        <v>0</v>
      </c>
      <c r="F123" s="11">
        <f t="shared" ca="1" si="8"/>
        <v>0</v>
      </c>
      <c r="G123" s="9" t="e">
        <f>INDEX(signals_2019_10!$C$2:$AJ$682, MATCH($B123, signals_2019_10!$B$2:$B$682, 0), MATCH(C$2, signals_2019_10!$C$1:$AJ$1, 0))</f>
        <v>#N/A</v>
      </c>
      <c r="H123" s="14">
        <f t="shared" si="9"/>
        <v>0</v>
      </c>
      <c r="I123" s="11">
        <f t="shared" si="10"/>
        <v>0</v>
      </c>
      <c r="J123" s="11">
        <f t="shared" ca="1" si="11"/>
        <v>0</v>
      </c>
    </row>
    <row r="124" spans="1:10" x14ac:dyDescent="0.35">
      <c r="A124" s="20">
        <f>INDEX(signals_2020_05!$A$2:$A$680, MATCH(B124, signals_2020_05!$B$2:$B$680, 0))</f>
        <v>50</v>
      </c>
      <c r="B124" s="2" t="str">
        <f>signals_2020_05!B114</f>
        <v>Current L2 / V</v>
      </c>
      <c r="C124" s="9">
        <f>INDEX(signals_2020_05!$C$2:$AJ$680, MATCH($B124, signals_2020_05!$B$2:$B$680, 0), MATCH(C$2, signals_2020_05!$C$1:$AJ$1, 0))</f>
        <v>43054.631944444445</v>
      </c>
      <c r="D124" s="14">
        <f t="shared" si="6"/>
        <v>1</v>
      </c>
      <c r="E124" s="11">
        <f t="shared" si="7"/>
        <v>1</v>
      </c>
      <c r="F124" s="11">
        <f t="shared" ca="1" si="8"/>
        <v>2.7</v>
      </c>
      <c r="G124" s="9">
        <f>INDEX(signals_2019_10!$C$2:$AJ$682, MATCH($B124, signals_2019_10!$B$2:$B$682, 0), MATCH(C$2, signals_2019_10!$C$1:$AJ$1, 0))</f>
        <v>43054.631944444445</v>
      </c>
      <c r="H124" s="14">
        <f t="shared" si="9"/>
        <v>1</v>
      </c>
      <c r="I124" s="11">
        <f t="shared" si="10"/>
        <v>1</v>
      </c>
      <c r="J124" s="11">
        <f t="shared" ca="1" si="11"/>
        <v>2.7</v>
      </c>
    </row>
    <row r="125" spans="1:10" hidden="1" x14ac:dyDescent="0.35">
      <c r="A125" s="20">
        <f>INDEX(signals_2020_05!$A$2:$A$680, MATCH(B125, signals_2020_05!$B$2:$B$680, 0))</f>
        <v>3742</v>
      </c>
      <c r="B125" s="2" t="str">
        <f>signals_2020_05!B115</f>
        <v>Current L2 / V, max</v>
      </c>
      <c r="C125" s="9" t="str">
        <f>INDEX(signals_2020_05!$C$2:$AJ$680, MATCH($B125, signals_2020_05!$B$2:$B$680, 0), MATCH(C$2, signals_2020_05!$C$1:$AJ$1, 0))</f>
        <v>NaT</v>
      </c>
      <c r="D125" s="14">
        <f t="shared" si="6"/>
        <v>0</v>
      </c>
      <c r="E125" s="11">
        <f t="shared" si="7"/>
        <v>0</v>
      </c>
      <c r="F125" s="11">
        <f t="shared" ca="1" si="8"/>
        <v>0</v>
      </c>
      <c r="G125" s="9" t="e">
        <f>INDEX(signals_2019_10!$C$2:$AJ$682, MATCH($B125, signals_2019_10!$B$2:$B$682, 0), MATCH(C$2, signals_2019_10!$C$1:$AJ$1, 0))</f>
        <v>#N/A</v>
      </c>
      <c r="H125" s="14">
        <f t="shared" si="9"/>
        <v>0</v>
      </c>
      <c r="I125" s="11">
        <f t="shared" si="10"/>
        <v>0</v>
      </c>
      <c r="J125" s="11">
        <f t="shared" ca="1" si="11"/>
        <v>0</v>
      </c>
    </row>
    <row r="126" spans="1:10" hidden="1" x14ac:dyDescent="0.35">
      <c r="A126" s="20">
        <f>INDEX(signals_2020_05!$A$2:$A$680, MATCH(B126, signals_2020_05!$B$2:$B$680, 0))</f>
        <v>3783</v>
      </c>
      <c r="B126" s="2" t="str">
        <f>signals_2020_05!B116</f>
        <v>Current L2 / V, min</v>
      </c>
      <c r="C126" s="9" t="str">
        <f>INDEX(signals_2020_05!$C$2:$AJ$680, MATCH($B126, signals_2020_05!$B$2:$B$680, 0), MATCH(C$2, signals_2020_05!$C$1:$AJ$1, 0))</f>
        <v>NaT</v>
      </c>
      <c r="D126" s="14">
        <f t="shared" si="6"/>
        <v>0</v>
      </c>
      <c r="E126" s="11">
        <f t="shared" si="7"/>
        <v>0</v>
      </c>
      <c r="F126" s="11">
        <f t="shared" ca="1" si="8"/>
        <v>0</v>
      </c>
      <c r="G126" s="9" t="e">
        <f>INDEX(signals_2019_10!$C$2:$AJ$682, MATCH($B126, signals_2019_10!$B$2:$B$682, 0), MATCH(C$2, signals_2019_10!$C$1:$AJ$1, 0))</f>
        <v>#N/A</v>
      </c>
      <c r="H126" s="14">
        <f t="shared" si="9"/>
        <v>0</v>
      </c>
      <c r="I126" s="11">
        <f t="shared" si="10"/>
        <v>0</v>
      </c>
      <c r="J126" s="11">
        <f t="shared" ca="1" si="11"/>
        <v>0</v>
      </c>
    </row>
    <row r="127" spans="1:10" hidden="1" x14ac:dyDescent="0.35">
      <c r="A127" s="20">
        <f>INDEX(signals_2020_05!$A$2:$A$680, MATCH(B127, signals_2020_05!$B$2:$B$680, 0))</f>
        <v>3784</v>
      </c>
      <c r="B127" s="2" t="str">
        <f>signals_2020_05!B117</f>
        <v>Current L2 / V, StdDev</v>
      </c>
      <c r="C127" s="9" t="str">
        <f>INDEX(signals_2020_05!$C$2:$AJ$680, MATCH($B127, signals_2020_05!$B$2:$B$680, 0), MATCH(C$2, signals_2020_05!$C$1:$AJ$1, 0))</f>
        <v>NaT</v>
      </c>
      <c r="D127" s="14">
        <f t="shared" si="6"/>
        <v>0</v>
      </c>
      <c r="E127" s="11">
        <f t="shared" si="7"/>
        <v>0</v>
      </c>
      <c r="F127" s="11">
        <f t="shared" ca="1" si="8"/>
        <v>0</v>
      </c>
      <c r="G127" s="9" t="e">
        <f>INDEX(signals_2019_10!$C$2:$AJ$682, MATCH($B127, signals_2019_10!$B$2:$B$682, 0), MATCH(C$2, signals_2019_10!$C$1:$AJ$1, 0))</f>
        <v>#N/A</v>
      </c>
      <c r="H127" s="14">
        <f t="shared" si="9"/>
        <v>0</v>
      </c>
      <c r="I127" s="11">
        <f t="shared" si="10"/>
        <v>0</v>
      </c>
      <c r="J127" s="11">
        <f t="shared" ca="1" si="11"/>
        <v>0</v>
      </c>
    </row>
    <row r="128" spans="1:10" x14ac:dyDescent="0.35">
      <c r="A128" s="20">
        <f>INDEX(signals_2020_05!$A$2:$A$680, MATCH(B128, signals_2020_05!$B$2:$B$680, 0))</f>
        <v>51</v>
      </c>
      <c r="B128" s="2" t="str">
        <f>signals_2020_05!B118</f>
        <v>Current L3 / W</v>
      </c>
      <c r="C128" s="9">
        <f>INDEX(signals_2020_05!$C$2:$AJ$680, MATCH($B128, signals_2020_05!$B$2:$B$680, 0), MATCH(C$2, signals_2020_05!$C$1:$AJ$1, 0))</f>
        <v>43054.631944444445</v>
      </c>
      <c r="D128" s="14">
        <f t="shared" si="6"/>
        <v>1</v>
      </c>
      <c r="E128" s="11">
        <f t="shared" si="7"/>
        <v>1</v>
      </c>
      <c r="F128" s="11">
        <f t="shared" ca="1" si="8"/>
        <v>2.7</v>
      </c>
      <c r="G128" s="9">
        <f>INDEX(signals_2019_10!$C$2:$AJ$682, MATCH($B128, signals_2019_10!$B$2:$B$682, 0), MATCH(C$2, signals_2019_10!$C$1:$AJ$1, 0))</f>
        <v>43054.631944444445</v>
      </c>
      <c r="H128" s="14">
        <f t="shared" si="9"/>
        <v>1</v>
      </c>
      <c r="I128" s="11">
        <f t="shared" si="10"/>
        <v>1</v>
      </c>
      <c r="J128" s="11">
        <f t="shared" ca="1" si="11"/>
        <v>2.7</v>
      </c>
    </row>
    <row r="129" spans="1:10" hidden="1" x14ac:dyDescent="0.35">
      <c r="A129" s="20">
        <f>INDEX(signals_2020_05!$A$2:$A$680, MATCH(B129, signals_2020_05!$B$2:$B$680, 0))</f>
        <v>3743</v>
      </c>
      <c r="B129" s="2" t="str">
        <f>signals_2020_05!B119</f>
        <v>Current L3 / W, max</v>
      </c>
      <c r="C129" s="9" t="str">
        <f>INDEX(signals_2020_05!$C$2:$AJ$680, MATCH($B129, signals_2020_05!$B$2:$B$680, 0), MATCH(C$2, signals_2020_05!$C$1:$AJ$1, 0))</f>
        <v>NaT</v>
      </c>
      <c r="D129" s="14">
        <f t="shared" si="6"/>
        <v>0</v>
      </c>
      <c r="E129" s="11">
        <f t="shared" si="7"/>
        <v>0</v>
      </c>
      <c r="F129" s="11">
        <f t="shared" ca="1" si="8"/>
        <v>0</v>
      </c>
      <c r="G129" s="9" t="e">
        <f>INDEX(signals_2019_10!$C$2:$AJ$682, MATCH($B129, signals_2019_10!$B$2:$B$682, 0), MATCH(C$2, signals_2019_10!$C$1:$AJ$1, 0))</f>
        <v>#N/A</v>
      </c>
      <c r="H129" s="14">
        <f t="shared" si="9"/>
        <v>0</v>
      </c>
      <c r="I129" s="11">
        <f t="shared" si="10"/>
        <v>0</v>
      </c>
      <c r="J129" s="11">
        <f t="shared" ca="1" si="11"/>
        <v>0</v>
      </c>
    </row>
    <row r="130" spans="1:10" hidden="1" x14ac:dyDescent="0.35">
      <c r="A130" s="20">
        <f>INDEX(signals_2020_05!$A$2:$A$680, MATCH(B130, signals_2020_05!$B$2:$B$680, 0))</f>
        <v>3785</v>
      </c>
      <c r="B130" s="2" t="str">
        <f>signals_2020_05!B120</f>
        <v>Current L3 / W, min</v>
      </c>
      <c r="C130" s="9" t="str">
        <f>INDEX(signals_2020_05!$C$2:$AJ$680, MATCH($B130, signals_2020_05!$B$2:$B$680, 0), MATCH(C$2, signals_2020_05!$C$1:$AJ$1, 0))</f>
        <v>NaT</v>
      </c>
      <c r="D130" s="14">
        <f t="shared" si="6"/>
        <v>0</v>
      </c>
      <c r="E130" s="11">
        <f t="shared" si="7"/>
        <v>0</v>
      </c>
      <c r="F130" s="11">
        <f t="shared" ca="1" si="8"/>
        <v>0</v>
      </c>
      <c r="G130" s="9" t="e">
        <f>INDEX(signals_2019_10!$C$2:$AJ$682, MATCH($B130, signals_2019_10!$B$2:$B$682, 0), MATCH(C$2, signals_2019_10!$C$1:$AJ$1, 0))</f>
        <v>#N/A</v>
      </c>
      <c r="H130" s="14">
        <f t="shared" si="9"/>
        <v>0</v>
      </c>
      <c r="I130" s="11">
        <f t="shared" si="10"/>
        <v>0</v>
      </c>
      <c r="J130" s="11">
        <f t="shared" ca="1" si="11"/>
        <v>0</v>
      </c>
    </row>
    <row r="131" spans="1:10" hidden="1" x14ac:dyDescent="0.35">
      <c r="A131" s="20">
        <f>INDEX(signals_2020_05!$A$2:$A$680, MATCH(B131, signals_2020_05!$B$2:$B$680, 0))</f>
        <v>3786</v>
      </c>
      <c r="B131" s="2" t="str">
        <f>signals_2020_05!B121</f>
        <v>Current L3 / W, StdDev</v>
      </c>
      <c r="C131" s="9" t="str">
        <f>INDEX(signals_2020_05!$C$2:$AJ$680, MATCH($B131, signals_2020_05!$B$2:$B$680, 0), MATCH(C$2, signals_2020_05!$C$1:$AJ$1, 0))</f>
        <v>NaT</v>
      </c>
      <c r="D131" s="14">
        <f t="shared" si="6"/>
        <v>0</v>
      </c>
      <c r="E131" s="11">
        <f t="shared" si="7"/>
        <v>0</v>
      </c>
      <c r="F131" s="11">
        <f t="shared" ca="1" si="8"/>
        <v>0</v>
      </c>
      <c r="G131" s="9" t="e">
        <f>INDEX(signals_2019_10!$C$2:$AJ$682, MATCH($B131, signals_2019_10!$B$2:$B$682, 0), MATCH(C$2, signals_2019_10!$C$1:$AJ$1, 0))</f>
        <v>#N/A</v>
      </c>
      <c r="H131" s="14">
        <f t="shared" si="9"/>
        <v>0</v>
      </c>
      <c r="I131" s="11">
        <f t="shared" si="10"/>
        <v>0</v>
      </c>
      <c r="J131" s="11">
        <f t="shared" ca="1" si="11"/>
        <v>0</v>
      </c>
    </row>
    <row r="132" spans="1:10" hidden="1" x14ac:dyDescent="0.35">
      <c r="A132" s="20">
        <f>INDEX(signals_2020_05!$A$2:$A$680, MATCH(B132, signals_2020_05!$B$2:$B$680, 0))</f>
        <v>416</v>
      </c>
      <c r="B132" s="2" t="str">
        <f>signals_2020_05!B122</f>
        <v>DC link voltage 1</v>
      </c>
      <c r="C132" s="9" t="str">
        <f>INDEX(signals_2020_05!$C$2:$AJ$680, MATCH($B132, signals_2020_05!$B$2:$B$680, 0), MATCH(C$2, signals_2020_05!$C$1:$AJ$1, 0))</f>
        <v>NaT</v>
      </c>
      <c r="D132" s="14">
        <f t="shared" si="6"/>
        <v>0</v>
      </c>
      <c r="E132" s="11">
        <f t="shared" si="7"/>
        <v>0</v>
      </c>
      <c r="F132" s="11">
        <f t="shared" ca="1" si="8"/>
        <v>0</v>
      </c>
      <c r="G132" s="9" t="str">
        <f>INDEX(signals_2019_10!$C$2:$AJ$682, MATCH($B132, signals_2019_10!$B$2:$B$682, 0), MATCH(C$2, signals_2019_10!$C$1:$AJ$1, 0))</f>
        <v>NaT</v>
      </c>
      <c r="H132" s="14">
        <f t="shared" si="9"/>
        <v>0</v>
      </c>
      <c r="I132" s="11">
        <f t="shared" si="10"/>
        <v>0</v>
      </c>
      <c r="J132" s="11">
        <f t="shared" ca="1" si="11"/>
        <v>0</v>
      </c>
    </row>
    <row r="133" spans="1:10" hidden="1" x14ac:dyDescent="0.35">
      <c r="A133" s="20">
        <f>INDEX(signals_2020_05!$A$2:$A$680, MATCH(B133, signals_2020_05!$B$2:$B$680, 0))</f>
        <v>4308</v>
      </c>
      <c r="B133" s="2" t="str">
        <f>signals_2020_05!B123</f>
        <v>DC link voltage 1, Max</v>
      </c>
      <c r="C133" s="9" t="str">
        <f>INDEX(signals_2020_05!$C$2:$AJ$680, MATCH($B133, signals_2020_05!$B$2:$B$680, 0), MATCH(C$2, signals_2020_05!$C$1:$AJ$1, 0))</f>
        <v>NaT</v>
      </c>
      <c r="D133" s="14">
        <f t="shared" si="6"/>
        <v>0</v>
      </c>
      <c r="E133" s="11">
        <f t="shared" si="7"/>
        <v>0</v>
      </c>
      <c r="F133" s="11">
        <f t="shared" ca="1" si="8"/>
        <v>0</v>
      </c>
      <c r="G133" s="9" t="e">
        <f>INDEX(signals_2019_10!$C$2:$AJ$682, MATCH($B133, signals_2019_10!$B$2:$B$682, 0), MATCH(C$2, signals_2019_10!$C$1:$AJ$1, 0))</f>
        <v>#N/A</v>
      </c>
      <c r="H133" s="14">
        <f t="shared" si="9"/>
        <v>0</v>
      </c>
      <c r="I133" s="11">
        <f t="shared" si="10"/>
        <v>0</v>
      </c>
      <c r="J133" s="11">
        <f t="shared" ca="1" si="11"/>
        <v>0</v>
      </c>
    </row>
    <row r="134" spans="1:10" hidden="1" x14ac:dyDescent="0.35">
      <c r="A134" s="20">
        <f>INDEX(signals_2020_05!$A$2:$A$680, MATCH(B134, signals_2020_05!$B$2:$B$680, 0))</f>
        <v>4309</v>
      </c>
      <c r="B134" s="2" t="str">
        <f>signals_2020_05!B124</f>
        <v>DC link voltage 1, Min</v>
      </c>
      <c r="C134" s="9" t="str">
        <f>INDEX(signals_2020_05!$C$2:$AJ$680, MATCH($B134, signals_2020_05!$B$2:$B$680, 0), MATCH(C$2, signals_2020_05!$C$1:$AJ$1, 0))</f>
        <v>NaT</v>
      </c>
      <c r="D134" s="14">
        <f t="shared" si="6"/>
        <v>0</v>
      </c>
      <c r="E134" s="11">
        <f t="shared" si="7"/>
        <v>0</v>
      </c>
      <c r="F134" s="11">
        <f t="shared" ca="1" si="8"/>
        <v>0</v>
      </c>
      <c r="G134" s="9" t="e">
        <f>INDEX(signals_2019_10!$C$2:$AJ$682, MATCH($B134, signals_2019_10!$B$2:$B$682, 0), MATCH(C$2, signals_2019_10!$C$1:$AJ$1, 0))</f>
        <v>#N/A</v>
      </c>
      <c r="H134" s="14">
        <f t="shared" si="9"/>
        <v>0</v>
      </c>
      <c r="I134" s="11">
        <f t="shared" si="10"/>
        <v>0</v>
      </c>
      <c r="J134" s="11">
        <f t="shared" ca="1" si="11"/>
        <v>0</v>
      </c>
    </row>
    <row r="135" spans="1:10" hidden="1" x14ac:dyDescent="0.35">
      <c r="A135" s="20">
        <f>INDEX(signals_2020_05!$A$2:$A$680, MATCH(B135, signals_2020_05!$B$2:$B$680, 0))</f>
        <v>4310</v>
      </c>
      <c r="B135" s="2" t="str">
        <f>signals_2020_05!B125</f>
        <v>DC link voltage 1, StdDev</v>
      </c>
      <c r="C135" s="9" t="str">
        <f>INDEX(signals_2020_05!$C$2:$AJ$680, MATCH($B135, signals_2020_05!$B$2:$B$680, 0), MATCH(C$2, signals_2020_05!$C$1:$AJ$1, 0))</f>
        <v>NaT</v>
      </c>
      <c r="D135" s="14">
        <f t="shared" si="6"/>
        <v>0</v>
      </c>
      <c r="E135" s="11">
        <f t="shared" si="7"/>
        <v>0</v>
      </c>
      <c r="F135" s="11">
        <f t="shared" ca="1" si="8"/>
        <v>0</v>
      </c>
      <c r="G135" s="9" t="e">
        <f>INDEX(signals_2019_10!$C$2:$AJ$682, MATCH($B135, signals_2019_10!$B$2:$B$682, 0), MATCH(C$2, signals_2019_10!$C$1:$AJ$1, 0))</f>
        <v>#N/A</v>
      </c>
      <c r="H135" s="14">
        <f t="shared" si="9"/>
        <v>0</v>
      </c>
      <c r="I135" s="11">
        <f t="shared" si="10"/>
        <v>0</v>
      </c>
      <c r="J135" s="11">
        <f t="shared" ca="1" si="11"/>
        <v>0</v>
      </c>
    </row>
    <row r="136" spans="1:10" hidden="1" x14ac:dyDescent="0.35">
      <c r="A136" s="20">
        <f>INDEX(signals_2020_05!$A$2:$A$680, MATCH(B136, signals_2020_05!$B$2:$B$680, 0))</f>
        <v>417</v>
      </c>
      <c r="B136" s="2" t="str">
        <f>signals_2020_05!B126</f>
        <v>DC link voltage 2</v>
      </c>
      <c r="C136" s="9" t="str">
        <f>INDEX(signals_2020_05!$C$2:$AJ$680, MATCH($B136, signals_2020_05!$B$2:$B$680, 0), MATCH(C$2, signals_2020_05!$C$1:$AJ$1, 0))</f>
        <v>NaT</v>
      </c>
      <c r="D136" s="14">
        <f t="shared" si="6"/>
        <v>0</v>
      </c>
      <c r="E136" s="11">
        <f t="shared" si="7"/>
        <v>0</v>
      </c>
      <c r="F136" s="11">
        <f t="shared" ca="1" si="8"/>
        <v>0</v>
      </c>
      <c r="G136" s="9" t="str">
        <f>INDEX(signals_2019_10!$C$2:$AJ$682, MATCH($B136, signals_2019_10!$B$2:$B$682, 0), MATCH(C$2, signals_2019_10!$C$1:$AJ$1, 0))</f>
        <v>NaT</v>
      </c>
      <c r="H136" s="14">
        <f t="shared" si="9"/>
        <v>0</v>
      </c>
      <c r="I136" s="11">
        <f t="shared" si="10"/>
        <v>0</v>
      </c>
      <c r="J136" s="11">
        <f t="shared" ca="1" si="11"/>
        <v>0</v>
      </c>
    </row>
    <row r="137" spans="1:10" hidden="1" x14ac:dyDescent="0.35">
      <c r="A137" s="20">
        <f>INDEX(signals_2020_05!$A$2:$A$680, MATCH(B137, signals_2020_05!$B$2:$B$680, 0))</f>
        <v>4311</v>
      </c>
      <c r="B137" s="2" t="str">
        <f>signals_2020_05!B127</f>
        <v>DC link voltage 2, Max</v>
      </c>
      <c r="C137" s="9" t="str">
        <f>INDEX(signals_2020_05!$C$2:$AJ$680, MATCH($B137, signals_2020_05!$B$2:$B$680, 0), MATCH(C$2, signals_2020_05!$C$1:$AJ$1, 0))</f>
        <v>NaT</v>
      </c>
      <c r="D137" s="14">
        <f t="shared" si="6"/>
        <v>0</v>
      </c>
      <c r="E137" s="11">
        <f t="shared" si="7"/>
        <v>0</v>
      </c>
      <c r="F137" s="11">
        <f t="shared" ca="1" si="8"/>
        <v>0</v>
      </c>
      <c r="G137" s="9" t="e">
        <f>INDEX(signals_2019_10!$C$2:$AJ$682, MATCH($B137, signals_2019_10!$B$2:$B$682, 0), MATCH(C$2, signals_2019_10!$C$1:$AJ$1, 0))</f>
        <v>#N/A</v>
      </c>
      <c r="H137" s="14">
        <f t="shared" si="9"/>
        <v>0</v>
      </c>
      <c r="I137" s="11">
        <f t="shared" si="10"/>
        <v>0</v>
      </c>
      <c r="J137" s="11">
        <f t="shared" ca="1" si="11"/>
        <v>0</v>
      </c>
    </row>
    <row r="138" spans="1:10" hidden="1" x14ac:dyDescent="0.35">
      <c r="A138" s="20">
        <f>INDEX(signals_2020_05!$A$2:$A$680, MATCH(B138, signals_2020_05!$B$2:$B$680, 0))</f>
        <v>4312</v>
      </c>
      <c r="B138" s="2" t="str">
        <f>signals_2020_05!B128</f>
        <v>DC link voltage 2, Min</v>
      </c>
      <c r="C138" s="9" t="str">
        <f>INDEX(signals_2020_05!$C$2:$AJ$680, MATCH($B138, signals_2020_05!$B$2:$B$680, 0), MATCH(C$2, signals_2020_05!$C$1:$AJ$1, 0))</f>
        <v>NaT</v>
      </c>
      <c r="D138" s="14">
        <f t="shared" si="6"/>
        <v>0</v>
      </c>
      <c r="E138" s="11">
        <f t="shared" si="7"/>
        <v>0</v>
      </c>
      <c r="F138" s="11">
        <f t="shared" ca="1" si="8"/>
        <v>0</v>
      </c>
      <c r="G138" s="9" t="e">
        <f>INDEX(signals_2019_10!$C$2:$AJ$682, MATCH($B138, signals_2019_10!$B$2:$B$682, 0), MATCH(C$2, signals_2019_10!$C$1:$AJ$1, 0))</f>
        <v>#N/A</v>
      </c>
      <c r="H138" s="14">
        <f t="shared" si="9"/>
        <v>0</v>
      </c>
      <c r="I138" s="11">
        <f t="shared" si="10"/>
        <v>0</v>
      </c>
      <c r="J138" s="11">
        <f t="shared" ca="1" si="11"/>
        <v>0</v>
      </c>
    </row>
    <row r="139" spans="1:10" hidden="1" x14ac:dyDescent="0.35">
      <c r="A139" s="20">
        <f>INDEX(signals_2020_05!$A$2:$A$680, MATCH(B139, signals_2020_05!$B$2:$B$680, 0))</f>
        <v>4313</v>
      </c>
      <c r="B139" s="2" t="str">
        <f>signals_2020_05!B129</f>
        <v>DC link voltage 2, StdDev</v>
      </c>
      <c r="C139" s="9" t="str">
        <f>INDEX(signals_2020_05!$C$2:$AJ$680, MATCH($B139, signals_2020_05!$B$2:$B$680, 0), MATCH(C$2, signals_2020_05!$C$1:$AJ$1, 0))</f>
        <v>NaT</v>
      </c>
      <c r="D139" s="14">
        <f t="shared" si="6"/>
        <v>0</v>
      </c>
      <c r="E139" s="11">
        <f t="shared" si="7"/>
        <v>0</v>
      </c>
      <c r="F139" s="11">
        <f t="shared" ca="1" si="8"/>
        <v>0</v>
      </c>
      <c r="G139" s="9" t="e">
        <f>INDEX(signals_2019_10!$C$2:$AJ$682, MATCH($B139, signals_2019_10!$B$2:$B$682, 0), MATCH(C$2, signals_2019_10!$C$1:$AJ$1, 0))</f>
        <v>#N/A</v>
      </c>
      <c r="H139" s="14">
        <f t="shared" si="9"/>
        <v>0</v>
      </c>
      <c r="I139" s="11">
        <f t="shared" si="10"/>
        <v>0</v>
      </c>
      <c r="J139" s="11">
        <f t="shared" ca="1" si="11"/>
        <v>0</v>
      </c>
    </row>
    <row r="140" spans="1:10" hidden="1" x14ac:dyDescent="0.35">
      <c r="A140" s="20">
        <f>INDEX(signals_2020_05!$A$2:$A$680, MATCH(B140, signals_2020_05!$B$2:$B$680, 0))</f>
        <v>418</v>
      </c>
      <c r="B140" s="2" t="str">
        <f>signals_2020_05!B130</f>
        <v>DC link voltage 3</v>
      </c>
      <c r="C140" s="9" t="str">
        <f>INDEX(signals_2020_05!$C$2:$AJ$680, MATCH($B140, signals_2020_05!$B$2:$B$680, 0), MATCH(C$2, signals_2020_05!$C$1:$AJ$1, 0))</f>
        <v>NaT</v>
      </c>
      <c r="D140" s="14">
        <f t="shared" si="6"/>
        <v>0</v>
      </c>
      <c r="E140" s="11">
        <f t="shared" si="7"/>
        <v>0</v>
      </c>
      <c r="F140" s="11">
        <f t="shared" ca="1" si="8"/>
        <v>0</v>
      </c>
      <c r="G140" s="9" t="str">
        <f>INDEX(signals_2019_10!$C$2:$AJ$682, MATCH($B140, signals_2019_10!$B$2:$B$682, 0), MATCH(C$2, signals_2019_10!$C$1:$AJ$1, 0))</f>
        <v>NaT</v>
      </c>
      <c r="H140" s="14">
        <f t="shared" si="9"/>
        <v>0</v>
      </c>
      <c r="I140" s="11">
        <f t="shared" si="10"/>
        <v>0</v>
      </c>
      <c r="J140" s="11">
        <f t="shared" ca="1" si="11"/>
        <v>0</v>
      </c>
    </row>
    <row r="141" spans="1:10" hidden="1" x14ac:dyDescent="0.35">
      <c r="A141" s="20">
        <f>INDEX(signals_2020_05!$A$2:$A$680, MATCH(B141, signals_2020_05!$B$2:$B$680, 0))</f>
        <v>4314</v>
      </c>
      <c r="B141" s="2" t="str">
        <f>signals_2020_05!B131</f>
        <v>DC link voltage 3, Max</v>
      </c>
      <c r="C141" s="9" t="str">
        <f>INDEX(signals_2020_05!$C$2:$AJ$680, MATCH($B141, signals_2020_05!$B$2:$B$680, 0), MATCH(C$2, signals_2020_05!$C$1:$AJ$1, 0))</f>
        <v>NaT</v>
      </c>
      <c r="D141" s="14">
        <f t="shared" ref="D141:D204" si="12">IF(ISERROR(C141), 0, IF(C141="NaT", 0, 1))</f>
        <v>0</v>
      </c>
      <c r="E141" s="11">
        <f t="shared" ref="E141:E204" si="13">IF(D141, IF(FLOOR($C141, 1) = FLOOR($C$5, 1), 1, 0), 0)</f>
        <v>0</v>
      </c>
      <c r="F141" s="11">
        <f t="shared" ref="F141:F204" ca="1" si="14">IF(ISERROR(C141), 0, IF(C141="NaT", 0,ROUND(((NOW()-C141)/365.25)*10, 0)/10))</f>
        <v>0</v>
      </c>
      <c r="G141" s="9" t="e">
        <f>INDEX(signals_2019_10!$C$2:$AJ$682, MATCH($B141, signals_2019_10!$B$2:$B$682, 0), MATCH(C$2, signals_2019_10!$C$1:$AJ$1, 0))</f>
        <v>#N/A</v>
      </c>
      <c r="H141" s="14">
        <f t="shared" ref="H141:H204" si="15">IF(ISERROR(G141), 0, IF(G141="NaT", 0, 1))</f>
        <v>0</v>
      </c>
      <c r="I141" s="11">
        <f t="shared" ref="I141:I204" si="16">IF(H141, IF(FLOOR($C141, 1) = FLOOR($C$5, 1), 1, 0), 0)</f>
        <v>0</v>
      </c>
      <c r="J141" s="11">
        <f t="shared" ref="J141:J204" ca="1" si="17">IF(ISERROR(G141), 0, IF(G141="NaT", 0,ROUND(((NOW()-G141)/365.25)*10, 0)/10))</f>
        <v>0</v>
      </c>
    </row>
    <row r="142" spans="1:10" hidden="1" x14ac:dyDescent="0.35">
      <c r="A142" s="20">
        <f>INDEX(signals_2020_05!$A$2:$A$680, MATCH(B142, signals_2020_05!$B$2:$B$680, 0))</f>
        <v>4315</v>
      </c>
      <c r="B142" s="2" t="str">
        <f>signals_2020_05!B132</f>
        <v>DC link voltage 3, Min</v>
      </c>
      <c r="C142" s="9" t="str">
        <f>INDEX(signals_2020_05!$C$2:$AJ$680, MATCH($B142, signals_2020_05!$B$2:$B$680, 0), MATCH(C$2, signals_2020_05!$C$1:$AJ$1, 0))</f>
        <v>NaT</v>
      </c>
      <c r="D142" s="14">
        <f t="shared" si="12"/>
        <v>0</v>
      </c>
      <c r="E142" s="11">
        <f t="shared" si="13"/>
        <v>0</v>
      </c>
      <c r="F142" s="11">
        <f t="shared" ca="1" si="14"/>
        <v>0</v>
      </c>
      <c r="G142" s="9" t="e">
        <f>INDEX(signals_2019_10!$C$2:$AJ$682, MATCH($B142, signals_2019_10!$B$2:$B$682, 0), MATCH(C$2, signals_2019_10!$C$1:$AJ$1, 0))</f>
        <v>#N/A</v>
      </c>
      <c r="H142" s="14">
        <f t="shared" si="15"/>
        <v>0</v>
      </c>
      <c r="I142" s="11">
        <f t="shared" si="16"/>
        <v>0</v>
      </c>
      <c r="J142" s="11">
        <f t="shared" ca="1" si="17"/>
        <v>0</v>
      </c>
    </row>
    <row r="143" spans="1:10" hidden="1" x14ac:dyDescent="0.35">
      <c r="A143" s="20">
        <f>INDEX(signals_2020_05!$A$2:$A$680, MATCH(B143, signals_2020_05!$B$2:$B$680, 0))</f>
        <v>4316</v>
      </c>
      <c r="B143" s="2" t="str">
        <f>signals_2020_05!B133</f>
        <v>DC link voltage 3, StdDev</v>
      </c>
      <c r="C143" s="9" t="str">
        <f>INDEX(signals_2020_05!$C$2:$AJ$680, MATCH($B143, signals_2020_05!$B$2:$B$680, 0), MATCH(C$2, signals_2020_05!$C$1:$AJ$1, 0))</f>
        <v>NaT</v>
      </c>
      <c r="D143" s="14">
        <f t="shared" si="12"/>
        <v>0</v>
      </c>
      <c r="E143" s="11">
        <f t="shared" si="13"/>
        <v>0</v>
      </c>
      <c r="F143" s="11">
        <f t="shared" ca="1" si="14"/>
        <v>0</v>
      </c>
      <c r="G143" s="9" t="e">
        <f>INDEX(signals_2019_10!$C$2:$AJ$682, MATCH($B143, signals_2019_10!$B$2:$B$682, 0), MATCH(C$2, signals_2019_10!$C$1:$AJ$1, 0))</f>
        <v>#N/A</v>
      </c>
      <c r="H143" s="14">
        <f t="shared" si="15"/>
        <v>0</v>
      </c>
      <c r="I143" s="11">
        <f t="shared" si="16"/>
        <v>0</v>
      </c>
      <c r="J143" s="11">
        <f t="shared" ca="1" si="17"/>
        <v>0</v>
      </c>
    </row>
    <row r="144" spans="1:10" hidden="1" x14ac:dyDescent="0.35">
      <c r="A144" s="20">
        <f>INDEX(signals_2020_05!$A$2:$A$680, MATCH(B144, signals_2020_05!$B$2:$B$680, 0))</f>
        <v>472</v>
      </c>
      <c r="B144" s="2" t="str">
        <f>signals_2020_05!B134</f>
        <v>Down time</v>
      </c>
      <c r="C144" s="9" t="str">
        <f>INDEX(signals_2020_05!$C$2:$AJ$680, MATCH($B144, signals_2020_05!$B$2:$B$680, 0), MATCH(C$2, signals_2020_05!$C$1:$AJ$1, 0))</f>
        <v>NaT</v>
      </c>
      <c r="D144" s="14">
        <f t="shared" si="12"/>
        <v>0</v>
      </c>
      <c r="E144" s="11">
        <f t="shared" si="13"/>
        <v>0</v>
      </c>
      <c r="F144" s="11">
        <f t="shared" ca="1" si="14"/>
        <v>0</v>
      </c>
      <c r="G144" s="9" t="str">
        <f>INDEX(signals_2019_10!$C$2:$AJ$682, MATCH($B144, signals_2019_10!$B$2:$B$682, 0), MATCH(C$2, signals_2019_10!$C$1:$AJ$1, 0))</f>
        <v>NaT</v>
      </c>
      <c r="H144" s="14">
        <f t="shared" si="15"/>
        <v>0</v>
      </c>
      <c r="I144" s="11">
        <f t="shared" si="16"/>
        <v>0</v>
      </c>
      <c r="J144" s="11">
        <f t="shared" ca="1" si="17"/>
        <v>0</v>
      </c>
    </row>
    <row r="145" spans="1:10" x14ac:dyDescent="0.35">
      <c r="A145" s="20">
        <f>INDEX(signals_2020_05!$A$2:$A$680, MATCH(B145, signals_2020_05!$B$2:$B$680, 0))</f>
        <v>4</v>
      </c>
      <c r="B145" s="2" t="str">
        <f>signals_2020_05!B135</f>
        <v>Energy Export</v>
      </c>
      <c r="C145" s="9">
        <f>INDEX(signals_2020_05!$C$2:$AJ$680, MATCH($B145, signals_2020_05!$B$2:$B$680, 0), MATCH(C$2, signals_2020_05!$C$1:$AJ$1, 0))</f>
        <v>43057.743055555555</v>
      </c>
      <c r="D145" s="14">
        <f t="shared" si="12"/>
        <v>1</v>
      </c>
      <c r="E145" s="11">
        <f t="shared" si="13"/>
        <v>0</v>
      </c>
      <c r="F145" s="11">
        <f t="shared" ca="1" si="14"/>
        <v>2.7</v>
      </c>
      <c r="G145" s="9">
        <f>INDEX(signals_2019_10!$C$2:$AJ$682, MATCH($B145, signals_2019_10!$B$2:$B$682, 0), MATCH(C$2, signals_2019_10!$C$1:$AJ$1, 0))</f>
        <v>43054.631944444445</v>
      </c>
      <c r="H145" s="14">
        <f t="shared" si="15"/>
        <v>1</v>
      </c>
      <c r="I145" s="11">
        <f t="shared" si="16"/>
        <v>0</v>
      </c>
      <c r="J145" s="11">
        <f t="shared" ca="1" si="17"/>
        <v>2.7</v>
      </c>
    </row>
    <row r="146" spans="1:10" hidden="1" x14ac:dyDescent="0.35">
      <c r="A146" s="20">
        <f>INDEX(signals_2020_05!$A$2:$A$680, MATCH(B146, signals_2020_05!$B$2:$B$680, 0))</f>
        <v>334</v>
      </c>
      <c r="B146" s="2" t="str">
        <f>signals_2020_05!B136</f>
        <v>Energy Export (Reduced power mode)</v>
      </c>
      <c r="C146" s="9" t="str">
        <f>INDEX(signals_2020_05!$C$2:$AJ$680, MATCH($B146, signals_2020_05!$B$2:$B$680, 0), MATCH(C$2, signals_2020_05!$C$1:$AJ$1, 0))</f>
        <v>NaT</v>
      </c>
      <c r="D146" s="14">
        <f t="shared" si="12"/>
        <v>0</v>
      </c>
      <c r="E146" s="11">
        <f t="shared" si="13"/>
        <v>0</v>
      </c>
      <c r="F146" s="11">
        <f t="shared" ca="1" si="14"/>
        <v>0</v>
      </c>
      <c r="G146" s="9" t="str">
        <f>INDEX(signals_2019_10!$C$2:$AJ$682, MATCH($B146, signals_2019_10!$B$2:$B$682, 0), MATCH(C$2, signals_2019_10!$C$1:$AJ$1, 0))</f>
        <v>NaT</v>
      </c>
      <c r="H146" s="14">
        <f t="shared" si="15"/>
        <v>0</v>
      </c>
      <c r="I146" s="11">
        <f t="shared" si="16"/>
        <v>0</v>
      </c>
      <c r="J146" s="11">
        <f t="shared" ca="1" si="17"/>
        <v>0</v>
      </c>
    </row>
    <row r="147" spans="1:10" x14ac:dyDescent="0.35">
      <c r="A147" s="20">
        <f>INDEX(signals_2020_05!$A$2:$A$680, MATCH(B147, signals_2020_05!$B$2:$B$680, 0))</f>
        <v>984</v>
      </c>
      <c r="B147" s="2" t="str">
        <f>signals_2020_05!B137</f>
        <v>Energy Export Generator 2</v>
      </c>
      <c r="C147" s="9">
        <f>INDEX(signals_2020_05!$C$2:$AJ$680, MATCH($B147, signals_2020_05!$B$2:$B$680, 0), MATCH(C$2, signals_2020_05!$C$1:$AJ$1, 0))</f>
        <v>43057.743055555555</v>
      </c>
      <c r="D147" s="14">
        <f t="shared" si="12"/>
        <v>1</v>
      </c>
      <c r="E147" s="11">
        <f t="shared" si="13"/>
        <v>0</v>
      </c>
      <c r="F147" s="11">
        <f t="shared" ca="1" si="14"/>
        <v>2.7</v>
      </c>
      <c r="G147" s="9">
        <f>INDEX(signals_2019_10!$C$2:$AJ$682, MATCH($B147, signals_2019_10!$B$2:$B$682, 0), MATCH(C$2, signals_2019_10!$C$1:$AJ$1, 0))</f>
        <v>43054.631944444445</v>
      </c>
      <c r="H147" s="14">
        <f t="shared" si="15"/>
        <v>1</v>
      </c>
      <c r="I147" s="11">
        <f t="shared" si="16"/>
        <v>0</v>
      </c>
      <c r="J147" s="11">
        <f t="shared" ca="1" si="17"/>
        <v>2.7</v>
      </c>
    </row>
    <row r="148" spans="1:10" hidden="1" x14ac:dyDescent="0.35">
      <c r="A148" s="20">
        <f>INDEX(signals_2020_05!$A$2:$A$680, MATCH(B148, signals_2020_05!$B$2:$B$680, 0))</f>
        <v>90</v>
      </c>
      <c r="B148" s="2" t="str">
        <f>signals_2020_05!B138</f>
        <v>Energy Import</v>
      </c>
      <c r="C148" s="9" t="str">
        <f>INDEX(signals_2020_05!$C$2:$AJ$680, MATCH($B148, signals_2020_05!$B$2:$B$680, 0), MATCH(C$2, signals_2020_05!$C$1:$AJ$1, 0))</f>
        <v>NaT</v>
      </c>
      <c r="D148" s="14">
        <f t="shared" si="12"/>
        <v>0</v>
      </c>
      <c r="E148" s="11">
        <f t="shared" si="13"/>
        <v>0</v>
      </c>
      <c r="F148" s="11">
        <f t="shared" ca="1" si="14"/>
        <v>0</v>
      </c>
      <c r="G148" s="9" t="str">
        <f>INDEX(signals_2019_10!$C$2:$AJ$682, MATCH($B148, signals_2019_10!$B$2:$B$682, 0), MATCH(C$2, signals_2019_10!$C$1:$AJ$1, 0))</f>
        <v>NaT</v>
      </c>
      <c r="H148" s="14">
        <f t="shared" si="15"/>
        <v>0</v>
      </c>
      <c r="I148" s="11">
        <f t="shared" si="16"/>
        <v>0</v>
      </c>
      <c r="J148" s="11">
        <f t="shared" ca="1" si="17"/>
        <v>0</v>
      </c>
    </row>
    <row r="149" spans="1:10" hidden="1" x14ac:dyDescent="0.35">
      <c r="A149" s="20">
        <f>INDEX(signals_2020_05!$A$2:$A$680, MATCH(B149, signals_2020_05!$B$2:$B$680, 0))</f>
        <v>335</v>
      </c>
      <c r="B149" s="2" t="str">
        <f>signals_2020_05!B139</f>
        <v>Energy Import (Reduced power mode)</v>
      </c>
      <c r="C149" s="9" t="str">
        <f>INDEX(signals_2020_05!$C$2:$AJ$680, MATCH($B149, signals_2020_05!$B$2:$B$680, 0), MATCH(C$2, signals_2020_05!$C$1:$AJ$1, 0))</f>
        <v>NaT</v>
      </c>
      <c r="D149" s="14">
        <f t="shared" si="12"/>
        <v>0</v>
      </c>
      <c r="E149" s="11">
        <f t="shared" si="13"/>
        <v>0</v>
      </c>
      <c r="F149" s="11">
        <f t="shared" ca="1" si="14"/>
        <v>0</v>
      </c>
      <c r="G149" s="9" t="str">
        <f>INDEX(signals_2019_10!$C$2:$AJ$682, MATCH($B149, signals_2019_10!$B$2:$B$682, 0), MATCH(C$2, signals_2019_10!$C$1:$AJ$1, 0))</f>
        <v>NaT</v>
      </c>
      <c r="H149" s="14">
        <f t="shared" si="15"/>
        <v>0</v>
      </c>
      <c r="I149" s="11">
        <f t="shared" si="16"/>
        <v>0</v>
      </c>
      <c r="J149" s="11">
        <f t="shared" ca="1" si="17"/>
        <v>0</v>
      </c>
    </row>
    <row r="150" spans="1:10" hidden="1" x14ac:dyDescent="0.35">
      <c r="A150" s="20">
        <f>INDEX(signals_2020_05!$A$2:$A$680, MATCH(B150, signals_2020_05!$B$2:$B$680, 0))</f>
        <v>2752</v>
      </c>
      <c r="B150" s="2" t="str">
        <f>signals_2020_05!B140</f>
        <v>Energy Import Generator 2</v>
      </c>
      <c r="C150" s="9" t="str">
        <f>INDEX(signals_2020_05!$C$2:$AJ$680, MATCH($B150, signals_2020_05!$B$2:$B$680, 0), MATCH(C$2, signals_2020_05!$C$1:$AJ$1, 0))</f>
        <v>NaT</v>
      </c>
      <c r="D150" s="14">
        <f t="shared" si="12"/>
        <v>0</v>
      </c>
      <c r="E150" s="11">
        <f t="shared" si="13"/>
        <v>0</v>
      </c>
      <c r="F150" s="11">
        <f t="shared" ca="1" si="14"/>
        <v>0</v>
      </c>
      <c r="G150" s="9" t="str">
        <f>INDEX(signals_2019_10!$C$2:$AJ$682, MATCH($B150, signals_2019_10!$B$2:$B$682, 0), MATCH(C$2, signals_2019_10!$C$1:$AJ$1, 0))</f>
        <v>NaT</v>
      </c>
      <c r="H150" s="14">
        <f t="shared" si="15"/>
        <v>0</v>
      </c>
      <c r="I150" s="11">
        <f t="shared" si="16"/>
        <v>0</v>
      </c>
      <c r="J150" s="11">
        <f t="shared" ca="1" si="17"/>
        <v>0</v>
      </c>
    </row>
    <row r="151" spans="1:10" hidden="1" x14ac:dyDescent="0.35">
      <c r="A151" s="20">
        <f>INDEX(signals_2020_05!$A$2:$A$680, MATCH(B151, signals_2020_05!$B$2:$B$680, 0))</f>
        <v>228</v>
      </c>
      <c r="B151" s="2" t="str">
        <f>signals_2020_05!B141</f>
        <v>ErrorCode</v>
      </c>
      <c r="C151" s="9" t="str">
        <f>INDEX(signals_2020_05!$C$2:$AJ$680, MATCH($B151, signals_2020_05!$B$2:$B$680, 0), MATCH(C$2, signals_2020_05!$C$1:$AJ$1, 0))</f>
        <v>NaT</v>
      </c>
      <c r="D151" s="14">
        <f t="shared" si="12"/>
        <v>0</v>
      </c>
      <c r="E151" s="11">
        <f t="shared" si="13"/>
        <v>0</v>
      </c>
      <c r="F151" s="11">
        <f t="shared" ca="1" si="14"/>
        <v>0</v>
      </c>
      <c r="G151" s="9" t="str">
        <f>INDEX(signals_2019_10!$C$2:$AJ$682, MATCH($B151, signals_2019_10!$B$2:$B$682, 0), MATCH(C$2, signals_2019_10!$C$1:$AJ$1, 0))</f>
        <v>NaT</v>
      </c>
      <c r="H151" s="14">
        <f t="shared" si="15"/>
        <v>0</v>
      </c>
      <c r="I151" s="11">
        <f t="shared" si="16"/>
        <v>0</v>
      </c>
      <c r="J151" s="11">
        <f t="shared" ca="1" si="17"/>
        <v>0</v>
      </c>
    </row>
    <row r="152" spans="1:10" hidden="1" x14ac:dyDescent="0.35">
      <c r="A152" s="20">
        <f>INDEX(signals_2020_05!$A$2:$A$680, MATCH(B152, signals_2020_05!$B$2:$B$680, 0))</f>
        <v>30</v>
      </c>
      <c r="B152" s="2" t="str">
        <f>signals_2020_05!B142</f>
        <v>Excitation heat sink</v>
      </c>
      <c r="C152" s="9" t="str">
        <f>INDEX(signals_2020_05!$C$2:$AJ$680, MATCH($B152, signals_2020_05!$B$2:$B$680, 0), MATCH(C$2, signals_2020_05!$C$1:$AJ$1, 0))</f>
        <v>NaT</v>
      </c>
      <c r="D152" s="14">
        <f t="shared" si="12"/>
        <v>0</v>
      </c>
      <c r="E152" s="11">
        <f t="shared" si="13"/>
        <v>0</v>
      </c>
      <c r="F152" s="11">
        <f t="shared" ca="1" si="14"/>
        <v>0</v>
      </c>
      <c r="G152" s="9" t="str">
        <f>INDEX(signals_2019_10!$C$2:$AJ$682, MATCH($B152, signals_2019_10!$B$2:$B$682, 0), MATCH(C$2, signals_2019_10!$C$1:$AJ$1, 0))</f>
        <v>NaT</v>
      </c>
      <c r="H152" s="14">
        <f t="shared" si="15"/>
        <v>0</v>
      </c>
      <c r="I152" s="11">
        <f t="shared" si="16"/>
        <v>0</v>
      </c>
      <c r="J152" s="11">
        <f t="shared" ca="1" si="17"/>
        <v>0</v>
      </c>
    </row>
    <row r="153" spans="1:10" hidden="1" x14ac:dyDescent="0.35">
      <c r="A153" s="20">
        <f>INDEX(signals_2020_05!$A$2:$A$680, MATCH(B153, signals_2020_05!$B$2:$B$680, 0))</f>
        <v>4407</v>
      </c>
      <c r="B153" s="2" t="str">
        <f>signals_2020_05!B143</f>
        <v>Excitation heat sink, Max</v>
      </c>
      <c r="C153" s="9" t="str">
        <f>INDEX(signals_2020_05!$C$2:$AJ$680, MATCH($B153, signals_2020_05!$B$2:$B$680, 0), MATCH(C$2, signals_2020_05!$C$1:$AJ$1, 0))</f>
        <v>NaT</v>
      </c>
      <c r="D153" s="14">
        <f t="shared" si="12"/>
        <v>0</v>
      </c>
      <c r="E153" s="11">
        <f t="shared" si="13"/>
        <v>0</v>
      </c>
      <c r="F153" s="11">
        <f t="shared" ca="1" si="14"/>
        <v>0</v>
      </c>
      <c r="G153" s="9" t="e">
        <f>INDEX(signals_2019_10!$C$2:$AJ$682, MATCH($B153, signals_2019_10!$B$2:$B$682, 0), MATCH(C$2, signals_2019_10!$C$1:$AJ$1, 0))</f>
        <v>#N/A</v>
      </c>
      <c r="H153" s="14">
        <f t="shared" si="15"/>
        <v>0</v>
      </c>
      <c r="I153" s="11">
        <f t="shared" si="16"/>
        <v>0</v>
      </c>
      <c r="J153" s="11">
        <f t="shared" ca="1" si="17"/>
        <v>0</v>
      </c>
    </row>
    <row r="154" spans="1:10" hidden="1" x14ac:dyDescent="0.35">
      <c r="A154" s="20">
        <f>INDEX(signals_2020_05!$A$2:$A$680, MATCH(B154, signals_2020_05!$B$2:$B$680, 0))</f>
        <v>4408</v>
      </c>
      <c r="B154" s="2" t="str">
        <f>signals_2020_05!B144</f>
        <v>Excitation heat sink, Min</v>
      </c>
      <c r="C154" s="9" t="str">
        <f>INDEX(signals_2020_05!$C$2:$AJ$680, MATCH($B154, signals_2020_05!$B$2:$B$680, 0), MATCH(C$2, signals_2020_05!$C$1:$AJ$1, 0))</f>
        <v>NaT</v>
      </c>
      <c r="D154" s="14">
        <f t="shared" si="12"/>
        <v>0</v>
      </c>
      <c r="E154" s="11">
        <f t="shared" si="13"/>
        <v>0</v>
      </c>
      <c r="F154" s="11">
        <f t="shared" ca="1" si="14"/>
        <v>0</v>
      </c>
      <c r="G154" s="9" t="e">
        <f>INDEX(signals_2019_10!$C$2:$AJ$682, MATCH($B154, signals_2019_10!$B$2:$B$682, 0), MATCH(C$2, signals_2019_10!$C$1:$AJ$1, 0))</f>
        <v>#N/A</v>
      </c>
      <c r="H154" s="14">
        <f t="shared" si="15"/>
        <v>0</v>
      </c>
      <c r="I154" s="11">
        <f t="shared" si="16"/>
        <v>0</v>
      </c>
      <c r="J154" s="11">
        <f t="shared" ca="1" si="17"/>
        <v>0</v>
      </c>
    </row>
    <row r="155" spans="1:10" hidden="1" x14ac:dyDescent="0.35">
      <c r="A155" s="20">
        <f>INDEX(signals_2020_05!$A$2:$A$680, MATCH(B155, signals_2020_05!$B$2:$B$680, 0))</f>
        <v>4409</v>
      </c>
      <c r="B155" s="2" t="str">
        <f>signals_2020_05!B145</f>
        <v>Excitation heat sink, StdDev</v>
      </c>
      <c r="C155" s="9" t="str">
        <f>INDEX(signals_2020_05!$C$2:$AJ$680, MATCH($B155, signals_2020_05!$B$2:$B$680, 0), MATCH(C$2, signals_2020_05!$C$1:$AJ$1, 0))</f>
        <v>NaT</v>
      </c>
      <c r="D155" s="14">
        <f t="shared" si="12"/>
        <v>0</v>
      </c>
      <c r="E155" s="11">
        <f t="shared" si="13"/>
        <v>0</v>
      </c>
      <c r="F155" s="11">
        <f t="shared" ca="1" si="14"/>
        <v>0</v>
      </c>
      <c r="G155" s="9" t="e">
        <f>INDEX(signals_2019_10!$C$2:$AJ$682, MATCH($B155, signals_2019_10!$B$2:$B$682, 0), MATCH(C$2, signals_2019_10!$C$1:$AJ$1, 0))</f>
        <v>#N/A</v>
      </c>
      <c r="H155" s="14">
        <f t="shared" si="15"/>
        <v>0</v>
      </c>
      <c r="I155" s="11">
        <f t="shared" si="16"/>
        <v>0</v>
      </c>
      <c r="J155" s="11">
        <f t="shared" ca="1" si="17"/>
        <v>0</v>
      </c>
    </row>
    <row r="156" spans="1:10" hidden="1" x14ac:dyDescent="0.35">
      <c r="A156" s="20">
        <f>INDEX(signals_2020_05!$A$2:$A$680, MATCH(B156, signals_2020_05!$B$2:$B$680, 0))</f>
        <v>275</v>
      </c>
      <c r="B156" s="2" t="str">
        <f>signals_2020_05!B146</f>
        <v>External Stop Time</v>
      </c>
      <c r="C156" s="9" t="str">
        <f>INDEX(signals_2020_05!$C$2:$AJ$680, MATCH($B156, signals_2020_05!$B$2:$B$680, 0), MATCH(C$2, signals_2020_05!$C$1:$AJ$1, 0))</f>
        <v>NaT</v>
      </c>
      <c r="D156" s="14">
        <f t="shared" si="12"/>
        <v>0</v>
      </c>
      <c r="E156" s="11">
        <f t="shared" si="13"/>
        <v>0</v>
      </c>
      <c r="F156" s="11">
        <f t="shared" ca="1" si="14"/>
        <v>0</v>
      </c>
      <c r="G156" s="9" t="str">
        <f>INDEX(signals_2019_10!$C$2:$AJ$682, MATCH($B156, signals_2019_10!$B$2:$B$682, 0), MATCH(C$2, signals_2019_10!$C$1:$AJ$1, 0))</f>
        <v>NaT</v>
      </c>
      <c r="H156" s="14">
        <f t="shared" si="15"/>
        <v>0</v>
      </c>
      <c r="I156" s="11">
        <f t="shared" si="16"/>
        <v>0</v>
      </c>
      <c r="J156" s="11">
        <f t="shared" ca="1" si="17"/>
        <v>0</v>
      </c>
    </row>
    <row r="157" spans="1:10" hidden="1" x14ac:dyDescent="0.35">
      <c r="A157" s="20">
        <f>INDEX(signals_2020_05!$A$2:$A$680, MATCH(B157, signals_2020_05!$B$2:$B$680, 0))</f>
        <v>208</v>
      </c>
      <c r="B157" s="2" t="str">
        <f>signals_2020_05!B147</f>
        <v>First alarm in 10 min frame</v>
      </c>
      <c r="C157" s="9" t="str">
        <f>INDEX(signals_2020_05!$C$2:$AJ$680, MATCH($B157, signals_2020_05!$B$2:$B$680, 0), MATCH(C$2, signals_2020_05!$C$1:$AJ$1, 0))</f>
        <v>NaT</v>
      </c>
      <c r="D157" s="14">
        <f t="shared" si="12"/>
        <v>0</v>
      </c>
      <c r="E157" s="11">
        <f t="shared" si="13"/>
        <v>0</v>
      </c>
      <c r="F157" s="11">
        <f t="shared" ca="1" si="14"/>
        <v>0</v>
      </c>
      <c r="G157" s="9" t="str">
        <f>INDEX(signals_2019_10!$C$2:$AJ$682, MATCH($B157, signals_2019_10!$B$2:$B$682, 0), MATCH(C$2, signals_2019_10!$C$1:$AJ$1, 0))</f>
        <v>NaT</v>
      </c>
      <c r="H157" s="14">
        <f t="shared" si="15"/>
        <v>0</v>
      </c>
      <c r="I157" s="11">
        <f t="shared" si="16"/>
        <v>0</v>
      </c>
      <c r="J157" s="11">
        <f t="shared" ca="1" si="17"/>
        <v>0</v>
      </c>
    </row>
    <row r="158" spans="1:10" hidden="1" x14ac:dyDescent="0.35">
      <c r="A158" s="20">
        <f>INDEX(signals_2020_05!$A$2:$A$680, MATCH(B158, signals_2020_05!$B$2:$B$680, 0))</f>
        <v>209</v>
      </c>
      <c r="B158" s="2" t="str">
        <f>signals_2020_05!B148</f>
        <v>First alarm parameter 1 in 10 min frame</v>
      </c>
      <c r="C158" s="9" t="str">
        <f>INDEX(signals_2020_05!$C$2:$AJ$680, MATCH($B158, signals_2020_05!$B$2:$B$680, 0), MATCH(C$2, signals_2020_05!$C$1:$AJ$1, 0))</f>
        <v>NaT</v>
      </c>
      <c r="D158" s="14">
        <f t="shared" si="12"/>
        <v>0</v>
      </c>
      <c r="E158" s="11">
        <f t="shared" si="13"/>
        <v>0</v>
      </c>
      <c r="F158" s="11">
        <f t="shared" ca="1" si="14"/>
        <v>0</v>
      </c>
      <c r="G158" s="9" t="str">
        <f>INDEX(signals_2019_10!$C$2:$AJ$682, MATCH($B158, signals_2019_10!$B$2:$B$682, 0), MATCH(C$2, signals_2019_10!$C$1:$AJ$1, 0))</f>
        <v>NaT</v>
      </c>
      <c r="H158" s="14">
        <f t="shared" si="15"/>
        <v>0</v>
      </c>
      <c r="I158" s="11">
        <f t="shared" si="16"/>
        <v>0</v>
      </c>
      <c r="J158" s="11">
        <f t="shared" ca="1" si="17"/>
        <v>0</v>
      </c>
    </row>
    <row r="159" spans="1:10" hidden="1" x14ac:dyDescent="0.35">
      <c r="A159" s="20">
        <f>INDEX(signals_2020_05!$A$2:$A$680, MATCH(B159, signals_2020_05!$B$2:$B$680, 0))</f>
        <v>210</v>
      </c>
      <c r="B159" s="2" t="str">
        <f>signals_2020_05!B149</f>
        <v>First alarm parameter 2 in 10 min frame</v>
      </c>
      <c r="C159" s="9" t="str">
        <f>INDEX(signals_2020_05!$C$2:$AJ$680, MATCH($B159, signals_2020_05!$B$2:$B$680, 0), MATCH(C$2, signals_2020_05!$C$1:$AJ$1, 0))</f>
        <v>NaT</v>
      </c>
      <c r="D159" s="14">
        <f t="shared" si="12"/>
        <v>0</v>
      </c>
      <c r="E159" s="11">
        <f t="shared" si="13"/>
        <v>0</v>
      </c>
      <c r="F159" s="11">
        <f t="shared" ca="1" si="14"/>
        <v>0</v>
      </c>
      <c r="G159" s="9" t="str">
        <f>INDEX(signals_2019_10!$C$2:$AJ$682, MATCH($B159, signals_2019_10!$B$2:$B$682, 0), MATCH(C$2, signals_2019_10!$C$1:$AJ$1, 0))</f>
        <v>NaT</v>
      </c>
      <c r="H159" s="14">
        <f t="shared" si="15"/>
        <v>0</v>
      </c>
      <c r="I159" s="11">
        <f t="shared" si="16"/>
        <v>0</v>
      </c>
      <c r="J159" s="11">
        <f t="shared" ca="1" si="17"/>
        <v>0</v>
      </c>
    </row>
    <row r="160" spans="1:10" hidden="1" x14ac:dyDescent="0.35">
      <c r="A160" s="20">
        <f>INDEX(signals_2020_05!$A$2:$A$680, MATCH(B160, signals_2020_05!$B$2:$B$680, 0))</f>
        <v>333</v>
      </c>
      <c r="B160" s="2" t="str">
        <f>signals_2020_05!B150</f>
        <v>FMC-time Due To Low Wind Speed</v>
      </c>
      <c r="C160" s="9" t="str">
        <f>INDEX(signals_2020_05!$C$2:$AJ$680, MATCH($B160, signals_2020_05!$B$2:$B$680, 0), MATCH(C$2, signals_2020_05!$C$1:$AJ$1, 0))</f>
        <v>NaT</v>
      </c>
      <c r="D160" s="14">
        <f t="shared" si="12"/>
        <v>0</v>
      </c>
      <c r="E160" s="11">
        <f t="shared" si="13"/>
        <v>0</v>
      </c>
      <c r="F160" s="11">
        <f t="shared" ca="1" si="14"/>
        <v>0</v>
      </c>
      <c r="G160" s="9" t="str">
        <f>INDEX(signals_2019_10!$C$2:$AJ$682, MATCH($B160, signals_2019_10!$B$2:$B$682, 0), MATCH(C$2, signals_2019_10!$C$1:$AJ$1, 0))</f>
        <v>NaT</v>
      </c>
      <c r="H160" s="14">
        <f t="shared" si="15"/>
        <v>0</v>
      </c>
      <c r="I160" s="11">
        <f t="shared" si="16"/>
        <v>0</v>
      </c>
      <c r="J160" s="11">
        <f t="shared" ca="1" si="17"/>
        <v>0</v>
      </c>
    </row>
    <row r="161" spans="1:10" hidden="1" x14ac:dyDescent="0.35">
      <c r="A161" s="20">
        <f>INDEX(signals_2020_05!$A$2:$A$680, MATCH(B161, signals_2020_05!$B$2:$B$680, 0))</f>
        <v>332</v>
      </c>
      <c r="B161" s="2" t="str">
        <f>signals_2020_05!B151</f>
        <v>FMC-time Following Grid Errors</v>
      </c>
      <c r="C161" s="9" t="str">
        <f>INDEX(signals_2020_05!$C$2:$AJ$680, MATCH($B161, signals_2020_05!$B$2:$B$680, 0), MATCH(C$2, signals_2020_05!$C$1:$AJ$1, 0))</f>
        <v>NaT</v>
      </c>
      <c r="D161" s="14">
        <f t="shared" si="12"/>
        <v>0</v>
      </c>
      <c r="E161" s="11">
        <f t="shared" si="13"/>
        <v>0</v>
      </c>
      <c r="F161" s="11">
        <f t="shared" ca="1" si="14"/>
        <v>0</v>
      </c>
      <c r="G161" s="9" t="str">
        <f>INDEX(signals_2019_10!$C$2:$AJ$682, MATCH($B161, signals_2019_10!$B$2:$B$682, 0), MATCH(C$2, signals_2019_10!$C$1:$AJ$1, 0))</f>
        <v>NaT</v>
      </c>
      <c r="H161" s="14">
        <f t="shared" si="15"/>
        <v>0</v>
      </c>
      <c r="I161" s="11">
        <f t="shared" si="16"/>
        <v>0</v>
      </c>
      <c r="J161" s="11">
        <f t="shared" ca="1" si="17"/>
        <v>0</v>
      </c>
    </row>
    <row r="162" spans="1:10" hidden="1" x14ac:dyDescent="0.35">
      <c r="A162" s="20">
        <f>INDEX(signals_2020_05!$A$2:$A$680, MATCH(B162, signals_2020_05!$B$2:$B$680, 0))</f>
        <v>329</v>
      </c>
      <c r="B162" s="2" t="str">
        <f>signals_2020_05!B152</f>
        <v>Force Majeure Time</v>
      </c>
      <c r="C162" s="9" t="str">
        <f>INDEX(signals_2020_05!$C$2:$AJ$680, MATCH($B162, signals_2020_05!$B$2:$B$680, 0), MATCH(C$2, signals_2020_05!$C$1:$AJ$1, 0))</f>
        <v>NaT</v>
      </c>
      <c r="D162" s="14">
        <f t="shared" si="12"/>
        <v>0</v>
      </c>
      <c r="E162" s="11">
        <f t="shared" si="13"/>
        <v>0</v>
      </c>
      <c r="F162" s="11">
        <f t="shared" ca="1" si="14"/>
        <v>0</v>
      </c>
      <c r="G162" s="9" t="str">
        <f>INDEX(signals_2019_10!$C$2:$AJ$682, MATCH($B162, signals_2019_10!$B$2:$B$682, 0), MATCH(C$2, signals_2019_10!$C$1:$AJ$1, 0))</f>
        <v>NaT</v>
      </c>
      <c r="H162" s="14">
        <f t="shared" si="15"/>
        <v>0</v>
      </c>
      <c r="I162" s="11">
        <f t="shared" si="16"/>
        <v>0</v>
      </c>
      <c r="J162" s="11">
        <f t="shared" ca="1" si="17"/>
        <v>0</v>
      </c>
    </row>
    <row r="163" spans="1:10" hidden="1" x14ac:dyDescent="0.35">
      <c r="A163" s="20">
        <f>INDEX(signals_2020_05!$A$2:$A$680, MATCH(B163, signals_2020_05!$B$2:$B$680, 0))</f>
        <v>399</v>
      </c>
      <c r="B163" s="2" t="str">
        <f>signals_2020_05!B153</f>
        <v>Free hours</v>
      </c>
      <c r="C163" s="9" t="str">
        <f>INDEX(signals_2020_05!$C$2:$AJ$680, MATCH($B163, signals_2020_05!$B$2:$B$680, 0), MATCH(C$2, signals_2020_05!$C$1:$AJ$1, 0))</f>
        <v>NaT</v>
      </c>
      <c r="D163" s="14">
        <f t="shared" si="12"/>
        <v>0</v>
      </c>
      <c r="E163" s="11">
        <f t="shared" si="13"/>
        <v>0</v>
      </c>
      <c r="F163" s="11">
        <f t="shared" ca="1" si="14"/>
        <v>0</v>
      </c>
      <c r="G163" s="9" t="str">
        <f>INDEX(signals_2019_10!$C$2:$AJ$682, MATCH($B163, signals_2019_10!$B$2:$B$682, 0), MATCH(C$2, signals_2019_10!$C$1:$AJ$1, 0))</f>
        <v>NaT</v>
      </c>
      <c r="H163" s="14">
        <f t="shared" si="15"/>
        <v>0</v>
      </c>
      <c r="I163" s="11">
        <f t="shared" si="16"/>
        <v>0</v>
      </c>
      <c r="J163" s="11">
        <f t="shared" ca="1" si="17"/>
        <v>0</v>
      </c>
    </row>
    <row r="164" spans="1:10" hidden="1" x14ac:dyDescent="0.35">
      <c r="A164" s="20">
        <f>INDEX(signals_2020_05!$A$2:$A$680, MATCH(B164, signals_2020_05!$B$2:$B$680, 0))</f>
        <v>794</v>
      </c>
      <c r="B164" s="2" t="str">
        <f>signals_2020_05!B154</f>
        <v>Frequency</v>
      </c>
      <c r="C164" s="9" t="str">
        <f>INDEX(signals_2020_05!$C$2:$AJ$680, MATCH($B164, signals_2020_05!$B$2:$B$680, 0), MATCH(C$2, signals_2020_05!$C$1:$AJ$1, 0))</f>
        <v>NaT</v>
      </c>
      <c r="D164" s="14">
        <f t="shared" si="12"/>
        <v>0</v>
      </c>
      <c r="E164" s="11">
        <f t="shared" si="13"/>
        <v>0</v>
      </c>
      <c r="F164" s="11">
        <f t="shared" ca="1" si="14"/>
        <v>0</v>
      </c>
      <c r="G164" s="9" t="str">
        <f>INDEX(signals_2019_10!$C$2:$AJ$682, MATCH($B164, signals_2019_10!$B$2:$B$682, 0), MATCH(C$2, signals_2019_10!$C$1:$AJ$1, 0))</f>
        <v>NaT</v>
      </c>
      <c r="H164" s="14">
        <f t="shared" si="15"/>
        <v>0</v>
      </c>
      <c r="I164" s="11">
        <f t="shared" si="16"/>
        <v>0</v>
      </c>
      <c r="J164" s="11">
        <f t="shared" ca="1" si="17"/>
        <v>0</v>
      </c>
    </row>
    <row r="165" spans="1:10" hidden="1" x14ac:dyDescent="0.35">
      <c r="A165" s="20">
        <f>INDEX(signals_2020_05!$A$2:$A$680, MATCH(B165, signals_2020_05!$B$2:$B$680, 0))</f>
        <v>2748</v>
      </c>
      <c r="B165" s="2" t="str">
        <f>signals_2020_05!B155</f>
        <v>Frequency, max</v>
      </c>
      <c r="C165" s="9" t="str">
        <f>INDEX(signals_2020_05!$C$2:$AJ$680, MATCH($B165, signals_2020_05!$B$2:$B$680, 0), MATCH(C$2, signals_2020_05!$C$1:$AJ$1, 0))</f>
        <v>NaT</v>
      </c>
      <c r="D165" s="14">
        <f t="shared" si="12"/>
        <v>0</v>
      </c>
      <c r="E165" s="11">
        <f t="shared" si="13"/>
        <v>0</v>
      </c>
      <c r="F165" s="11">
        <f t="shared" ca="1" si="14"/>
        <v>0</v>
      </c>
      <c r="G165" s="9" t="e">
        <f>INDEX(signals_2019_10!$C$2:$AJ$682, MATCH($B165, signals_2019_10!$B$2:$B$682, 0), MATCH(C$2, signals_2019_10!$C$1:$AJ$1, 0))</f>
        <v>#N/A</v>
      </c>
      <c r="H165" s="14">
        <f t="shared" si="15"/>
        <v>0</v>
      </c>
      <c r="I165" s="11">
        <f t="shared" si="16"/>
        <v>0</v>
      </c>
      <c r="J165" s="11">
        <f t="shared" ca="1" si="17"/>
        <v>0</v>
      </c>
    </row>
    <row r="166" spans="1:10" hidden="1" x14ac:dyDescent="0.35">
      <c r="A166" s="20">
        <f>INDEX(signals_2020_05!$A$2:$A$680, MATCH(B166, signals_2020_05!$B$2:$B$680, 0))</f>
        <v>2749</v>
      </c>
      <c r="B166" s="2" t="str">
        <f>signals_2020_05!B156</f>
        <v>Frequency, min</v>
      </c>
      <c r="C166" s="9" t="str">
        <f>INDEX(signals_2020_05!$C$2:$AJ$680, MATCH($B166, signals_2020_05!$B$2:$B$680, 0), MATCH(C$2, signals_2020_05!$C$1:$AJ$1, 0))</f>
        <v>NaT</v>
      </c>
      <c r="D166" s="14">
        <f t="shared" si="12"/>
        <v>0</v>
      </c>
      <c r="E166" s="11">
        <f t="shared" si="13"/>
        <v>0</v>
      </c>
      <c r="F166" s="11">
        <f t="shared" ca="1" si="14"/>
        <v>0</v>
      </c>
      <c r="G166" s="9" t="e">
        <f>INDEX(signals_2019_10!$C$2:$AJ$682, MATCH($B166, signals_2019_10!$B$2:$B$682, 0), MATCH(C$2, signals_2019_10!$C$1:$AJ$1, 0))</f>
        <v>#N/A</v>
      </c>
      <c r="H166" s="14">
        <f t="shared" si="15"/>
        <v>0</v>
      </c>
      <c r="I166" s="11">
        <f t="shared" si="16"/>
        <v>0</v>
      </c>
      <c r="J166" s="11">
        <f t="shared" ca="1" si="17"/>
        <v>0</v>
      </c>
    </row>
    <row r="167" spans="1:10" hidden="1" x14ac:dyDescent="0.35">
      <c r="A167" s="20">
        <f>INDEX(signals_2020_05!$A$2:$A$680, MATCH(B167, signals_2020_05!$B$2:$B$680, 0))</f>
        <v>9</v>
      </c>
      <c r="B167" s="2" t="str">
        <f>signals_2020_05!B157</f>
        <v>Front bearing temperature</v>
      </c>
      <c r="C167" s="9" t="str">
        <f>INDEX(signals_2020_05!$C$2:$AJ$680, MATCH($B167, signals_2020_05!$B$2:$B$680, 0), MATCH(C$2, signals_2020_05!$C$1:$AJ$1, 0))</f>
        <v>NaT</v>
      </c>
      <c r="D167" s="14">
        <f t="shared" si="12"/>
        <v>0</v>
      </c>
      <c r="E167" s="11">
        <f t="shared" si="13"/>
        <v>0</v>
      </c>
      <c r="F167" s="11">
        <f t="shared" ca="1" si="14"/>
        <v>0</v>
      </c>
      <c r="G167" s="9" t="str">
        <f>INDEX(signals_2019_10!$C$2:$AJ$682, MATCH($B167, signals_2019_10!$B$2:$B$682, 0), MATCH(C$2, signals_2019_10!$C$1:$AJ$1, 0))</f>
        <v>NaT</v>
      </c>
      <c r="H167" s="14">
        <f t="shared" si="15"/>
        <v>0</v>
      </c>
      <c r="I167" s="11">
        <f t="shared" si="16"/>
        <v>0</v>
      </c>
      <c r="J167" s="11">
        <f t="shared" ca="1" si="17"/>
        <v>0</v>
      </c>
    </row>
    <row r="168" spans="1:10" hidden="1" x14ac:dyDescent="0.35">
      <c r="A168" s="20">
        <f>INDEX(signals_2020_05!$A$2:$A$680, MATCH(B168, signals_2020_05!$B$2:$B$680, 0))</f>
        <v>948</v>
      </c>
      <c r="B168" s="2" t="str">
        <f>signals_2020_05!B158</f>
        <v>Front bearing temperature, Max</v>
      </c>
      <c r="C168" s="9" t="str">
        <f>INDEX(signals_2020_05!$C$2:$AJ$680, MATCH($B168, signals_2020_05!$B$2:$B$680, 0), MATCH(C$2, signals_2020_05!$C$1:$AJ$1, 0))</f>
        <v>NaT</v>
      </c>
      <c r="D168" s="14">
        <f t="shared" si="12"/>
        <v>0</v>
      </c>
      <c r="E168" s="11">
        <f t="shared" si="13"/>
        <v>0</v>
      </c>
      <c r="F168" s="11">
        <f t="shared" ca="1" si="14"/>
        <v>0</v>
      </c>
      <c r="G168" s="9" t="e">
        <f>INDEX(signals_2019_10!$C$2:$AJ$682, MATCH($B168, signals_2019_10!$B$2:$B$682, 0), MATCH(C$2, signals_2019_10!$C$1:$AJ$1, 0))</f>
        <v>#N/A</v>
      </c>
      <c r="H168" s="14">
        <f t="shared" si="15"/>
        <v>0</v>
      </c>
      <c r="I168" s="11">
        <f t="shared" si="16"/>
        <v>0</v>
      </c>
      <c r="J168" s="11">
        <f t="shared" ca="1" si="17"/>
        <v>0</v>
      </c>
    </row>
    <row r="169" spans="1:10" hidden="1" x14ac:dyDescent="0.35">
      <c r="A169" s="20">
        <f>INDEX(signals_2020_05!$A$2:$A$680, MATCH(B169, signals_2020_05!$B$2:$B$680, 0))</f>
        <v>949</v>
      </c>
      <c r="B169" s="2" t="str">
        <f>signals_2020_05!B159</f>
        <v>Front bearing temperature, Min</v>
      </c>
      <c r="C169" s="9" t="str">
        <f>INDEX(signals_2020_05!$C$2:$AJ$680, MATCH($B169, signals_2020_05!$B$2:$B$680, 0), MATCH(C$2, signals_2020_05!$C$1:$AJ$1, 0))</f>
        <v>NaT</v>
      </c>
      <c r="D169" s="14">
        <f t="shared" si="12"/>
        <v>0</v>
      </c>
      <c r="E169" s="11">
        <f t="shared" si="13"/>
        <v>0</v>
      </c>
      <c r="F169" s="11">
        <f t="shared" ca="1" si="14"/>
        <v>0</v>
      </c>
      <c r="G169" s="9" t="e">
        <f>INDEX(signals_2019_10!$C$2:$AJ$682, MATCH($B169, signals_2019_10!$B$2:$B$682, 0), MATCH(C$2, signals_2019_10!$C$1:$AJ$1, 0))</f>
        <v>#N/A</v>
      </c>
      <c r="H169" s="14">
        <f t="shared" si="15"/>
        <v>0</v>
      </c>
      <c r="I169" s="11">
        <f t="shared" si="16"/>
        <v>0</v>
      </c>
      <c r="J169" s="11">
        <f t="shared" ca="1" si="17"/>
        <v>0</v>
      </c>
    </row>
    <row r="170" spans="1:10" hidden="1" x14ac:dyDescent="0.35">
      <c r="A170" s="20">
        <f>INDEX(signals_2020_05!$A$2:$A$680, MATCH(B170, signals_2020_05!$B$2:$B$680, 0))</f>
        <v>950</v>
      </c>
      <c r="B170" s="2" t="str">
        <f>signals_2020_05!B160</f>
        <v>Front bearing temperature, Standard deviation</v>
      </c>
      <c r="C170" s="9" t="str">
        <f>INDEX(signals_2020_05!$C$2:$AJ$680, MATCH($B170, signals_2020_05!$B$2:$B$680, 0), MATCH(C$2, signals_2020_05!$C$1:$AJ$1, 0))</f>
        <v>NaT</v>
      </c>
      <c r="D170" s="14">
        <f t="shared" si="12"/>
        <v>0</v>
      </c>
      <c r="E170" s="11">
        <f t="shared" si="13"/>
        <v>0</v>
      </c>
      <c r="F170" s="11">
        <f t="shared" ca="1" si="14"/>
        <v>0</v>
      </c>
      <c r="G170" s="9" t="e">
        <f>INDEX(signals_2019_10!$C$2:$AJ$682, MATCH($B170, signals_2019_10!$B$2:$B$682, 0), MATCH(C$2, signals_2019_10!$C$1:$AJ$1, 0))</f>
        <v>#N/A</v>
      </c>
      <c r="H170" s="14">
        <f t="shared" si="15"/>
        <v>0</v>
      </c>
      <c r="I170" s="11">
        <f t="shared" si="16"/>
        <v>0</v>
      </c>
      <c r="J170" s="11">
        <f t="shared" ca="1" si="17"/>
        <v>0</v>
      </c>
    </row>
    <row r="171" spans="1:10" hidden="1" x14ac:dyDescent="0.35">
      <c r="A171" s="20">
        <f>INDEX(signals_2020_05!$A$2:$A$680, MATCH(B171, signals_2020_05!$B$2:$B$680, 0))</f>
        <v>93</v>
      </c>
      <c r="B171" s="2" t="str">
        <f>signals_2020_05!B161</f>
        <v>Gear Bearing 1 Temperature</v>
      </c>
      <c r="C171" s="9" t="str">
        <f>INDEX(signals_2020_05!$C$2:$AJ$680, MATCH($B171, signals_2020_05!$B$2:$B$680, 0), MATCH(C$2, signals_2020_05!$C$1:$AJ$1, 0))</f>
        <v>NaT</v>
      </c>
      <c r="D171" s="14">
        <f t="shared" si="12"/>
        <v>0</v>
      </c>
      <c r="E171" s="11">
        <f t="shared" si="13"/>
        <v>0</v>
      </c>
      <c r="F171" s="11">
        <f t="shared" ca="1" si="14"/>
        <v>0</v>
      </c>
      <c r="G171" s="9" t="str">
        <f>INDEX(signals_2019_10!$C$2:$AJ$682, MATCH($B171, signals_2019_10!$B$2:$B$682, 0), MATCH(C$2, signals_2019_10!$C$1:$AJ$1, 0))</f>
        <v>NaT</v>
      </c>
      <c r="H171" s="14">
        <f t="shared" si="15"/>
        <v>0</v>
      </c>
      <c r="I171" s="11">
        <f t="shared" si="16"/>
        <v>0</v>
      </c>
      <c r="J171" s="11">
        <f t="shared" ca="1" si="17"/>
        <v>0</v>
      </c>
    </row>
    <row r="172" spans="1:10" hidden="1" x14ac:dyDescent="0.35">
      <c r="A172" s="20">
        <f>INDEX(signals_2020_05!$A$2:$A$680, MATCH(B172, signals_2020_05!$B$2:$B$680, 0))</f>
        <v>4317</v>
      </c>
      <c r="B172" s="2" t="str">
        <f>signals_2020_05!B162</f>
        <v>Gear Bearing 1 Temperature, Max</v>
      </c>
      <c r="C172" s="9" t="str">
        <f>INDEX(signals_2020_05!$C$2:$AJ$680, MATCH($B172, signals_2020_05!$B$2:$B$680, 0), MATCH(C$2, signals_2020_05!$C$1:$AJ$1, 0))</f>
        <v>NaT</v>
      </c>
      <c r="D172" s="14">
        <f t="shared" si="12"/>
        <v>0</v>
      </c>
      <c r="E172" s="11">
        <f t="shared" si="13"/>
        <v>0</v>
      </c>
      <c r="F172" s="11">
        <f t="shared" ca="1" si="14"/>
        <v>0</v>
      </c>
      <c r="G172" s="9" t="e">
        <f>INDEX(signals_2019_10!$C$2:$AJ$682, MATCH($B172, signals_2019_10!$B$2:$B$682, 0), MATCH(C$2, signals_2019_10!$C$1:$AJ$1, 0))</f>
        <v>#N/A</v>
      </c>
      <c r="H172" s="14">
        <f t="shared" si="15"/>
        <v>0</v>
      </c>
      <c r="I172" s="11">
        <f t="shared" si="16"/>
        <v>0</v>
      </c>
      <c r="J172" s="11">
        <f t="shared" ca="1" si="17"/>
        <v>0</v>
      </c>
    </row>
    <row r="173" spans="1:10" hidden="1" x14ac:dyDescent="0.35">
      <c r="A173" s="20">
        <f>INDEX(signals_2020_05!$A$2:$A$680, MATCH(B173, signals_2020_05!$B$2:$B$680, 0))</f>
        <v>4318</v>
      </c>
      <c r="B173" s="2" t="str">
        <f>signals_2020_05!B163</f>
        <v>Gear Bearing 1 Temperature, Min</v>
      </c>
      <c r="C173" s="9" t="str">
        <f>INDEX(signals_2020_05!$C$2:$AJ$680, MATCH($B173, signals_2020_05!$B$2:$B$680, 0), MATCH(C$2, signals_2020_05!$C$1:$AJ$1, 0))</f>
        <v>NaT</v>
      </c>
      <c r="D173" s="14">
        <f t="shared" si="12"/>
        <v>0</v>
      </c>
      <c r="E173" s="11">
        <f t="shared" si="13"/>
        <v>0</v>
      </c>
      <c r="F173" s="11">
        <f t="shared" ca="1" si="14"/>
        <v>0</v>
      </c>
      <c r="G173" s="9" t="e">
        <f>INDEX(signals_2019_10!$C$2:$AJ$682, MATCH($B173, signals_2019_10!$B$2:$B$682, 0), MATCH(C$2, signals_2019_10!$C$1:$AJ$1, 0))</f>
        <v>#N/A</v>
      </c>
      <c r="H173" s="14">
        <f t="shared" si="15"/>
        <v>0</v>
      </c>
      <c r="I173" s="11">
        <f t="shared" si="16"/>
        <v>0</v>
      </c>
      <c r="J173" s="11">
        <f t="shared" ca="1" si="17"/>
        <v>0</v>
      </c>
    </row>
    <row r="174" spans="1:10" hidden="1" x14ac:dyDescent="0.35">
      <c r="A174" s="20">
        <f>INDEX(signals_2020_05!$A$2:$A$680, MATCH(B174, signals_2020_05!$B$2:$B$680, 0))</f>
        <v>4319</v>
      </c>
      <c r="B174" s="2" t="str">
        <f>signals_2020_05!B164</f>
        <v>Gear Bearing 1 Temperature, StdDev</v>
      </c>
      <c r="C174" s="9" t="str">
        <f>INDEX(signals_2020_05!$C$2:$AJ$680, MATCH($B174, signals_2020_05!$B$2:$B$680, 0), MATCH(C$2, signals_2020_05!$C$1:$AJ$1, 0))</f>
        <v>NaT</v>
      </c>
      <c r="D174" s="14">
        <f t="shared" si="12"/>
        <v>0</v>
      </c>
      <c r="E174" s="11">
        <f t="shared" si="13"/>
        <v>0</v>
      </c>
      <c r="F174" s="11">
        <f t="shared" ca="1" si="14"/>
        <v>0</v>
      </c>
      <c r="G174" s="9" t="e">
        <f>INDEX(signals_2019_10!$C$2:$AJ$682, MATCH($B174, signals_2019_10!$B$2:$B$682, 0), MATCH(C$2, signals_2019_10!$C$1:$AJ$1, 0))</f>
        <v>#N/A</v>
      </c>
      <c r="H174" s="14">
        <f t="shared" si="15"/>
        <v>0</v>
      </c>
      <c r="I174" s="11">
        <f t="shared" si="16"/>
        <v>0</v>
      </c>
      <c r="J174" s="11">
        <f t="shared" ca="1" si="17"/>
        <v>0</v>
      </c>
    </row>
    <row r="175" spans="1:10" hidden="1" x14ac:dyDescent="0.35">
      <c r="A175" s="20">
        <f>INDEX(signals_2020_05!$A$2:$A$680, MATCH(B175, signals_2020_05!$B$2:$B$680, 0))</f>
        <v>94</v>
      </c>
      <c r="B175" s="2" t="str">
        <f>signals_2020_05!B165</f>
        <v>Gear Bearing 2 Temperature</v>
      </c>
      <c r="C175" s="9" t="str">
        <f>INDEX(signals_2020_05!$C$2:$AJ$680, MATCH($B175, signals_2020_05!$B$2:$B$680, 0), MATCH(C$2, signals_2020_05!$C$1:$AJ$1, 0))</f>
        <v>NaT</v>
      </c>
      <c r="D175" s="14">
        <f t="shared" si="12"/>
        <v>0</v>
      </c>
      <c r="E175" s="11">
        <f t="shared" si="13"/>
        <v>0</v>
      </c>
      <c r="F175" s="11">
        <f t="shared" ca="1" si="14"/>
        <v>0</v>
      </c>
      <c r="G175" s="9" t="str">
        <f>INDEX(signals_2019_10!$C$2:$AJ$682, MATCH($B175, signals_2019_10!$B$2:$B$682, 0), MATCH(C$2, signals_2019_10!$C$1:$AJ$1, 0))</f>
        <v>NaT</v>
      </c>
      <c r="H175" s="14">
        <f t="shared" si="15"/>
        <v>0</v>
      </c>
      <c r="I175" s="11">
        <f t="shared" si="16"/>
        <v>0</v>
      </c>
      <c r="J175" s="11">
        <f t="shared" ca="1" si="17"/>
        <v>0</v>
      </c>
    </row>
    <row r="176" spans="1:10" hidden="1" x14ac:dyDescent="0.35">
      <c r="A176" s="20">
        <f>INDEX(signals_2020_05!$A$2:$A$680, MATCH(B176, signals_2020_05!$B$2:$B$680, 0))</f>
        <v>4320</v>
      </c>
      <c r="B176" s="2" t="str">
        <f>signals_2020_05!B166</f>
        <v>Gear Bearing 2 Temperature, Max</v>
      </c>
      <c r="C176" s="9" t="str">
        <f>INDEX(signals_2020_05!$C$2:$AJ$680, MATCH($B176, signals_2020_05!$B$2:$B$680, 0), MATCH(C$2, signals_2020_05!$C$1:$AJ$1, 0))</f>
        <v>NaT</v>
      </c>
      <c r="D176" s="14">
        <f t="shared" si="12"/>
        <v>0</v>
      </c>
      <c r="E176" s="11">
        <f t="shared" si="13"/>
        <v>0</v>
      </c>
      <c r="F176" s="11">
        <f t="shared" ca="1" si="14"/>
        <v>0</v>
      </c>
      <c r="G176" s="9" t="e">
        <f>INDEX(signals_2019_10!$C$2:$AJ$682, MATCH($B176, signals_2019_10!$B$2:$B$682, 0), MATCH(C$2, signals_2019_10!$C$1:$AJ$1, 0))</f>
        <v>#N/A</v>
      </c>
      <c r="H176" s="14">
        <f t="shared" si="15"/>
        <v>0</v>
      </c>
      <c r="I176" s="11">
        <f t="shared" si="16"/>
        <v>0</v>
      </c>
      <c r="J176" s="11">
        <f t="shared" ca="1" si="17"/>
        <v>0</v>
      </c>
    </row>
    <row r="177" spans="1:10" hidden="1" x14ac:dyDescent="0.35">
      <c r="A177" s="20">
        <f>INDEX(signals_2020_05!$A$2:$A$680, MATCH(B177, signals_2020_05!$B$2:$B$680, 0))</f>
        <v>4321</v>
      </c>
      <c r="B177" s="2" t="str">
        <f>signals_2020_05!B167</f>
        <v>Gear Bearing 2 Temperature, Min</v>
      </c>
      <c r="C177" s="9" t="str">
        <f>INDEX(signals_2020_05!$C$2:$AJ$680, MATCH($B177, signals_2020_05!$B$2:$B$680, 0), MATCH(C$2, signals_2020_05!$C$1:$AJ$1, 0))</f>
        <v>NaT</v>
      </c>
      <c r="D177" s="14">
        <f t="shared" si="12"/>
        <v>0</v>
      </c>
      <c r="E177" s="11">
        <f t="shared" si="13"/>
        <v>0</v>
      </c>
      <c r="F177" s="11">
        <f t="shared" ca="1" si="14"/>
        <v>0</v>
      </c>
      <c r="G177" s="9" t="e">
        <f>INDEX(signals_2019_10!$C$2:$AJ$682, MATCH($B177, signals_2019_10!$B$2:$B$682, 0), MATCH(C$2, signals_2019_10!$C$1:$AJ$1, 0))</f>
        <v>#N/A</v>
      </c>
      <c r="H177" s="14">
        <f t="shared" si="15"/>
        <v>0</v>
      </c>
      <c r="I177" s="11">
        <f t="shared" si="16"/>
        <v>0</v>
      </c>
      <c r="J177" s="11">
        <f t="shared" ca="1" si="17"/>
        <v>0</v>
      </c>
    </row>
    <row r="178" spans="1:10" hidden="1" x14ac:dyDescent="0.35">
      <c r="A178" s="20">
        <f>INDEX(signals_2020_05!$A$2:$A$680, MATCH(B178, signals_2020_05!$B$2:$B$680, 0))</f>
        <v>4322</v>
      </c>
      <c r="B178" s="2" t="str">
        <f>signals_2020_05!B168</f>
        <v>Gear Bearing 2 Temperature, StdDev</v>
      </c>
      <c r="C178" s="9" t="str">
        <f>INDEX(signals_2020_05!$C$2:$AJ$680, MATCH($B178, signals_2020_05!$B$2:$B$680, 0), MATCH(C$2, signals_2020_05!$C$1:$AJ$1, 0))</f>
        <v>NaT</v>
      </c>
      <c r="D178" s="14">
        <f t="shared" si="12"/>
        <v>0</v>
      </c>
      <c r="E178" s="11">
        <f t="shared" si="13"/>
        <v>0</v>
      </c>
      <c r="F178" s="11">
        <f t="shared" ca="1" si="14"/>
        <v>0</v>
      </c>
      <c r="G178" s="9" t="e">
        <f>INDEX(signals_2019_10!$C$2:$AJ$682, MATCH($B178, signals_2019_10!$B$2:$B$682, 0), MATCH(C$2, signals_2019_10!$C$1:$AJ$1, 0))</f>
        <v>#N/A</v>
      </c>
      <c r="H178" s="14">
        <f t="shared" si="15"/>
        <v>0</v>
      </c>
      <c r="I178" s="11">
        <f t="shared" si="16"/>
        <v>0</v>
      </c>
      <c r="J178" s="11">
        <f t="shared" ca="1" si="17"/>
        <v>0</v>
      </c>
    </row>
    <row r="179" spans="1:10" hidden="1" x14ac:dyDescent="0.35">
      <c r="A179" s="20">
        <f>INDEX(signals_2020_05!$A$2:$A$680, MATCH(B179, signals_2020_05!$B$2:$B$680, 0))</f>
        <v>111</v>
      </c>
      <c r="B179" s="2" t="str">
        <f>signals_2020_05!B169</f>
        <v>Gear bearing hollow shaft gen. 1 temperature</v>
      </c>
      <c r="C179" s="9" t="str">
        <f>INDEX(signals_2020_05!$C$2:$AJ$680, MATCH($B179, signals_2020_05!$B$2:$B$680, 0), MATCH(C$2, signals_2020_05!$C$1:$AJ$1, 0))</f>
        <v>NaT</v>
      </c>
      <c r="D179" s="14">
        <f t="shared" si="12"/>
        <v>0</v>
      </c>
      <c r="E179" s="11">
        <f t="shared" si="13"/>
        <v>0</v>
      </c>
      <c r="F179" s="11">
        <f t="shared" ca="1" si="14"/>
        <v>0</v>
      </c>
      <c r="G179" s="9" t="e">
        <f>INDEX(signals_2019_10!$C$2:$AJ$682, MATCH($B179, signals_2019_10!$B$2:$B$682, 0), MATCH(C$2, signals_2019_10!$C$1:$AJ$1, 0))</f>
        <v>#N/A</v>
      </c>
      <c r="H179" s="14">
        <f t="shared" si="15"/>
        <v>0</v>
      </c>
      <c r="I179" s="11">
        <f t="shared" si="16"/>
        <v>0</v>
      </c>
      <c r="J179" s="11">
        <f t="shared" ca="1" si="17"/>
        <v>0</v>
      </c>
    </row>
    <row r="180" spans="1:10" hidden="1" x14ac:dyDescent="0.35">
      <c r="A180" s="20">
        <f>INDEX(signals_2020_05!$A$2:$A$680, MATCH(B180, signals_2020_05!$B$2:$B$680, 0))</f>
        <v>112</v>
      </c>
      <c r="B180" s="2" t="str">
        <f>signals_2020_05!B170</f>
        <v>Gear bearing hollow shaft gen. 2 temperature</v>
      </c>
      <c r="C180" s="9" t="str">
        <f>INDEX(signals_2020_05!$C$2:$AJ$680, MATCH($B180, signals_2020_05!$B$2:$B$680, 0), MATCH(C$2, signals_2020_05!$C$1:$AJ$1, 0))</f>
        <v>NaT</v>
      </c>
      <c r="D180" s="14">
        <f t="shared" si="12"/>
        <v>0</v>
      </c>
      <c r="E180" s="11">
        <f t="shared" si="13"/>
        <v>0</v>
      </c>
      <c r="F180" s="11">
        <f t="shared" ca="1" si="14"/>
        <v>0</v>
      </c>
      <c r="G180" s="9" t="e">
        <f>INDEX(signals_2019_10!$C$2:$AJ$682, MATCH($B180, signals_2019_10!$B$2:$B$682, 0), MATCH(C$2, signals_2019_10!$C$1:$AJ$1, 0))</f>
        <v>#N/A</v>
      </c>
      <c r="H180" s="14">
        <f t="shared" si="15"/>
        <v>0</v>
      </c>
      <c r="I180" s="11">
        <f t="shared" si="16"/>
        <v>0</v>
      </c>
      <c r="J180" s="11">
        <f t="shared" ca="1" si="17"/>
        <v>0</v>
      </c>
    </row>
    <row r="181" spans="1:10" hidden="1" x14ac:dyDescent="0.35">
      <c r="A181" s="20">
        <f>INDEX(signals_2020_05!$A$2:$A$680, MATCH(B181, signals_2020_05!$B$2:$B$680, 0))</f>
        <v>194</v>
      </c>
      <c r="B181" s="2" t="str">
        <f>signals_2020_05!B171</f>
        <v>Gear bearing hollow shaft middle temp.</v>
      </c>
      <c r="C181" s="9" t="str">
        <f>INDEX(signals_2020_05!$C$2:$AJ$680, MATCH($B181, signals_2020_05!$B$2:$B$680, 0), MATCH(C$2, signals_2020_05!$C$1:$AJ$1, 0))</f>
        <v>NaT</v>
      </c>
      <c r="D181" s="14">
        <f t="shared" si="12"/>
        <v>0</v>
      </c>
      <c r="E181" s="11">
        <f t="shared" si="13"/>
        <v>0</v>
      </c>
      <c r="F181" s="11">
        <f t="shared" ca="1" si="14"/>
        <v>0</v>
      </c>
      <c r="G181" s="9" t="str">
        <f>INDEX(signals_2019_10!$C$2:$AJ$682, MATCH($B181, signals_2019_10!$B$2:$B$682, 0), MATCH(C$2, signals_2019_10!$C$1:$AJ$1, 0))</f>
        <v>NaT</v>
      </c>
      <c r="H181" s="14">
        <f t="shared" si="15"/>
        <v>0</v>
      </c>
      <c r="I181" s="11">
        <f t="shared" si="16"/>
        <v>0</v>
      </c>
      <c r="J181" s="11">
        <f t="shared" ca="1" si="17"/>
        <v>0</v>
      </c>
    </row>
    <row r="182" spans="1:10" hidden="1" x14ac:dyDescent="0.35">
      <c r="A182" s="20">
        <f>INDEX(signals_2020_05!$A$2:$A$680, MATCH(B182, signals_2020_05!$B$2:$B$680, 0))</f>
        <v>195</v>
      </c>
      <c r="B182" s="2" t="str">
        <f>signals_2020_05!B172</f>
        <v>Gear bearing hollow shaft rotor end temp.</v>
      </c>
      <c r="C182" s="9" t="str">
        <f>INDEX(signals_2020_05!$C$2:$AJ$680, MATCH($B182, signals_2020_05!$B$2:$B$680, 0), MATCH(C$2, signals_2020_05!$C$1:$AJ$1, 0))</f>
        <v>NaT</v>
      </c>
      <c r="D182" s="14">
        <f t="shared" si="12"/>
        <v>0</v>
      </c>
      <c r="E182" s="11">
        <f t="shared" si="13"/>
        <v>0</v>
      </c>
      <c r="F182" s="11">
        <f t="shared" ca="1" si="14"/>
        <v>0</v>
      </c>
      <c r="G182" s="9" t="str">
        <f>INDEX(signals_2019_10!$C$2:$AJ$682, MATCH($B182, signals_2019_10!$B$2:$B$682, 0), MATCH(C$2, signals_2019_10!$C$1:$AJ$1, 0))</f>
        <v>NaT</v>
      </c>
      <c r="H182" s="14">
        <f t="shared" si="15"/>
        <v>0</v>
      </c>
      <c r="I182" s="11">
        <f t="shared" si="16"/>
        <v>0</v>
      </c>
      <c r="J182" s="11">
        <f t="shared" ca="1" si="17"/>
        <v>0</v>
      </c>
    </row>
    <row r="183" spans="1:10" hidden="1" x14ac:dyDescent="0.35">
      <c r="A183" s="20">
        <f>INDEX(signals_2020_05!$A$2:$A$680, MATCH(B183, signals_2020_05!$B$2:$B$680, 0))</f>
        <v>110</v>
      </c>
      <c r="B183" s="2" t="str">
        <f>signals_2020_05!B173</f>
        <v>Gear bearing hollow shaft rotor temp.</v>
      </c>
      <c r="C183" s="9" t="str">
        <f>INDEX(signals_2020_05!$C$2:$AJ$680, MATCH($B183, signals_2020_05!$B$2:$B$680, 0), MATCH(C$2, signals_2020_05!$C$1:$AJ$1, 0))</f>
        <v>NaT</v>
      </c>
      <c r="D183" s="14">
        <f t="shared" si="12"/>
        <v>0</v>
      </c>
      <c r="E183" s="11">
        <f t="shared" si="13"/>
        <v>0</v>
      </c>
      <c r="F183" s="11">
        <f t="shared" ca="1" si="14"/>
        <v>0</v>
      </c>
      <c r="G183" s="9" t="str">
        <f>INDEX(signals_2019_10!$C$2:$AJ$682, MATCH($B183, signals_2019_10!$B$2:$B$682, 0), MATCH(C$2, signals_2019_10!$C$1:$AJ$1, 0))</f>
        <v>NaT</v>
      </c>
      <c r="H183" s="14">
        <f t="shared" si="15"/>
        <v>0</v>
      </c>
      <c r="I183" s="11">
        <f t="shared" si="16"/>
        <v>0</v>
      </c>
      <c r="J183" s="11">
        <f t="shared" ca="1" si="17"/>
        <v>0</v>
      </c>
    </row>
    <row r="184" spans="1:10" hidden="1" x14ac:dyDescent="0.35">
      <c r="A184" s="20">
        <f>INDEX(signals_2020_05!$A$2:$A$680, MATCH(B184, signals_2020_05!$B$2:$B$680, 0))</f>
        <v>177</v>
      </c>
      <c r="B184" s="2" t="str">
        <f>signals_2020_05!B174</f>
        <v>Gear bearing temp.</v>
      </c>
      <c r="C184" s="9" t="str">
        <f>INDEX(signals_2020_05!$C$2:$AJ$680, MATCH($B184, signals_2020_05!$B$2:$B$680, 0), MATCH(C$2, signals_2020_05!$C$1:$AJ$1, 0))</f>
        <v>NaT</v>
      </c>
      <c r="D184" s="14">
        <f t="shared" si="12"/>
        <v>0</v>
      </c>
      <c r="E184" s="11">
        <f t="shared" si="13"/>
        <v>0</v>
      </c>
      <c r="F184" s="11">
        <f t="shared" ca="1" si="14"/>
        <v>0</v>
      </c>
      <c r="G184" s="9" t="str">
        <f>INDEX(signals_2019_10!$C$2:$AJ$682, MATCH($B184, signals_2019_10!$B$2:$B$682, 0), MATCH(C$2, signals_2019_10!$C$1:$AJ$1, 0))</f>
        <v>NaT</v>
      </c>
      <c r="H184" s="14">
        <f t="shared" si="15"/>
        <v>0</v>
      </c>
      <c r="I184" s="11">
        <f t="shared" si="16"/>
        <v>0</v>
      </c>
      <c r="J184" s="11">
        <f t="shared" ca="1" si="17"/>
        <v>0</v>
      </c>
    </row>
    <row r="185" spans="1:10" hidden="1" x14ac:dyDescent="0.35">
      <c r="A185" s="20">
        <f>INDEX(signals_2020_05!$A$2:$A$680, MATCH(B185, signals_2020_05!$B$2:$B$680, 0))</f>
        <v>954</v>
      </c>
      <c r="B185" s="2" t="str">
        <f>signals_2020_05!B175</f>
        <v>Gear bearing temperature, Max</v>
      </c>
      <c r="C185" s="9" t="str">
        <f>INDEX(signals_2020_05!$C$2:$AJ$680, MATCH($B185, signals_2020_05!$B$2:$B$680, 0), MATCH(C$2, signals_2020_05!$C$1:$AJ$1, 0))</f>
        <v>NaT</v>
      </c>
      <c r="D185" s="14">
        <f t="shared" si="12"/>
        <v>0</v>
      </c>
      <c r="E185" s="11">
        <f t="shared" si="13"/>
        <v>0</v>
      </c>
      <c r="F185" s="11">
        <f t="shared" ca="1" si="14"/>
        <v>0</v>
      </c>
      <c r="G185" s="9" t="e">
        <f>INDEX(signals_2019_10!$C$2:$AJ$682, MATCH($B185, signals_2019_10!$B$2:$B$682, 0), MATCH(C$2, signals_2019_10!$C$1:$AJ$1, 0))</f>
        <v>#N/A</v>
      </c>
      <c r="H185" s="14">
        <f t="shared" si="15"/>
        <v>0</v>
      </c>
      <c r="I185" s="11">
        <f t="shared" si="16"/>
        <v>0</v>
      </c>
      <c r="J185" s="11">
        <f t="shared" ca="1" si="17"/>
        <v>0</v>
      </c>
    </row>
    <row r="186" spans="1:10" hidden="1" x14ac:dyDescent="0.35">
      <c r="A186" s="20">
        <f>INDEX(signals_2020_05!$A$2:$A$680, MATCH(B186, signals_2020_05!$B$2:$B$680, 0))</f>
        <v>955</v>
      </c>
      <c r="B186" s="2" t="str">
        <f>signals_2020_05!B176</f>
        <v>Gear bearing temperature, Min</v>
      </c>
      <c r="C186" s="9" t="str">
        <f>INDEX(signals_2020_05!$C$2:$AJ$680, MATCH($B186, signals_2020_05!$B$2:$B$680, 0), MATCH(C$2, signals_2020_05!$C$1:$AJ$1, 0))</f>
        <v>NaT</v>
      </c>
      <c r="D186" s="14">
        <f t="shared" si="12"/>
        <v>0</v>
      </c>
      <c r="E186" s="11">
        <f t="shared" si="13"/>
        <v>0</v>
      </c>
      <c r="F186" s="11">
        <f t="shared" ca="1" si="14"/>
        <v>0</v>
      </c>
      <c r="G186" s="9" t="e">
        <f>INDEX(signals_2019_10!$C$2:$AJ$682, MATCH($B186, signals_2019_10!$B$2:$B$682, 0), MATCH(C$2, signals_2019_10!$C$1:$AJ$1, 0))</f>
        <v>#N/A</v>
      </c>
      <c r="H186" s="14">
        <f t="shared" si="15"/>
        <v>0</v>
      </c>
      <c r="I186" s="11">
        <f t="shared" si="16"/>
        <v>0</v>
      </c>
      <c r="J186" s="11">
        <f t="shared" ca="1" si="17"/>
        <v>0</v>
      </c>
    </row>
    <row r="187" spans="1:10" hidden="1" x14ac:dyDescent="0.35">
      <c r="A187" s="20">
        <f>INDEX(signals_2020_05!$A$2:$A$680, MATCH(B187, signals_2020_05!$B$2:$B$680, 0))</f>
        <v>956</v>
      </c>
      <c r="B187" s="2" t="str">
        <f>signals_2020_05!B177</f>
        <v>Gear bearing temperature, Standard deviation</v>
      </c>
      <c r="C187" s="9" t="str">
        <f>INDEX(signals_2020_05!$C$2:$AJ$680, MATCH($B187, signals_2020_05!$B$2:$B$680, 0), MATCH(C$2, signals_2020_05!$C$1:$AJ$1, 0))</f>
        <v>NaT</v>
      </c>
      <c r="D187" s="14">
        <f t="shared" si="12"/>
        <v>0</v>
      </c>
      <c r="E187" s="11">
        <f t="shared" si="13"/>
        <v>0</v>
      </c>
      <c r="F187" s="11">
        <f t="shared" ca="1" si="14"/>
        <v>0</v>
      </c>
      <c r="G187" s="9" t="e">
        <f>INDEX(signals_2019_10!$C$2:$AJ$682, MATCH($B187, signals_2019_10!$B$2:$B$682, 0), MATCH(C$2, signals_2019_10!$C$1:$AJ$1, 0))</f>
        <v>#N/A</v>
      </c>
      <c r="H187" s="14">
        <f t="shared" si="15"/>
        <v>0</v>
      </c>
      <c r="I187" s="11">
        <f t="shared" si="16"/>
        <v>0</v>
      </c>
      <c r="J187" s="11">
        <f t="shared" ca="1" si="17"/>
        <v>0</v>
      </c>
    </row>
    <row r="188" spans="1:10" hidden="1" x14ac:dyDescent="0.35">
      <c r="A188" s="20">
        <f>INDEX(signals_2020_05!$A$2:$A$680, MATCH(B188, signals_2020_05!$B$2:$B$680, 0))</f>
        <v>114</v>
      </c>
      <c r="B188" s="2" t="str">
        <f>signals_2020_05!B178</f>
        <v>Gear main bearing temperature</v>
      </c>
      <c r="C188" s="9" t="str">
        <f>INDEX(signals_2020_05!$C$2:$AJ$680, MATCH($B188, signals_2020_05!$B$2:$B$680, 0), MATCH(C$2, signals_2020_05!$C$1:$AJ$1, 0))</f>
        <v>NaT</v>
      </c>
      <c r="D188" s="14">
        <f t="shared" si="12"/>
        <v>0</v>
      </c>
      <c r="E188" s="11">
        <f t="shared" si="13"/>
        <v>0</v>
      </c>
      <c r="F188" s="11">
        <f t="shared" ca="1" si="14"/>
        <v>0</v>
      </c>
      <c r="G188" s="9" t="str">
        <f>INDEX(signals_2019_10!$C$2:$AJ$682, MATCH($B188, signals_2019_10!$B$2:$B$682, 0), MATCH(C$2, signals_2019_10!$C$1:$AJ$1, 0))</f>
        <v>NaT</v>
      </c>
      <c r="H188" s="14">
        <f t="shared" si="15"/>
        <v>0</v>
      </c>
      <c r="I188" s="11">
        <f t="shared" si="16"/>
        <v>0</v>
      </c>
      <c r="J188" s="11">
        <f t="shared" ca="1" si="17"/>
        <v>0</v>
      </c>
    </row>
    <row r="189" spans="1:10" hidden="1" x14ac:dyDescent="0.35">
      <c r="A189" s="20">
        <f>INDEX(signals_2020_05!$A$2:$A$680, MATCH(B189, signals_2020_05!$B$2:$B$680, 0))</f>
        <v>4139</v>
      </c>
      <c r="B189" s="2" t="str">
        <f>signals_2020_05!B179</f>
        <v>Gear main bearing temperature, Max</v>
      </c>
      <c r="C189" s="9" t="str">
        <f>INDEX(signals_2020_05!$C$2:$AJ$680, MATCH($B189, signals_2020_05!$B$2:$B$680, 0), MATCH(C$2, signals_2020_05!$C$1:$AJ$1, 0))</f>
        <v>NaT</v>
      </c>
      <c r="D189" s="14">
        <f t="shared" si="12"/>
        <v>0</v>
      </c>
      <c r="E189" s="11">
        <f t="shared" si="13"/>
        <v>0</v>
      </c>
      <c r="F189" s="11">
        <f t="shared" ca="1" si="14"/>
        <v>0</v>
      </c>
      <c r="G189" s="9" t="e">
        <f>INDEX(signals_2019_10!$C$2:$AJ$682, MATCH($B189, signals_2019_10!$B$2:$B$682, 0), MATCH(C$2, signals_2019_10!$C$1:$AJ$1, 0))</f>
        <v>#N/A</v>
      </c>
      <c r="H189" s="14">
        <f t="shared" si="15"/>
        <v>0</v>
      </c>
      <c r="I189" s="11">
        <f t="shared" si="16"/>
        <v>0</v>
      </c>
      <c r="J189" s="11">
        <f t="shared" ca="1" si="17"/>
        <v>0</v>
      </c>
    </row>
    <row r="190" spans="1:10" hidden="1" x14ac:dyDescent="0.35">
      <c r="A190" s="20">
        <f>INDEX(signals_2020_05!$A$2:$A$680, MATCH(B190, signals_2020_05!$B$2:$B$680, 0))</f>
        <v>4140</v>
      </c>
      <c r="B190" s="2" t="str">
        <f>signals_2020_05!B180</f>
        <v>Gear main bearing temperature, Min</v>
      </c>
      <c r="C190" s="9" t="str">
        <f>INDEX(signals_2020_05!$C$2:$AJ$680, MATCH($B190, signals_2020_05!$B$2:$B$680, 0), MATCH(C$2, signals_2020_05!$C$1:$AJ$1, 0))</f>
        <v>NaT</v>
      </c>
      <c r="D190" s="14">
        <f t="shared" si="12"/>
        <v>0</v>
      </c>
      <c r="E190" s="11">
        <f t="shared" si="13"/>
        <v>0</v>
      </c>
      <c r="F190" s="11">
        <f t="shared" ca="1" si="14"/>
        <v>0</v>
      </c>
      <c r="G190" s="9" t="e">
        <f>INDEX(signals_2019_10!$C$2:$AJ$682, MATCH($B190, signals_2019_10!$B$2:$B$682, 0), MATCH(C$2, signals_2019_10!$C$1:$AJ$1, 0))</f>
        <v>#N/A</v>
      </c>
      <c r="H190" s="14">
        <f t="shared" si="15"/>
        <v>0</v>
      </c>
      <c r="I190" s="11">
        <f t="shared" si="16"/>
        <v>0</v>
      </c>
      <c r="J190" s="11">
        <f t="shared" ca="1" si="17"/>
        <v>0</v>
      </c>
    </row>
    <row r="191" spans="1:10" hidden="1" x14ac:dyDescent="0.35">
      <c r="A191" s="20">
        <f>INDEX(signals_2020_05!$A$2:$A$680, MATCH(B191, signals_2020_05!$B$2:$B$680, 0))</f>
        <v>4141</v>
      </c>
      <c r="B191" s="2" t="str">
        <f>signals_2020_05!B181</f>
        <v>Gear main bearing temperature, StdDev</v>
      </c>
      <c r="C191" s="9" t="str">
        <f>INDEX(signals_2020_05!$C$2:$AJ$680, MATCH($B191, signals_2020_05!$B$2:$B$680, 0), MATCH(C$2, signals_2020_05!$C$1:$AJ$1, 0))</f>
        <v>NaT</v>
      </c>
      <c r="D191" s="14">
        <f t="shared" si="12"/>
        <v>0</v>
      </c>
      <c r="E191" s="11">
        <f t="shared" si="13"/>
        <v>0</v>
      </c>
      <c r="F191" s="11">
        <f t="shared" ca="1" si="14"/>
        <v>0</v>
      </c>
      <c r="G191" s="9" t="e">
        <f>INDEX(signals_2019_10!$C$2:$AJ$682, MATCH($B191, signals_2019_10!$B$2:$B$682, 0), MATCH(C$2, signals_2019_10!$C$1:$AJ$1, 0))</f>
        <v>#N/A</v>
      </c>
      <c r="H191" s="14">
        <f t="shared" si="15"/>
        <v>0</v>
      </c>
      <c r="I191" s="11">
        <f t="shared" si="16"/>
        <v>0</v>
      </c>
      <c r="J191" s="11">
        <f t="shared" ca="1" si="17"/>
        <v>0</v>
      </c>
    </row>
    <row r="192" spans="1:10" hidden="1" x14ac:dyDescent="0.35">
      <c r="A192" s="20">
        <f>INDEX(signals_2020_05!$A$2:$A$680, MATCH(B192, signals_2020_05!$B$2:$B$680, 0))</f>
        <v>317</v>
      </c>
      <c r="B192" s="2" t="str">
        <f>signals_2020_05!B182</f>
        <v>Gear oil inlet pressure</v>
      </c>
      <c r="C192" s="9" t="str">
        <f>INDEX(signals_2020_05!$C$2:$AJ$680, MATCH($B192, signals_2020_05!$B$2:$B$680, 0), MATCH(C$2, signals_2020_05!$C$1:$AJ$1, 0))</f>
        <v>NaT</v>
      </c>
      <c r="D192" s="14">
        <f t="shared" si="12"/>
        <v>0</v>
      </c>
      <c r="E192" s="11">
        <f t="shared" si="13"/>
        <v>0</v>
      </c>
      <c r="F192" s="11">
        <f t="shared" ca="1" si="14"/>
        <v>0</v>
      </c>
      <c r="G192" s="9" t="str">
        <f>INDEX(signals_2019_10!$C$2:$AJ$682, MATCH($B192, signals_2019_10!$B$2:$B$682, 0), MATCH(C$2, signals_2019_10!$C$1:$AJ$1, 0))</f>
        <v>NaT</v>
      </c>
      <c r="H192" s="14">
        <f t="shared" si="15"/>
        <v>0</v>
      </c>
      <c r="I192" s="11">
        <f t="shared" si="16"/>
        <v>0</v>
      </c>
      <c r="J192" s="11">
        <f t="shared" ca="1" si="17"/>
        <v>0</v>
      </c>
    </row>
    <row r="193" spans="1:10" hidden="1" x14ac:dyDescent="0.35">
      <c r="A193" s="20">
        <f>INDEX(signals_2020_05!$A$2:$A$680, MATCH(B193, signals_2020_05!$B$2:$B$680, 0))</f>
        <v>4142</v>
      </c>
      <c r="B193" s="2" t="str">
        <f>signals_2020_05!B183</f>
        <v>Gear oil inlet pressure, Max</v>
      </c>
      <c r="C193" s="9" t="str">
        <f>INDEX(signals_2020_05!$C$2:$AJ$680, MATCH($B193, signals_2020_05!$B$2:$B$680, 0), MATCH(C$2, signals_2020_05!$C$1:$AJ$1, 0))</f>
        <v>NaT</v>
      </c>
      <c r="D193" s="14">
        <f t="shared" si="12"/>
        <v>0</v>
      </c>
      <c r="E193" s="11">
        <f t="shared" si="13"/>
        <v>0</v>
      </c>
      <c r="F193" s="11">
        <f t="shared" ca="1" si="14"/>
        <v>0</v>
      </c>
      <c r="G193" s="9" t="e">
        <f>INDEX(signals_2019_10!$C$2:$AJ$682, MATCH($B193, signals_2019_10!$B$2:$B$682, 0), MATCH(C$2, signals_2019_10!$C$1:$AJ$1, 0))</f>
        <v>#N/A</v>
      </c>
      <c r="H193" s="14">
        <f t="shared" si="15"/>
        <v>0</v>
      </c>
      <c r="I193" s="11">
        <f t="shared" si="16"/>
        <v>0</v>
      </c>
      <c r="J193" s="11">
        <f t="shared" ca="1" si="17"/>
        <v>0</v>
      </c>
    </row>
    <row r="194" spans="1:10" hidden="1" x14ac:dyDescent="0.35">
      <c r="A194" s="20">
        <f>INDEX(signals_2020_05!$A$2:$A$680, MATCH(B194, signals_2020_05!$B$2:$B$680, 0))</f>
        <v>4143</v>
      </c>
      <c r="B194" s="2" t="str">
        <f>signals_2020_05!B184</f>
        <v>Gear oil inlet pressure, Min</v>
      </c>
      <c r="C194" s="9" t="str">
        <f>INDEX(signals_2020_05!$C$2:$AJ$680, MATCH($B194, signals_2020_05!$B$2:$B$680, 0), MATCH(C$2, signals_2020_05!$C$1:$AJ$1, 0))</f>
        <v>NaT</v>
      </c>
      <c r="D194" s="14">
        <f t="shared" si="12"/>
        <v>0</v>
      </c>
      <c r="E194" s="11">
        <f t="shared" si="13"/>
        <v>0</v>
      </c>
      <c r="F194" s="11">
        <f t="shared" ca="1" si="14"/>
        <v>0</v>
      </c>
      <c r="G194" s="9" t="e">
        <f>INDEX(signals_2019_10!$C$2:$AJ$682, MATCH($B194, signals_2019_10!$B$2:$B$682, 0), MATCH(C$2, signals_2019_10!$C$1:$AJ$1, 0))</f>
        <v>#N/A</v>
      </c>
      <c r="H194" s="14">
        <f t="shared" si="15"/>
        <v>0</v>
      </c>
      <c r="I194" s="11">
        <f t="shared" si="16"/>
        <v>0</v>
      </c>
      <c r="J194" s="11">
        <f t="shared" ca="1" si="17"/>
        <v>0</v>
      </c>
    </row>
    <row r="195" spans="1:10" hidden="1" x14ac:dyDescent="0.35">
      <c r="A195" s="20">
        <f>INDEX(signals_2020_05!$A$2:$A$680, MATCH(B195, signals_2020_05!$B$2:$B$680, 0))</f>
        <v>4144</v>
      </c>
      <c r="B195" s="2" t="str">
        <f>signals_2020_05!B185</f>
        <v>Gear oil inlet pressure, StdDev</v>
      </c>
      <c r="C195" s="9" t="str">
        <f>INDEX(signals_2020_05!$C$2:$AJ$680, MATCH($B195, signals_2020_05!$B$2:$B$680, 0), MATCH(C$2, signals_2020_05!$C$1:$AJ$1, 0))</f>
        <v>NaT</v>
      </c>
      <c r="D195" s="14">
        <f t="shared" si="12"/>
        <v>0</v>
      </c>
      <c r="E195" s="11">
        <f t="shared" si="13"/>
        <v>0</v>
      </c>
      <c r="F195" s="11">
        <f t="shared" ca="1" si="14"/>
        <v>0</v>
      </c>
      <c r="G195" s="9" t="e">
        <f>INDEX(signals_2019_10!$C$2:$AJ$682, MATCH($B195, signals_2019_10!$B$2:$B$682, 0), MATCH(C$2, signals_2019_10!$C$1:$AJ$1, 0))</f>
        <v>#N/A</v>
      </c>
      <c r="H195" s="14">
        <f t="shared" si="15"/>
        <v>0</v>
      </c>
      <c r="I195" s="11">
        <f t="shared" si="16"/>
        <v>0</v>
      </c>
      <c r="J195" s="11">
        <f t="shared" ca="1" si="17"/>
        <v>0</v>
      </c>
    </row>
    <row r="196" spans="1:10" hidden="1" x14ac:dyDescent="0.35">
      <c r="A196" s="20">
        <f>INDEX(signals_2020_05!$A$2:$A$680, MATCH(B196, signals_2020_05!$B$2:$B$680, 0))</f>
        <v>117</v>
      </c>
      <c r="B196" s="2" t="str">
        <f>signals_2020_05!B186</f>
        <v>Gear oil inlet temperature</v>
      </c>
      <c r="C196" s="9" t="str">
        <f>INDEX(signals_2020_05!$C$2:$AJ$680, MATCH($B196, signals_2020_05!$B$2:$B$680, 0), MATCH(C$2, signals_2020_05!$C$1:$AJ$1, 0))</f>
        <v>NaT</v>
      </c>
      <c r="D196" s="14">
        <f t="shared" si="12"/>
        <v>0</v>
      </c>
      <c r="E196" s="11">
        <f t="shared" si="13"/>
        <v>0</v>
      </c>
      <c r="F196" s="11">
        <f t="shared" ca="1" si="14"/>
        <v>0</v>
      </c>
      <c r="G196" s="9" t="str">
        <f>INDEX(signals_2019_10!$C$2:$AJ$682, MATCH($B196, signals_2019_10!$B$2:$B$682, 0), MATCH(C$2, signals_2019_10!$C$1:$AJ$1, 0))</f>
        <v>NaT</v>
      </c>
      <c r="H196" s="14">
        <f t="shared" si="15"/>
        <v>0</v>
      </c>
      <c r="I196" s="11">
        <f t="shared" si="16"/>
        <v>0</v>
      </c>
      <c r="J196" s="11">
        <f t="shared" ca="1" si="17"/>
        <v>0</v>
      </c>
    </row>
    <row r="197" spans="1:10" hidden="1" x14ac:dyDescent="0.35">
      <c r="A197" s="20">
        <f>INDEX(signals_2020_05!$A$2:$A$680, MATCH(B197, signals_2020_05!$B$2:$B$680, 0))</f>
        <v>4145</v>
      </c>
      <c r="B197" s="2" t="str">
        <f>signals_2020_05!B187</f>
        <v>Gear oil inlet temperature, Max</v>
      </c>
      <c r="C197" s="9" t="str">
        <f>INDEX(signals_2020_05!$C$2:$AJ$680, MATCH($B197, signals_2020_05!$B$2:$B$680, 0), MATCH(C$2, signals_2020_05!$C$1:$AJ$1, 0))</f>
        <v>NaT</v>
      </c>
      <c r="D197" s="14">
        <f t="shared" si="12"/>
        <v>0</v>
      </c>
      <c r="E197" s="11">
        <f t="shared" si="13"/>
        <v>0</v>
      </c>
      <c r="F197" s="11">
        <f t="shared" ca="1" si="14"/>
        <v>0</v>
      </c>
      <c r="G197" s="9" t="e">
        <f>INDEX(signals_2019_10!$C$2:$AJ$682, MATCH($B197, signals_2019_10!$B$2:$B$682, 0), MATCH(C$2, signals_2019_10!$C$1:$AJ$1, 0))</f>
        <v>#N/A</v>
      </c>
      <c r="H197" s="14">
        <f t="shared" si="15"/>
        <v>0</v>
      </c>
      <c r="I197" s="11">
        <f t="shared" si="16"/>
        <v>0</v>
      </c>
      <c r="J197" s="11">
        <f t="shared" ca="1" si="17"/>
        <v>0</v>
      </c>
    </row>
    <row r="198" spans="1:10" hidden="1" x14ac:dyDescent="0.35">
      <c r="A198" s="20">
        <f>INDEX(signals_2020_05!$A$2:$A$680, MATCH(B198, signals_2020_05!$B$2:$B$680, 0))</f>
        <v>4146</v>
      </c>
      <c r="B198" s="2" t="str">
        <f>signals_2020_05!B188</f>
        <v>Gear oil inlet temperature, Min</v>
      </c>
      <c r="C198" s="9" t="str">
        <f>INDEX(signals_2020_05!$C$2:$AJ$680, MATCH($B198, signals_2020_05!$B$2:$B$680, 0), MATCH(C$2, signals_2020_05!$C$1:$AJ$1, 0))</f>
        <v>NaT</v>
      </c>
      <c r="D198" s="14">
        <f t="shared" si="12"/>
        <v>0</v>
      </c>
      <c r="E198" s="11">
        <f t="shared" si="13"/>
        <v>0</v>
      </c>
      <c r="F198" s="11">
        <f t="shared" ca="1" si="14"/>
        <v>0</v>
      </c>
      <c r="G198" s="9" t="e">
        <f>INDEX(signals_2019_10!$C$2:$AJ$682, MATCH($B198, signals_2019_10!$B$2:$B$682, 0), MATCH(C$2, signals_2019_10!$C$1:$AJ$1, 0))</f>
        <v>#N/A</v>
      </c>
      <c r="H198" s="14">
        <f t="shared" si="15"/>
        <v>0</v>
      </c>
      <c r="I198" s="11">
        <f t="shared" si="16"/>
        <v>0</v>
      </c>
      <c r="J198" s="11">
        <f t="shared" ca="1" si="17"/>
        <v>0</v>
      </c>
    </row>
    <row r="199" spans="1:10" hidden="1" x14ac:dyDescent="0.35">
      <c r="A199" s="20">
        <f>INDEX(signals_2020_05!$A$2:$A$680, MATCH(B199, signals_2020_05!$B$2:$B$680, 0))</f>
        <v>4147</v>
      </c>
      <c r="B199" s="2" t="str">
        <f>signals_2020_05!B189</f>
        <v>Gear oil inlet temperature, StdDev</v>
      </c>
      <c r="C199" s="9" t="str">
        <f>INDEX(signals_2020_05!$C$2:$AJ$680, MATCH($B199, signals_2020_05!$B$2:$B$680, 0), MATCH(C$2, signals_2020_05!$C$1:$AJ$1, 0))</f>
        <v>NaT</v>
      </c>
      <c r="D199" s="14">
        <f t="shared" si="12"/>
        <v>0</v>
      </c>
      <c r="E199" s="11">
        <f t="shared" si="13"/>
        <v>0</v>
      </c>
      <c r="F199" s="11">
        <f t="shared" ca="1" si="14"/>
        <v>0</v>
      </c>
      <c r="G199" s="9" t="e">
        <f>INDEX(signals_2019_10!$C$2:$AJ$682, MATCH($B199, signals_2019_10!$B$2:$B$682, 0), MATCH(C$2, signals_2019_10!$C$1:$AJ$1, 0))</f>
        <v>#N/A</v>
      </c>
      <c r="H199" s="14">
        <f t="shared" si="15"/>
        <v>0</v>
      </c>
      <c r="I199" s="11">
        <f t="shared" si="16"/>
        <v>0</v>
      </c>
      <c r="J199" s="11">
        <f t="shared" ca="1" si="17"/>
        <v>0</v>
      </c>
    </row>
    <row r="200" spans="1:10" hidden="1" x14ac:dyDescent="0.35">
      <c r="A200" s="20">
        <f>INDEX(signals_2020_05!$A$2:$A$680, MATCH(B200, signals_2020_05!$B$2:$B$680, 0))</f>
        <v>197</v>
      </c>
      <c r="B200" s="2" t="str">
        <f>signals_2020_05!B190</f>
        <v>Gear oil L1 temperature</v>
      </c>
      <c r="C200" s="9" t="str">
        <f>INDEX(signals_2020_05!$C$2:$AJ$680, MATCH($B200, signals_2020_05!$B$2:$B$680, 0), MATCH(C$2, signals_2020_05!$C$1:$AJ$1, 0))</f>
        <v>NaT</v>
      </c>
      <c r="D200" s="14">
        <f t="shared" si="12"/>
        <v>0</v>
      </c>
      <c r="E200" s="11">
        <f t="shared" si="13"/>
        <v>0</v>
      </c>
      <c r="F200" s="11">
        <f t="shared" ca="1" si="14"/>
        <v>0</v>
      </c>
      <c r="G200" s="9" t="str">
        <f>INDEX(signals_2019_10!$C$2:$AJ$682, MATCH($B200, signals_2019_10!$B$2:$B$682, 0), MATCH(C$2, signals_2019_10!$C$1:$AJ$1, 0))</f>
        <v>NaT</v>
      </c>
      <c r="H200" s="14">
        <f t="shared" si="15"/>
        <v>0</v>
      </c>
      <c r="I200" s="11">
        <f t="shared" si="16"/>
        <v>0</v>
      </c>
      <c r="J200" s="11">
        <f t="shared" ca="1" si="17"/>
        <v>0</v>
      </c>
    </row>
    <row r="201" spans="1:10" hidden="1" x14ac:dyDescent="0.35">
      <c r="A201" s="20">
        <f>INDEX(signals_2020_05!$A$2:$A$680, MATCH(B201, signals_2020_05!$B$2:$B$680, 0))</f>
        <v>198</v>
      </c>
      <c r="B201" s="2" t="str">
        <f>signals_2020_05!B191</f>
        <v>Gear oil L2 and L3 temperature</v>
      </c>
      <c r="C201" s="9" t="str">
        <f>INDEX(signals_2020_05!$C$2:$AJ$680, MATCH($B201, signals_2020_05!$B$2:$B$680, 0), MATCH(C$2, signals_2020_05!$C$1:$AJ$1, 0))</f>
        <v>NaT</v>
      </c>
      <c r="D201" s="14">
        <f t="shared" si="12"/>
        <v>0</v>
      </c>
      <c r="E201" s="11">
        <f t="shared" si="13"/>
        <v>0</v>
      </c>
      <c r="F201" s="11">
        <f t="shared" ca="1" si="14"/>
        <v>0</v>
      </c>
      <c r="G201" s="9" t="str">
        <f>INDEX(signals_2019_10!$C$2:$AJ$682, MATCH($B201, signals_2019_10!$B$2:$B$682, 0), MATCH(C$2, signals_2019_10!$C$1:$AJ$1, 0))</f>
        <v>NaT</v>
      </c>
      <c r="H201" s="14">
        <f t="shared" si="15"/>
        <v>0</v>
      </c>
      <c r="I201" s="11">
        <f t="shared" si="16"/>
        <v>0</v>
      </c>
      <c r="J201" s="11">
        <f t="shared" ca="1" si="17"/>
        <v>0</v>
      </c>
    </row>
    <row r="202" spans="1:10" hidden="1" x14ac:dyDescent="0.35">
      <c r="A202" s="20">
        <f>INDEX(signals_2020_05!$A$2:$A$680, MATCH(B202, signals_2020_05!$B$2:$B$680, 0))</f>
        <v>455</v>
      </c>
      <c r="B202" s="2" t="str">
        <f>signals_2020_05!B192</f>
        <v>Gear oil pump pressure</v>
      </c>
      <c r="C202" s="9" t="str">
        <f>INDEX(signals_2020_05!$C$2:$AJ$680, MATCH($B202, signals_2020_05!$B$2:$B$680, 0), MATCH(C$2, signals_2020_05!$C$1:$AJ$1, 0))</f>
        <v>NaT</v>
      </c>
      <c r="D202" s="14">
        <f t="shared" si="12"/>
        <v>0</v>
      </c>
      <c r="E202" s="11">
        <f t="shared" si="13"/>
        <v>0</v>
      </c>
      <c r="F202" s="11">
        <f t="shared" ca="1" si="14"/>
        <v>0</v>
      </c>
      <c r="G202" s="9" t="str">
        <f>INDEX(signals_2019_10!$C$2:$AJ$682, MATCH($B202, signals_2019_10!$B$2:$B$682, 0), MATCH(C$2, signals_2019_10!$C$1:$AJ$1, 0))</f>
        <v>NaT</v>
      </c>
      <c r="H202" s="14">
        <f t="shared" si="15"/>
        <v>0</v>
      </c>
      <c r="I202" s="11">
        <f t="shared" si="16"/>
        <v>0</v>
      </c>
      <c r="J202" s="11">
        <f t="shared" ca="1" si="17"/>
        <v>0</v>
      </c>
    </row>
    <row r="203" spans="1:10" hidden="1" x14ac:dyDescent="0.35">
      <c r="A203" s="20">
        <f>INDEX(signals_2020_05!$A$2:$A$680, MATCH(B203, signals_2020_05!$B$2:$B$680, 0))</f>
        <v>4148</v>
      </c>
      <c r="B203" s="2" t="str">
        <f>signals_2020_05!B193</f>
        <v>Gear oil pump pressure, Max</v>
      </c>
      <c r="C203" s="9" t="str">
        <f>INDEX(signals_2020_05!$C$2:$AJ$680, MATCH($B203, signals_2020_05!$B$2:$B$680, 0), MATCH(C$2, signals_2020_05!$C$1:$AJ$1, 0))</f>
        <v>NaT</v>
      </c>
      <c r="D203" s="14">
        <f t="shared" si="12"/>
        <v>0</v>
      </c>
      <c r="E203" s="11">
        <f t="shared" si="13"/>
        <v>0</v>
      </c>
      <c r="F203" s="11">
        <f t="shared" ca="1" si="14"/>
        <v>0</v>
      </c>
      <c r="G203" s="9" t="e">
        <f>INDEX(signals_2019_10!$C$2:$AJ$682, MATCH($B203, signals_2019_10!$B$2:$B$682, 0), MATCH(C$2, signals_2019_10!$C$1:$AJ$1, 0))</f>
        <v>#N/A</v>
      </c>
      <c r="H203" s="14">
        <f t="shared" si="15"/>
        <v>0</v>
      </c>
      <c r="I203" s="11">
        <f t="shared" si="16"/>
        <v>0</v>
      </c>
      <c r="J203" s="11">
        <f t="shared" ca="1" si="17"/>
        <v>0</v>
      </c>
    </row>
    <row r="204" spans="1:10" hidden="1" x14ac:dyDescent="0.35">
      <c r="A204" s="20">
        <f>INDEX(signals_2020_05!$A$2:$A$680, MATCH(B204, signals_2020_05!$B$2:$B$680, 0))</f>
        <v>4149</v>
      </c>
      <c r="B204" s="2" t="str">
        <f>signals_2020_05!B194</f>
        <v>Gear oil pump pressure, Min</v>
      </c>
      <c r="C204" s="9" t="str">
        <f>INDEX(signals_2020_05!$C$2:$AJ$680, MATCH($B204, signals_2020_05!$B$2:$B$680, 0), MATCH(C$2, signals_2020_05!$C$1:$AJ$1, 0))</f>
        <v>NaT</v>
      </c>
      <c r="D204" s="14">
        <f t="shared" si="12"/>
        <v>0</v>
      </c>
      <c r="E204" s="11">
        <f t="shared" si="13"/>
        <v>0</v>
      </c>
      <c r="F204" s="11">
        <f t="shared" ca="1" si="14"/>
        <v>0</v>
      </c>
      <c r="G204" s="9" t="e">
        <f>INDEX(signals_2019_10!$C$2:$AJ$682, MATCH($B204, signals_2019_10!$B$2:$B$682, 0), MATCH(C$2, signals_2019_10!$C$1:$AJ$1, 0))</f>
        <v>#N/A</v>
      </c>
      <c r="H204" s="14">
        <f t="shared" si="15"/>
        <v>0</v>
      </c>
      <c r="I204" s="11">
        <f t="shared" si="16"/>
        <v>0</v>
      </c>
      <c r="J204" s="11">
        <f t="shared" ca="1" si="17"/>
        <v>0</v>
      </c>
    </row>
    <row r="205" spans="1:10" hidden="1" x14ac:dyDescent="0.35">
      <c r="A205" s="20">
        <f>INDEX(signals_2020_05!$A$2:$A$680, MATCH(B205, signals_2020_05!$B$2:$B$680, 0))</f>
        <v>4150</v>
      </c>
      <c r="B205" s="2" t="str">
        <f>signals_2020_05!B195</f>
        <v>Gear oil pump pressure, StdDev</v>
      </c>
      <c r="C205" s="9" t="str">
        <f>INDEX(signals_2020_05!$C$2:$AJ$680, MATCH($B205, signals_2020_05!$B$2:$B$680, 0), MATCH(C$2, signals_2020_05!$C$1:$AJ$1, 0))</f>
        <v>NaT</v>
      </c>
      <c r="D205" s="14">
        <f t="shared" ref="D205:D268" si="18">IF(ISERROR(C205), 0, IF(C205="NaT", 0, 1))</f>
        <v>0</v>
      </c>
      <c r="E205" s="11">
        <f t="shared" ref="E205:E268" si="19">IF(D205, IF(FLOOR($C205, 1) = FLOOR($C$5, 1), 1, 0), 0)</f>
        <v>0</v>
      </c>
      <c r="F205" s="11">
        <f t="shared" ref="F205:F268" ca="1" si="20">IF(ISERROR(C205), 0, IF(C205="NaT", 0,ROUND(((NOW()-C205)/365.25)*10, 0)/10))</f>
        <v>0</v>
      </c>
      <c r="G205" s="9" t="e">
        <f>INDEX(signals_2019_10!$C$2:$AJ$682, MATCH($B205, signals_2019_10!$B$2:$B$682, 0), MATCH(C$2, signals_2019_10!$C$1:$AJ$1, 0))</f>
        <v>#N/A</v>
      </c>
      <c r="H205" s="14">
        <f t="shared" ref="H205:H268" si="21">IF(ISERROR(G205), 0, IF(G205="NaT", 0, 1))</f>
        <v>0</v>
      </c>
      <c r="I205" s="11">
        <f t="shared" ref="I205:I268" si="22">IF(H205, IF(FLOOR($C205, 1) = FLOOR($C$5, 1), 1, 0), 0)</f>
        <v>0</v>
      </c>
      <c r="J205" s="11">
        <f t="shared" ref="J205:J268" ca="1" si="23">IF(ISERROR(G205), 0, IF(G205="NaT", 0,ROUND(((NOW()-G205)/365.25)*10, 0)/10))</f>
        <v>0</v>
      </c>
    </row>
    <row r="206" spans="1:10" x14ac:dyDescent="0.35">
      <c r="A206" s="20">
        <f>INDEX(signals_2020_05!$A$2:$A$680, MATCH(B206, signals_2020_05!$B$2:$B$680, 0))</f>
        <v>178</v>
      </c>
      <c r="B206" s="2" t="str">
        <f>signals_2020_05!B196</f>
        <v>Gear oil temperature</v>
      </c>
      <c r="C206" s="9">
        <f>INDEX(signals_2020_05!$C$2:$AJ$680, MATCH($B206, signals_2020_05!$B$2:$B$680, 0), MATCH(C$2, signals_2020_05!$C$1:$AJ$1, 0))</f>
        <v>43054.631944444445</v>
      </c>
      <c r="D206" s="14">
        <f t="shared" si="18"/>
        <v>1</v>
      </c>
      <c r="E206" s="11">
        <f t="shared" si="19"/>
        <v>1</v>
      </c>
      <c r="F206" s="11">
        <f t="shared" ca="1" si="20"/>
        <v>2.7</v>
      </c>
      <c r="G206" s="9">
        <f>INDEX(signals_2019_10!$C$2:$AJ$682, MATCH($B206, signals_2019_10!$B$2:$B$682, 0), MATCH(C$2, signals_2019_10!$C$1:$AJ$1, 0))</f>
        <v>43054.631944444445</v>
      </c>
      <c r="H206" s="14">
        <f t="shared" si="21"/>
        <v>1</v>
      </c>
      <c r="I206" s="11">
        <f t="shared" si="22"/>
        <v>1</v>
      </c>
      <c r="J206" s="11">
        <f t="shared" ca="1" si="23"/>
        <v>2.7</v>
      </c>
    </row>
    <row r="207" spans="1:10" hidden="1" x14ac:dyDescent="0.35">
      <c r="A207" s="20">
        <f>INDEX(signals_2020_05!$A$2:$A$680, MATCH(B207, signals_2020_05!$B$2:$B$680, 0))</f>
        <v>196</v>
      </c>
      <c r="B207" s="2" t="str">
        <f>signals_2020_05!B197</f>
        <v>Gear oil temperature basis</v>
      </c>
      <c r="C207" s="9" t="str">
        <f>INDEX(signals_2020_05!$C$2:$AJ$680, MATCH($B207, signals_2020_05!$B$2:$B$680, 0), MATCH(C$2, signals_2020_05!$C$1:$AJ$1, 0))</f>
        <v>NaT</v>
      </c>
      <c r="D207" s="14">
        <f t="shared" si="18"/>
        <v>0</v>
      </c>
      <c r="E207" s="11">
        <f t="shared" si="19"/>
        <v>0</v>
      </c>
      <c r="F207" s="11">
        <f t="shared" ca="1" si="20"/>
        <v>0</v>
      </c>
      <c r="G207" s="9" t="str">
        <f>INDEX(signals_2019_10!$C$2:$AJ$682, MATCH($B207, signals_2019_10!$B$2:$B$682, 0), MATCH(C$2, signals_2019_10!$C$1:$AJ$1, 0))</f>
        <v>NaT</v>
      </c>
      <c r="H207" s="14">
        <f t="shared" si="21"/>
        <v>0</v>
      </c>
      <c r="I207" s="11">
        <f t="shared" si="22"/>
        <v>0</v>
      </c>
      <c r="J207" s="11">
        <f t="shared" ca="1" si="23"/>
        <v>0</v>
      </c>
    </row>
    <row r="208" spans="1:10" hidden="1" x14ac:dyDescent="0.35">
      <c r="A208" s="20">
        <f>INDEX(signals_2020_05!$A$2:$A$680, MATCH(B208, signals_2020_05!$B$2:$B$680, 0))</f>
        <v>3766</v>
      </c>
      <c r="B208" s="2" t="str">
        <f>signals_2020_05!B198</f>
        <v>Gear oil temperature, Max</v>
      </c>
      <c r="C208" s="9" t="str">
        <f>INDEX(signals_2020_05!$C$2:$AJ$680, MATCH($B208, signals_2020_05!$B$2:$B$680, 0), MATCH(C$2, signals_2020_05!$C$1:$AJ$1, 0))</f>
        <v>NaT</v>
      </c>
      <c r="D208" s="14">
        <f t="shared" si="18"/>
        <v>0</v>
      </c>
      <c r="E208" s="11">
        <f t="shared" si="19"/>
        <v>0</v>
      </c>
      <c r="F208" s="11">
        <f t="shared" ca="1" si="20"/>
        <v>0</v>
      </c>
      <c r="G208" s="9" t="e">
        <f>INDEX(signals_2019_10!$C$2:$AJ$682, MATCH($B208, signals_2019_10!$B$2:$B$682, 0), MATCH(C$2, signals_2019_10!$C$1:$AJ$1, 0))</f>
        <v>#N/A</v>
      </c>
      <c r="H208" s="14">
        <f t="shared" si="21"/>
        <v>0</v>
      </c>
      <c r="I208" s="11">
        <f t="shared" si="22"/>
        <v>0</v>
      </c>
      <c r="J208" s="11">
        <f t="shared" ca="1" si="23"/>
        <v>0</v>
      </c>
    </row>
    <row r="209" spans="1:10" hidden="1" x14ac:dyDescent="0.35">
      <c r="A209" s="20">
        <f>INDEX(signals_2020_05!$A$2:$A$680, MATCH(B209, signals_2020_05!$B$2:$B$680, 0))</f>
        <v>3767</v>
      </c>
      <c r="B209" s="2" t="str">
        <f>signals_2020_05!B199</f>
        <v>Gear oil temperature, Min</v>
      </c>
      <c r="C209" s="9" t="str">
        <f>INDEX(signals_2020_05!$C$2:$AJ$680, MATCH($B209, signals_2020_05!$B$2:$B$680, 0), MATCH(C$2, signals_2020_05!$C$1:$AJ$1, 0))</f>
        <v>NaT</v>
      </c>
      <c r="D209" s="14">
        <f t="shared" si="18"/>
        <v>0</v>
      </c>
      <c r="E209" s="11">
        <f t="shared" si="19"/>
        <v>0</v>
      </c>
      <c r="F209" s="11">
        <f t="shared" ca="1" si="20"/>
        <v>0</v>
      </c>
      <c r="G209" s="9" t="e">
        <f>INDEX(signals_2019_10!$C$2:$AJ$682, MATCH($B209, signals_2019_10!$B$2:$B$682, 0), MATCH(C$2, signals_2019_10!$C$1:$AJ$1, 0))</f>
        <v>#N/A</v>
      </c>
      <c r="H209" s="14">
        <f t="shared" si="21"/>
        <v>0</v>
      </c>
      <c r="I209" s="11">
        <f t="shared" si="22"/>
        <v>0</v>
      </c>
      <c r="J209" s="11">
        <f t="shared" ca="1" si="23"/>
        <v>0</v>
      </c>
    </row>
    <row r="210" spans="1:10" hidden="1" x14ac:dyDescent="0.35">
      <c r="A210" s="20">
        <f>INDEX(signals_2020_05!$A$2:$A$680, MATCH(B210, signals_2020_05!$B$2:$B$680, 0))</f>
        <v>3768</v>
      </c>
      <c r="B210" s="2" t="str">
        <f>signals_2020_05!B200</f>
        <v>Gear oil temperature, Standard deviation</v>
      </c>
      <c r="C210" s="9" t="str">
        <f>INDEX(signals_2020_05!$C$2:$AJ$680, MATCH($B210, signals_2020_05!$B$2:$B$680, 0), MATCH(C$2, signals_2020_05!$C$1:$AJ$1, 0))</f>
        <v>NaT</v>
      </c>
      <c r="D210" s="14">
        <f t="shared" si="18"/>
        <v>0</v>
      </c>
      <c r="E210" s="11">
        <f t="shared" si="19"/>
        <v>0</v>
      </c>
      <c r="F210" s="11">
        <f t="shared" ca="1" si="20"/>
        <v>0</v>
      </c>
      <c r="G210" s="9" t="e">
        <f>INDEX(signals_2019_10!$C$2:$AJ$682, MATCH($B210, signals_2019_10!$B$2:$B$682, 0), MATCH(C$2, signals_2019_10!$C$1:$AJ$1, 0))</f>
        <v>#N/A</v>
      </c>
      <c r="H210" s="14">
        <f t="shared" si="21"/>
        <v>0</v>
      </c>
      <c r="I210" s="11">
        <f t="shared" si="22"/>
        <v>0</v>
      </c>
      <c r="J210" s="11">
        <f t="shared" ca="1" si="23"/>
        <v>0</v>
      </c>
    </row>
    <row r="211" spans="1:10" hidden="1" x14ac:dyDescent="0.35">
      <c r="A211" s="20">
        <f>INDEX(signals_2020_05!$A$2:$A$680, MATCH(B211, signals_2020_05!$B$2:$B$680, 0))</f>
        <v>422</v>
      </c>
      <c r="B211" s="2" t="str">
        <f>signals_2020_05!B201</f>
        <v>Gearbox housing temp</v>
      </c>
      <c r="C211" s="9" t="str">
        <f>INDEX(signals_2020_05!$C$2:$AJ$680, MATCH($B211, signals_2020_05!$B$2:$B$680, 0), MATCH(C$2, signals_2020_05!$C$1:$AJ$1, 0))</f>
        <v>NaT</v>
      </c>
      <c r="D211" s="14">
        <f t="shared" si="18"/>
        <v>0</v>
      </c>
      <c r="E211" s="11">
        <f t="shared" si="19"/>
        <v>0</v>
      </c>
      <c r="F211" s="11">
        <f t="shared" ca="1" si="20"/>
        <v>0</v>
      </c>
      <c r="G211" s="9" t="str">
        <f>INDEX(signals_2019_10!$C$2:$AJ$682, MATCH($B211, signals_2019_10!$B$2:$B$682, 0), MATCH(C$2, signals_2019_10!$C$1:$AJ$1, 0))</f>
        <v>NaT</v>
      </c>
      <c r="H211" s="14">
        <f t="shared" si="21"/>
        <v>0</v>
      </c>
      <c r="I211" s="11">
        <f t="shared" si="22"/>
        <v>0</v>
      </c>
      <c r="J211" s="11">
        <f t="shared" ca="1" si="23"/>
        <v>0</v>
      </c>
    </row>
    <row r="212" spans="1:10" hidden="1" x14ac:dyDescent="0.35">
      <c r="A212" s="20">
        <f>INDEX(signals_2020_05!$A$2:$A$680, MATCH(B212, signals_2020_05!$B$2:$B$680, 0))</f>
        <v>2899</v>
      </c>
      <c r="B212" s="2" t="str">
        <f>signals_2020_05!B202</f>
        <v>Gearbox housing temp, max</v>
      </c>
      <c r="C212" s="9" t="str">
        <f>INDEX(signals_2020_05!$C$2:$AJ$680, MATCH($B212, signals_2020_05!$B$2:$B$680, 0), MATCH(C$2, signals_2020_05!$C$1:$AJ$1, 0))</f>
        <v>NaT</v>
      </c>
      <c r="D212" s="14">
        <f t="shared" si="18"/>
        <v>0</v>
      </c>
      <c r="E212" s="11">
        <f t="shared" si="19"/>
        <v>0</v>
      </c>
      <c r="F212" s="11">
        <f t="shared" ca="1" si="20"/>
        <v>0</v>
      </c>
      <c r="G212" s="9" t="e">
        <f>INDEX(signals_2019_10!$C$2:$AJ$682, MATCH($B212, signals_2019_10!$B$2:$B$682, 0), MATCH(C$2, signals_2019_10!$C$1:$AJ$1, 0))</f>
        <v>#N/A</v>
      </c>
      <c r="H212" s="14">
        <f t="shared" si="21"/>
        <v>0</v>
      </c>
      <c r="I212" s="11">
        <f t="shared" si="22"/>
        <v>0</v>
      </c>
      <c r="J212" s="11">
        <f t="shared" ca="1" si="23"/>
        <v>0</v>
      </c>
    </row>
    <row r="213" spans="1:10" hidden="1" x14ac:dyDescent="0.35">
      <c r="A213" s="20">
        <f>INDEX(signals_2020_05!$A$2:$A$680, MATCH(B213, signals_2020_05!$B$2:$B$680, 0))</f>
        <v>2898</v>
      </c>
      <c r="B213" s="2" t="str">
        <f>signals_2020_05!B203</f>
        <v>Gearbox housing temp, min</v>
      </c>
      <c r="C213" s="9" t="str">
        <f>INDEX(signals_2020_05!$C$2:$AJ$680, MATCH($B213, signals_2020_05!$B$2:$B$680, 0), MATCH(C$2, signals_2020_05!$C$1:$AJ$1, 0))</f>
        <v>NaT</v>
      </c>
      <c r="D213" s="14">
        <f t="shared" si="18"/>
        <v>0</v>
      </c>
      <c r="E213" s="11">
        <f t="shared" si="19"/>
        <v>0</v>
      </c>
      <c r="F213" s="11">
        <f t="shared" ca="1" si="20"/>
        <v>0</v>
      </c>
      <c r="G213" s="9" t="e">
        <f>INDEX(signals_2019_10!$C$2:$AJ$682, MATCH($B213, signals_2019_10!$B$2:$B$682, 0), MATCH(C$2, signals_2019_10!$C$1:$AJ$1, 0))</f>
        <v>#N/A</v>
      </c>
      <c r="H213" s="14">
        <f t="shared" si="21"/>
        <v>0</v>
      </c>
      <c r="I213" s="11">
        <f t="shared" si="22"/>
        <v>0</v>
      </c>
      <c r="J213" s="11">
        <f t="shared" ca="1" si="23"/>
        <v>0</v>
      </c>
    </row>
    <row r="214" spans="1:10" hidden="1" x14ac:dyDescent="0.35">
      <c r="A214" s="20">
        <f>INDEX(signals_2020_05!$A$2:$A$680, MATCH(B214, signals_2020_05!$B$2:$B$680, 0))</f>
        <v>2900</v>
      </c>
      <c r="B214" s="2" t="str">
        <f>signals_2020_05!B204</f>
        <v>Gearbox housing temp, StdDev</v>
      </c>
      <c r="C214" s="9" t="str">
        <f>INDEX(signals_2020_05!$C$2:$AJ$680, MATCH($B214, signals_2020_05!$B$2:$B$680, 0), MATCH(C$2, signals_2020_05!$C$1:$AJ$1, 0))</f>
        <v>NaT</v>
      </c>
      <c r="D214" s="14">
        <f t="shared" si="18"/>
        <v>0</v>
      </c>
      <c r="E214" s="11">
        <f t="shared" si="19"/>
        <v>0</v>
      </c>
      <c r="F214" s="11">
        <f t="shared" ca="1" si="20"/>
        <v>0</v>
      </c>
      <c r="G214" s="9" t="e">
        <f>INDEX(signals_2019_10!$C$2:$AJ$682, MATCH($B214, signals_2019_10!$B$2:$B$682, 0), MATCH(C$2, signals_2019_10!$C$1:$AJ$1, 0))</f>
        <v>#N/A</v>
      </c>
      <c r="H214" s="14">
        <f t="shared" si="21"/>
        <v>0</v>
      </c>
      <c r="I214" s="11">
        <f t="shared" si="22"/>
        <v>0</v>
      </c>
      <c r="J214" s="11">
        <f t="shared" ca="1" si="23"/>
        <v>0</v>
      </c>
    </row>
    <row r="215" spans="1:10" hidden="1" x14ac:dyDescent="0.35">
      <c r="A215" s="20">
        <f>INDEX(signals_2020_05!$A$2:$A$680, MATCH(B215, signals_2020_05!$B$2:$B$680, 0))</f>
        <v>203</v>
      </c>
      <c r="B215" s="2" t="str">
        <f>signals_2020_05!B205</f>
        <v>Generator 1 Time</v>
      </c>
      <c r="C215" s="9" t="str">
        <f>INDEX(signals_2020_05!$C$2:$AJ$680, MATCH($B215, signals_2020_05!$B$2:$B$680, 0), MATCH(C$2, signals_2020_05!$C$1:$AJ$1, 0))</f>
        <v>NaT</v>
      </c>
      <c r="D215" s="14">
        <f t="shared" si="18"/>
        <v>0</v>
      </c>
      <c r="E215" s="11">
        <f t="shared" si="19"/>
        <v>0</v>
      </c>
      <c r="F215" s="11">
        <f t="shared" ca="1" si="20"/>
        <v>0</v>
      </c>
      <c r="G215" s="9" t="str">
        <f>INDEX(signals_2019_10!$C$2:$AJ$682, MATCH($B215, signals_2019_10!$B$2:$B$682, 0), MATCH(C$2, signals_2019_10!$C$1:$AJ$1, 0))</f>
        <v>NaT</v>
      </c>
      <c r="H215" s="14">
        <f t="shared" si="21"/>
        <v>0</v>
      </c>
      <c r="I215" s="11">
        <f t="shared" si="22"/>
        <v>0</v>
      </c>
      <c r="J215" s="11">
        <f t="shared" ca="1" si="23"/>
        <v>0</v>
      </c>
    </row>
    <row r="216" spans="1:10" hidden="1" x14ac:dyDescent="0.35">
      <c r="A216" s="20">
        <f>INDEX(signals_2020_05!$A$2:$A$680, MATCH(B216, signals_2020_05!$B$2:$B$680, 0))</f>
        <v>204</v>
      </c>
      <c r="B216" s="2" t="str">
        <f>signals_2020_05!B206</f>
        <v>Generator 2 Time</v>
      </c>
      <c r="C216" s="9" t="str">
        <f>INDEX(signals_2020_05!$C$2:$AJ$680, MATCH($B216, signals_2020_05!$B$2:$B$680, 0), MATCH(C$2, signals_2020_05!$C$1:$AJ$1, 0))</f>
        <v>NaT</v>
      </c>
      <c r="D216" s="14">
        <f t="shared" si="18"/>
        <v>0</v>
      </c>
      <c r="E216" s="11">
        <f t="shared" si="19"/>
        <v>0</v>
      </c>
      <c r="F216" s="11">
        <f t="shared" ca="1" si="20"/>
        <v>0</v>
      </c>
      <c r="G216" s="9" t="str">
        <f>INDEX(signals_2019_10!$C$2:$AJ$682, MATCH($B216, signals_2019_10!$B$2:$B$682, 0), MATCH(C$2, signals_2019_10!$C$1:$AJ$1, 0))</f>
        <v>NaT</v>
      </c>
      <c r="H216" s="14">
        <f t="shared" si="21"/>
        <v>0</v>
      </c>
      <c r="I216" s="11">
        <f t="shared" si="22"/>
        <v>0</v>
      </c>
      <c r="J216" s="11">
        <f t="shared" ca="1" si="23"/>
        <v>0</v>
      </c>
    </row>
    <row r="217" spans="1:10" hidden="1" x14ac:dyDescent="0.35">
      <c r="A217" s="20">
        <f>INDEX(signals_2020_05!$A$2:$A$680, MATCH(B217, signals_2020_05!$B$2:$B$680, 0))</f>
        <v>122</v>
      </c>
      <c r="B217" s="2" t="str">
        <f>signals_2020_05!B207</f>
        <v>Generator bearing 1 temperature</v>
      </c>
      <c r="C217" s="9" t="str">
        <f>INDEX(signals_2020_05!$C$2:$AJ$680, MATCH($B217, signals_2020_05!$B$2:$B$680, 0), MATCH(C$2, signals_2020_05!$C$1:$AJ$1, 0))</f>
        <v>NaT</v>
      </c>
      <c r="D217" s="14">
        <f t="shared" si="18"/>
        <v>0</v>
      </c>
      <c r="E217" s="11">
        <f t="shared" si="19"/>
        <v>0</v>
      </c>
      <c r="F217" s="11">
        <f t="shared" ca="1" si="20"/>
        <v>0</v>
      </c>
      <c r="G217" s="9" t="str">
        <f>INDEX(signals_2019_10!$C$2:$AJ$682, MATCH($B217, signals_2019_10!$B$2:$B$682, 0), MATCH(C$2, signals_2019_10!$C$1:$AJ$1, 0))</f>
        <v>NaT</v>
      </c>
      <c r="H217" s="14">
        <f t="shared" si="21"/>
        <v>0</v>
      </c>
      <c r="I217" s="11">
        <f t="shared" si="22"/>
        <v>0</v>
      </c>
      <c r="J217" s="11">
        <f t="shared" ca="1" si="23"/>
        <v>0</v>
      </c>
    </row>
    <row r="218" spans="1:10" hidden="1" x14ac:dyDescent="0.35">
      <c r="A218" s="20">
        <f>INDEX(signals_2020_05!$A$2:$A$680, MATCH(B218, signals_2020_05!$B$2:$B$680, 0))</f>
        <v>4476</v>
      </c>
      <c r="B218" s="2" t="str">
        <f>signals_2020_05!B208</f>
        <v>Generator bearing 1 temperature, Max</v>
      </c>
      <c r="C218" s="9" t="str">
        <f>INDEX(signals_2020_05!$C$2:$AJ$680, MATCH($B218, signals_2020_05!$B$2:$B$680, 0), MATCH(C$2, signals_2020_05!$C$1:$AJ$1, 0))</f>
        <v>NaT</v>
      </c>
      <c r="D218" s="14">
        <f t="shared" si="18"/>
        <v>0</v>
      </c>
      <c r="E218" s="11">
        <f t="shared" si="19"/>
        <v>0</v>
      </c>
      <c r="F218" s="11">
        <f t="shared" ca="1" si="20"/>
        <v>0</v>
      </c>
      <c r="G218" s="9" t="e">
        <f>INDEX(signals_2019_10!$C$2:$AJ$682, MATCH($B218, signals_2019_10!$B$2:$B$682, 0), MATCH(C$2, signals_2019_10!$C$1:$AJ$1, 0))</f>
        <v>#N/A</v>
      </c>
      <c r="H218" s="14">
        <f t="shared" si="21"/>
        <v>0</v>
      </c>
      <c r="I218" s="11">
        <f t="shared" si="22"/>
        <v>0</v>
      </c>
      <c r="J218" s="11">
        <f t="shared" ca="1" si="23"/>
        <v>0</v>
      </c>
    </row>
    <row r="219" spans="1:10" hidden="1" x14ac:dyDescent="0.35">
      <c r="A219" s="20">
        <f>INDEX(signals_2020_05!$A$2:$A$680, MATCH(B219, signals_2020_05!$B$2:$B$680, 0))</f>
        <v>4477</v>
      </c>
      <c r="B219" s="2" t="str">
        <f>signals_2020_05!B209</f>
        <v>Generator bearing 1 temperature, Min</v>
      </c>
      <c r="C219" s="9" t="str">
        <f>INDEX(signals_2020_05!$C$2:$AJ$680, MATCH($B219, signals_2020_05!$B$2:$B$680, 0), MATCH(C$2, signals_2020_05!$C$1:$AJ$1, 0))</f>
        <v>NaT</v>
      </c>
      <c r="D219" s="14">
        <f t="shared" si="18"/>
        <v>0</v>
      </c>
      <c r="E219" s="11">
        <f t="shared" si="19"/>
        <v>0</v>
      </c>
      <c r="F219" s="11">
        <f t="shared" ca="1" si="20"/>
        <v>0</v>
      </c>
      <c r="G219" s="9" t="e">
        <f>INDEX(signals_2019_10!$C$2:$AJ$682, MATCH($B219, signals_2019_10!$B$2:$B$682, 0), MATCH(C$2, signals_2019_10!$C$1:$AJ$1, 0))</f>
        <v>#N/A</v>
      </c>
      <c r="H219" s="14">
        <f t="shared" si="21"/>
        <v>0</v>
      </c>
      <c r="I219" s="11">
        <f t="shared" si="22"/>
        <v>0</v>
      </c>
      <c r="J219" s="11">
        <f t="shared" ca="1" si="23"/>
        <v>0</v>
      </c>
    </row>
    <row r="220" spans="1:10" hidden="1" x14ac:dyDescent="0.35">
      <c r="A220" s="20">
        <f>INDEX(signals_2020_05!$A$2:$A$680, MATCH(B220, signals_2020_05!$B$2:$B$680, 0))</f>
        <v>4478</v>
      </c>
      <c r="B220" s="2" t="str">
        <f>signals_2020_05!B210</f>
        <v>Generator bearing 1 temperature, StdDev</v>
      </c>
      <c r="C220" s="9" t="str">
        <f>INDEX(signals_2020_05!$C$2:$AJ$680, MATCH($B220, signals_2020_05!$B$2:$B$680, 0), MATCH(C$2, signals_2020_05!$C$1:$AJ$1, 0))</f>
        <v>NaT</v>
      </c>
      <c r="D220" s="14">
        <f t="shared" si="18"/>
        <v>0</v>
      </c>
      <c r="E220" s="11">
        <f t="shared" si="19"/>
        <v>0</v>
      </c>
      <c r="F220" s="11">
        <f t="shared" ca="1" si="20"/>
        <v>0</v>
      </c>
      <c r="G220" s="9" t="e">
        <f>INDEX(signals_2019_10!$C$2:$AJ$682, MATCH($B220, signals_2019_10!$B$2:$B$682, 0), MATCH(C$2, signals_2019_10!$C$1:$AJ$1, 0))</f>
        <v>#N/A</v>
      </c>
      <c r="H220" s="14">
        <f t="shared" si="21"/>
        <v>0</v>
      </c>
      <c r="I220" s="11">
        <f t="shared" si="22"/>
        <v>0</v>
      </c>
      <c r="J220" s="11">
        <f t="shared" ca="1" si="23"/>
        <v>0</v>
      </c>
    </row>
    <row r="221" spans="1:10" hidden="1" x14ac:dyDescent="0.35">
      <c r="A221" s="20">
        <f>INDEX(signals_2020_05!$A$2:$A$680, MATCH(B221, signals_2020_05!$B$2:$B$680, 0))</f>
        <v>119</v>
      </c>
      <c r="B221" s="2" t="str">
        <f>signals_2020_05!B211</f>
        <v>Generator bearing front temperature</v>
      </c>
      <c r="C221" s="9" t="str">
        <f>INDEX(signals_2020_05!$C$2:$AJ$680, MATCH($B221, signals_2020_05!$B$2:$B$680, 0), MATCH(C$2, signals_2020_05!$C$1:$AJ$1, 0))</f>
        <v>NaT</v>
      </c>
      <c r="D221" s="14">
        <f t="shared" si="18"/>
        <v>0</v>
      </c>
      <c r="E221" s="11">
        <f t="shared" si="19"/>
        <v>0</v>
      </c>
      <c r="F221" s="11">
        <f t="shared" ca="1" si="20"/>
        <v>0</v>
      </c>
      <c r="G221" s="9" t="str">
        <f>INDEX(signals_2019_10!$C$2:$AJ$682, MATCH($B221, signals_2019_10!$B$2:$B$682, 0), MATCH(C$2, signals_2019_10!$C$1:$AJ$1, 0))</f>
        <v>NaT</v>
      </c>
      <c r="H221" s="14">
        <f t="shared" si="21"/>
        <v>0</v>
      </c>
      <c r="I221" s="11">
        <f t="shared" si="22"/>
        <v>0</v>
      </c>
      <c r="J221" s="11">
        <f t="shared" ca="1" si="23"/>
        <v>0</v>
      </c>
    </row>
    <row r="222" spans="1:10" hidden="1" x14ac:dyDescent="0.35">
      <c r="A222" s="20">
        <f>INDEX(signals_2020_05!$A$2:$A$680, MATCH(B222, signals_2020_05!$B$2:$B$680, 0))</f>
        <v>2835</v>
      </c>
      <c r="B222" s="2" t="str">
        <f>signals_2020_05!B212</f>
        <v>Generator bearing front temperature, Max</v>
      </c>
      <c r="C222" s="9" t="str">
        <f>INDEX(signals_2020_05!$C$2:$AJ$680, MATCH($B222, signals_2020_05!$B$2:$B$680, 0), MATCH(C$2, signals_2020_05!$C$1:$AJ$1, 0))</f>
        <v>NaT</v>
      </c>
      <c r="D222" s="14">
        <f t="shared" si="18"/>
        <v>0</v>
      </c>
      <c r="E222" s="11">
        <f t="shared" si="19"/>
        <v>0</v>
      </c>
      <c r="F222" s="11">
        <f t="shared" ca="1" si="20"/>
        <v>0</v>
      </c>
      <c r="G222" s="9" t="e">
        <f>INDEX(signals_2019_10!$C$2:$AJ$682, MATCH($B222, signals_2019_10!$B$2:$B$682, 0), MATCH(C$2, signals_2019_10!$C$1:$AJ$1, 0))</f>
        <v>#N/A</v>
      </c>
      <c r="H222" s="14">
        <f t="shared" si="21"/>
        <v>0</v>
      </c>
      <c r="I222" s="11">
        <f t="shared" si="22"/>
        <v>0</v>
      </c>
      <c r="J222" s="11">
        <f t="shared" ca="1" si="23"/>
        <v>0</v>
      </c>
    </row>
    <row r="223" spans="1:10" hidden="1" x14ac:dyDescent="0.35">
      <c r="A223" s="20">
        <f>INDEX(signals_2020_05!$A$2:$A$680, MATCH(B223, signals_2020_05!$B$2:$B$680, 0))</f>
        <v>2836</v>
      </c>
      <c r="B223" s="2" t="str">
        <f>signals_2020_05!B213</f>
        <v>Generator bearing front temperature, Min</v>
      </c>
      <c r="C223" s="9" t="str">
        <f>INDEX(signals_2020_05!$C$2:$AJ$680, MATCH($B223, signals_2020_05!$B$2:$B$680, 0), MATCH(C$2, signals_2020_05!$C$1:$AJ$1, 0))</f>
        <v>NaT</v>
      </c>
      <c r="D223" s="14">
        <f t="shared" si="18"/>
        <v>0</v>
      </c>
      <c r="E223" s="11">
        <f t="shared" si="19"/>
        <v>0</v>
      </c>
      <c r="F223" s="11">
        <f t="shared" ca="1" si="20"/>
        <v>0</v>
      </c>
      <c r="G223" s="9" t="e">
        <f>INDEX(signals_2019_10!$C$2:$AJ$682, MATCH($B223, signals_2019_10!$B$2:$B$682, 0), MATCH(C$2, signals_2019_10!$C$1:$AJ$1, 0))</f>
        <v>#N/A</v>
      </c>
      <c r="H223" s="14">
        <f t="shared" si="21"/>
        <v>0</v>
      </c>
      <c r="I223" s="11">
        <f t="shared" si="22"/>
        <v>0</v>
      </c>
      <c r="J223" s="11">
        <f t="shared" ca="1" si="23"/>
        <v>0</v>
      </c>
    </row>
    <row r="224" spans="1:10" hidden="1" x14ac:dyDescent="0.35">
      <c r="A224" s="20">
        <f>INDEX(signals_2020_05!$A$2:$A$680, MATCH(B224, signals_2020_05!$B$2:$B$680, 0))</f>
        <v>3539</v>
      </c>
      <c r="B224" s="2" t="str">
        <f>signals_2020_05!B214</f>
        <v>Generator bearing front temperature, Std</v>
      </c>
      <c r="C224" s="9" t="str">
        <f>INDEX(signals_2020_05!$C$2:$AJ$680, MATCH($B224, signals_2020_05!$B$2:$B$680, 0), MATCH(C$2, signals_2020_05!$C$1:$AJ$1, 0))</f>
        <v>NaT</v>
      </c>
      <c r="D224" s="14">
        <f t="shared" si="18"/>
        <v>0</v>
      </c>
      <c r="E224" s="11">
        <f t="shared" si="19"/>
        <v>0</v>
      </c>
      <c r="F224" s="11">
        <f t="shared" ca="1" si="20"/>
        <v>0</v>
      </c>
      <c r="G224" s="9" t="e">
        <f>INDEX(signals_2019_10!$C$2:$AJ$682, MATCH($B224, signals_2019_10!$B$2:$B$682, 0), MATCH(C$2, signals_2019_10!$C$1:$AJ$1, 0))</f>
        <v>#N/A</v>
      </c>
      <c r="H224" s="14">
        <f t="shared" si="21"/>
        <v>0</v>
      </c>
      <c r="I224" s="11">
        <f t="shared" si="22"/>
        <v>0</v>
      </c>
      <c r="J224" s="11">
        <f t="shared" ca="1" si="23"/>
        <v>0</v>
      </c>
    </row>
    <row r="225" spans="1:10" hidden="1" x14ac:dyDescent="0.35">
      <c r="A225" s="20">
        <f>INDEX(signals_2020_05!$A$2:$A$680, MATCH(B225, signals_2020_05!$B$2:$B$680, 0))</f>
        <v>287</v>
      </c>
      <c r="B225" s="2" t="str">
        <f>signals_2020_05!B215</f>
        <v>Generator bearing I temperature</v>
      </c>
      <c r="C225" s="9" t="str">
        <f>INDEX(signals_2020_05!$C$2:$AJ$680, MATCH($B225, signals_2020_05!$B$2:$B$680, 0), MATCH(C$2, signals_2020_05!$C$1:$AJ$1, 0))</f>
        <v>NaT</v>
      </c>
      <c r="D225" s="14">
        <f t="shared" si="18"/>
        <v>0</v>
      </c>
      <c r="E225" s="11">
        <f t="shared" si="19"/>
        <v>0</v>
      </c>
      <c r="F225" s="11">
        <f t="shared" ca="1" si="20"/>
        <v>0</v>
      </c>
      <c r="G225" s="9" t="str">
        <f>INDEX(signals_2019_10!$C$2:$AJ$682, MATCH($B225, signals_2019_10!$B$2:$B$682, 0), MATCH(C$2, signals_2019_10!$C$1:$AJ$1, 0))</f>
        <v>NaT</v>
      </c>
      <c r="H225" s="14">
        <f t="shared" si="21"/>
        <v>0</v>
      </c>
      <c r="I225" s="11">
        <f t="shared" si="22"/>
        <v>0</v>
      </c>
      <c r="J225" s="11">
        <f t="shared" ca="1" si="23"/>
        <v>0</v>
      </c>
    </row>
    <row r="226" spans="1:10" hidden="1" x14ac:dyDescent="0.35">
      <c r="A226" s="20">
        <f>INDEX(signals_2020_05!$A$2:$A$680, MATCH(B226, signals_2020_05!$B$2:$B$680, 0))</f>
        <v>288</v>
      </c>
      <c r="B226" s="2" t="str">
        <f>signals_2020_05!B216</f>
        <v>Generator bearing O temperature</v>
      </c>
      <c r="C226" s="9" t="str">
        <f>INDEX(signals_2020_05!$C$2:$AJ$680, MATCH($B226, signals_2020_05!$B$2:$B$680, 0), MATCH(C$2, signals_2020_05!$C$1:$AJ$1, 0))</f>
        <v>NaT</v>
      </c>
      <c r="D226" s="14">
        <f t="shared" si="18"/>
        <v>0</v>
      </c>
      <c r="E226" s="11">
        <f t="shared" si="19"/>
        <v>0</v>
      </c>
      <c r="F226" s="11">
        <f t="shared" ca="1" si="20"/>
        <v>0</v>
      </c>
      <c r="G226" s="9" t="str">
        <f>INDEX(signals_2019_10!$C$2:$AJ$682, MATCH($B226, signals_2019_10!$B$2:$B$682, 0), MATCH(C$2, signals_2019_10!$C$1:$AJ$1, 0))</f>
        <v>NaT</v>
      </c>
      <c r="H226" s="14">
        <f t="shared" si="21"/>
        <v>0</v>
      </c>
      <c r="I226" s="11">
        <f t="shared" si="22"/>
        <v>0</v>
      </c>
      <c r="J226" s="11">
        <f t="shared" ca="1" si="23"/>
        <v>0</v>
      </c>
    </row>
    <row r="227" spans="1:10" hidden="1" x14ac:dyDescent="0.35">
      <c r="A227" s="20">
        <f>INDEX(signals_2020_05!$A$2:$A$680, MATCH(B227, signals_2020_05!$B$2:$B$680, 0))</f>
        <v>118</v>
      </c>
      <c r="B227" s="2" t="str">
        <f>signals_2020_05!B217</f>
        <v>Generator bearing rear temperature</v>
      </c>
      <c r="C227" s="9" t="str">
        <f>INDEX(signals_2020_05!$C$2:$AJ$680, MATCH($B227, signals_2020_05!$B$2:$B$680, 0), MATCH(C$2, signals_2020_05!$C$1:$AJ$1, 0))</f>
        <v>NaT</v>
      </c>
      <c r="D227" s="14">
        <f t="shared" si="18"/>
        <v>0</v>
      </c>
      <c r="E227" s="11">
        <f t="shared" si="19"/>
        <v>0</v>
      </c>
      <c r="F227" s="11">
        <f t="shared" ca="1" si="20"/>
        <v>0</v>
      </c>
      <c r="G227" s="9" t="str">
        <f>INDEX(signals_2019_10!$C$2:$AJ$682, MATCH($B227, signals_2019_10!$B$2:$B$682, 0), MATCH(C$2, signals_2019_10!$C$1:$AJ$1, 0))</f>
        <v>NaT</v>
      </c>
      <c r="H227" s="14">
        <f t="shared" si="21"/>
        <v>0</v>
      </c>
      <c r="I227" s="11">
        <f t="shared" si="22"/>
        <v>0</v>
      </c>
      <c r="J227" s="11">
        <f t="shared" ca="1" si="23"/>
        <v>0</v>
      </c>
    </row>
    <row r="228" spans="1:10" hidden="1" x14ac:dyDescent="0.35">
      <c r="A228" s="20">
        <f>INDEX(signals_2020_05!$A$2:$A$680, MATCH(B228, signals_2020_05!$B$2:$B$680, 0))</f>
        <v>2837</v>
      </c>
      <c r="B228" s="2" t="str">
        <f>signals_2020_05!B218</f>
        <v>Generator bearing rear temperature, Max</v>
      </c>
      <c r="C228" s="9" t="str">
        <f>INDEX(signals_2020_05!$C$2:$AJ$680, MATCH($B228, signals_2020_05!$B$2:$B$680, 0), MATCH(C$2, signals_2020_05!$C$1:$AJ$1, 0))</f>
        <v>NaT</v>
      </c>
      <c r="D228" s="14">
        <f t="shared" si="18"/>
        <v>0</v>
      </c>
      <c r="E228" s="11">
        <f t="shared" si="19"/>
        <v>0</v>
      </c>
      <c r="F228" s="11">
        <f t="shared" ca="1" si="20"/>
        <v>0</v>
      </c>
      <c r="G228" s="9" t="e">
        <f>INDEX(signals_2019_10!$C$2:$AJ$682, MATCH($B228, signals_2019_10!$B$2:$B$682, 0), MATCH(C$2, signals_2019_10!$C$1:$AJ$1, 0))</f>
        <v>#N/A</v>
      </c>
      <c r="H228" s="14">
        <f t="shared" si="21"/>
        <v>0</v>
      </c>
      <c r="I228" s="11">
        <f t="shared" si="22"/>
        <v>0</v>
      </c>
      <c r="J228" s="11">
        <f t="shared" ca="1" si="23"/>
        <v>0</v>
      </c>
    </row>
    <row r="229" spans="1:10" hidden="1" x14ac:dyDescent="0.35">
      <c r="A229" s="20">
        <f>INDEX(signals_2020_05!$A$2:$A$680, MATCH(B229, signals_2020_05!$B$2:$B$680, 0))</f>
        <v>2838</v>
      </c>
      <c r="B229" s="2" t="str">
        <f>signals_2020_05!B219</f>
        <v>Generator bearing rear temperature, Min</v>
      </c>
      <c r="C229" s="9" t="str">
        <f>INDEX(signals_2020_05!$C$2:$AJ$680, MATCH($B229, signals_2020_05!$B$2:$B$680, 0), MATCH(C$2, signals_2020_05!$C$1:$AJ$1, 0))</f>
        <v>NaT</v>
      </c>
      <c r="D229" s="14">
        <f t="shared" si="18"/>
        <v>0</v>
      </c>
      <c r="E229" s="11">
        <f t="shared" si="19"/>
        <v>0</v>
      </c>
      <c r="F229" s="11">
        <f t="shared" ca="1" si="20"/>
        <v>0</v>
      </c>
      <c r="G229" s="9" t="e">
        <f>INDEX(signals_2019_10!$C$2:$AJ$682, MATCH($B229, signals_2019_10!$B$2:$B$682, 0), MATCH(C$2, signals_2019_10!$C$1:$AJ$1, 0))</f>
        <v>#N/A</v>
      </c>
      <c r="H229" s="14">
        <f t="shared" si="21"/>
        <v>0</v>
      </c>
      <c r="I229" s="11">
        <f t="shared" si="22"/>
        <v>0</v>
      </c>
      <c r="J229" s="11">
        <f t="shared" ca="1" si="23"/>
        <v>0</v>
      </c>
    </row>
    <row r="230" spans="1:10" hidden="1" x14ac:dyDescent="0.35">
      <c r="A230" s="20">
        <f>INDEX(signals_2020_05!$A$2:$A$680, MATCH(B230, signals_2020_05!$B$2:$B$680, 0))</f>
        <v>3540</v>
      </c>
      <c r="B230" s="2" t="str">
        <f>signals_2020_05!B220</f>
        <v>Generator bearing rear temperature, Std</v>
      </c>
      <c r="C230" s="9" t="str">
        <f>INDEX(signals_2020_05!$C$2:$AJ$680, MATCH($B230, signals_2020_05!$B$2:$B$680, 0), MATCH(C$2, signals_2020_05!$C$1:$AJ$1, 0))</f>
        <v>NaT</v>
      </c>
      <c r="D230" s="14">
        <f t="shared" si="18"/>
        <v>0</v>
      </c>
      <c r="E230" s="11">
        <f t="shared" si="19"/>
        <v>0</v>
      </c>
      <c r="F230" s="11">
        <f t="shared" ca="1" si="20"/>
        <v>0</v>
      </c>
      <c r="G230" s="9" t="e">
        <f>INDEX(signals_2019_10!$C$2:$AJ$682, MATCH($B230, signals_2019_10!$B$2:$B$682, 0), MATCH(C$2, signals_2019_10!$C$1:$AJ$1, 0))</f>
        <v>#N/A</v>
      </c>
      <c r="H230" s="14">
        <f t="shared" si="21"/>
        <v>0</v>
      </c>
      <c r="I230" s="11">
        <f t="shared" si="22"/>
        <v>0</v>
      </c>
      <c r="J230" s="11">
        <f t="shared" ca="1" si="23"/>
        <v>0</v>
      </c>
    </row>
    <row r="231" spans="1:10" hidden="1" x14ac:dyDescent="0.35">
      <c r="A231" s="20">
        <f>INDEX(signals_2020_05!$A$2:$A$680, MATCH(B231, signals_2020_05!$B$2:$B$680, 0))</f>
        <v>289</v>
      </c>
      <c r="B231" s="2" t="str">
        <f>signals_2020_05!B221</f>
        <v>Generator cool A temperature</v>
      </c>
      <c r="C231" s="9" t="str">
        <f>INDEX(signals_2020_05!$C$2:$AJ$680, MATCH($B231, signals_2020_05!$B$2:$B$680, 0), MATCH(C$2, signals_2020_05!$C$1:$AJ$1, 0))</f>
        <v>NaT</v>
      </c>
      <c r="D231" s="14">
        <f t="shared" si="18"/>
        <v>0</v>
      </c>
      <c r="E231" s="11">
        <f t="shared" si="19"/>
        <v>0</v>
      </c>
      <c r="F231" s="11">
        <f t="shared" ca="1" si="20"/>
        <v>0</v>
      </c>
      <c r="G231" s="9" t="str">
        <f>INDEX(signals_2019_10!$C$2:$AJ$682, MATCH($B231, signals_2019_10!$B$2:$B$682, 0), MATCH(C$2, signals_2019_10!$C$1:$AJ$1, 0))</f>
        <v>NaT</v>
      </c>
      <c r="H231" s="14">
        <f t="shared" si="21"/>
        <v>0</v>
      </c>
      <c r="I231" s="11">
        <f t="shared" si="22"/>
        <v>0</v>
      </c>
      <c r="J231" s="11">
        <f t="shared" ca="1" si="23"/>
        <v>0</v>
      </c>
    </row>
    <row r="232" spans="1:10" hidden="1" x14ac:dyDescent="0.35">
      <c r="A232" s="20">
        <f>INDEX(signals_2020_05!$A$2:$A$680, MATCH(B232, signals_2020_05!$B$2:$B$680, 0))</f>
        <v>4410</v>
      </c>
      <c r="B232" s="2" t="str">
        <f>signals_2020_05!B222</f>
        <v>Generator cool A temperature, Max</v>
      </c>
      <c r="C232" s="9" t="str">
        <f>INDEX(signals_2020_05!$C$2:$AJ$680, MATCH($B232, signals_2020_05!$B$2:$B$680, 0), MATCH(C$2, signals_2020_05!$C$1:$AJ$1, 0))</f>
        <v>NaT</v>
      </c>
      <c r="D232" s="14">
        <f t="shared" si="18"/>
        <v>0</v>
      </c>
      <c r="E232" s="11">
        <f t="shared" si="19"/>
        <v>0</v>
      </c>
      <c r="F232" s="11">
        <f t="shared" ca="1" si="20"/>
        <v>0</v>
      </c>
      <c r="G232" s="9" t="e">
        <f>INDEX(signals_2019_10!$C$2:$AJ$682, MATCH($B232, signals_2019_10!$B$2:$B$682, 0), MATCH(C$2, signals_2019_10!$C$1:$AJ$1, 0))</f>
        <v>#N/A</v>
      </c>
      <c r="H232" s="14">
        <f t="shared" si="21"/>
        <v>0</v>
      </c>
      <c r="I232" s="11">
        <f t="shared" si="22"/>
        <v>0</v>
      </c>
      <c r="J232" s="11">
        <f t="shared" ca="1" si="23"/>
        <v>0</v>
      </c>
    </row>
    <row r="233" spans="1:10" hidden="1" x14ac:dyDescent="0.35">
      <c r="A233" s="20">
        <f>INDEX(signals_2020_05!$A$2:$A$680, MATCH(B233, signals_2020_05!$B$2:$B$680, 0))</f>
        <v>4411</v>
      </c>
      <c r="B233" s="2" t="str">
        <f>signals_2020_05!B223</f>
        <v>Generator cool A temperature, Min</v>
      </c>
      <c r="C233" s="9" t="str">
        <f>INDEX(signals_2020_05!$C$2:$AJ$680, MATCH($B233, signals_2020_05!$B$2:$B$680, 0), MATCH(C$2, signals_2020_05!$C$1:$AJ$1, 0))</f>
        <v>NaT</v>
      </c>
      <c r="D233" s="14">
        <f t="shared" si="18"/>
        <v>0</v>
      </c>
      <c r="E233" s="11">
        <f t="shared" si="19"/>
        <v>0</v>
      </c>
      <c r="F233" s="11">
        <f t="shared" ca="1" si="20"/>
        <v>0</v>
      </c>
      <c r="G233" s="9" t="e">
        <f>INDEX(signals_2019_10!$C$2:$AJ$682, MATCH($B233, signals_2019_10!$B$2:$B$682, 0), MATCH(C$2, signals_2019_10!$C$1:$AJ$1, 0))</f>
        <v>#N/A</v>
      </c>
      <c r="H233" s="14">
        <f t="shared" si="21"/>
        <v>0</v>
      </c>
      <c r="I233" s="11">
        <f t="shared" si="22"/>
        <v>0</v>
      </c>
      <c r="J233" s="11">
        <f t="shared" ca="1" si="23"/>
        <v>0</v>
      </c>
    </row>
    <row r="234" spans="1:10" hidden="1" x14ac:dyDescent="0.35">
      <c r="A234" s="20">
        <f>INDEX(signals_2020_05!$A$2:$A$680, MATCH(B234, signals_2020_05!$B$2:$B$680, 0))</f>
        <v>4412</v>
      </c>
      <c r="B234" s="2" t="str">
        <f>signals_2020_05!B224</f>
        <v>Generator cool A temperature, StdDev</v>
      </c>
      <c r="C234" s="9" t="str">
        <f>INDEX(signals_2020_05!$C$2:$AJ$680, MATCH($B234, signals_2020_05!$B$2:$B$680, 0), MATCH(C$2, signals_2020_05!$C$1:$AJ$1, 0))</f>
        <v>NaT</v>
      </c>
      <c r="D234" s="14">
        <f t="shared" si="18"/>
        <v>0</v>
      </c>
      <c r="E234" s="11">
        <f t="shared" si="19"/>
        <v>0</v>
      </c>
      <c r="F234" s="11">
        <f t="shared" ca="1" si="20"/>
        <v>0</v>
      </c>
      <c r="G234" s="9" t="e">
        <f>INDEX(signals_2019_10!$C$2:$AJ$682, MATCH($B234, signals_2019_10!$B$2:$B$682, 0), MATCH(C$2, signals_2019_10!$C$1:$AJ$1, 0))</f>
        <v>#N/A</v>
      </c>
      <c r="H234" s="14">
        <f t="shared" si="21"/>
        <v>0</v>
      </c>
      <c r="I234" s="11">
        <f t="shared" si="22"/>
        <v>0</v>
      </c>
      <c r="J234" s="11">
        <f t="shared" ca="1" si="23"/>
        <v>0</v>
      </c>
    </row>
    <row r="235" spans="1:10" hidden="1" x14ac:dyDescent="0.35">
      <c r="A235" s="20">
        <f>INDEX(signals_2020_05!$A$2:$A$680, MATCH(B235, signals_2020_05!$B$2:$B$680, 0))</f>
        <v>290</v>
      </c>
      <c r="B235" s="2" t="str">
        <f>signals_2020_05!B225</f>
        <v>Generator cool B temperature</v>
      </c>
      <c r="C235" s="9" t="str">
        <f>INDEX(signals_2020_05!$C$2:$AJ$680, MATCH($B235, signals_2020_05!$B$2:$B$680, 0), MATCH(C$2, signals_2020_05!$C$1:$AJ$1, 0))</f>
        <v>NaT</v>
      </c>
      <c r="D235" s="14">
        <f t="shared" si="18"/>
        <v>0</v>
      </c>
      <c r="E235" s="11">
        <f t="shared" si="19"/>
        <v>0</v>
      </c>
      <c r="F235" s="11">
        <f t="shared" ca="1" si="20"/>
        <v>0</v>
      </c>
      <c r="G235" s="9" t="str">
        <f>INDEX(signals_2019_10!$C$2:$AJ$682, MATCH($B235, signals_2019_10!$B$2:$B$682, 0), MATCH(C$2, signals_2019_10!$C$1:$AJ$1, 0))</f>
        <v>NaT</v>
      </c>
      <c r="H235" s="14">
        <f t="shared" si="21"/>
        <v>0</v>
      </c>
      <c r="I235" s="11">
        <f t="shared" si="22"/>
        <v>0</v>
      </c>
      <c r="J235" s="11">
        <f t="shared" ca="1" si="23"/>
        <v>0</v>
      </c>
    </row>
    <row r="236" spans="1:10" hidden="1" x14ac:dyDescent="0.35">
      <c r="A236" s="20">
        <f>INDEX(signals_2020_05!$A$2:$A$680, MATCH(B236, signals_2020_05!$B$2:$B$680, 0))</f>
        <v>4413</v>
      </c>
      <c r="B236" s="2" t="str">
        <f>signals_2020_05!B226</f>
        <v>Generator cool B temperature, Max</v>
      </c>
      <c r="C236" s="9" t="str">
        <f>INDEX(signals_2020_05!$C$2:$AJ$680, MATCH($B236, signals_2020_05!$B$2:$B$680, 0), MATCH(C$2, signals_2020_05!$C$1:$AJ$1, 0))</f>
        <v>NaT</v>
      </c>
      <c r="D236" s="14">
        <f t="shared" si="18"/>
        <v>0</v>
      </c>
      <c r="E236" s="11">
        <f t="shared" si="19"/>
        <v>0</v>
      </c>
      <c r="F236" s="11">
        <f t="shared" ca="1" si="20"/>
        <v>0</v>
      </c>
      <c r="G236" s="9" t="e">
        <f>INDEX(signals_2019_10!$C$2:$AJ$682, MATCH($B236, signals_2019_10!$B$2:$B$682, 0), MATCH(C$2, signals_2019_10!$C$1:$AJ$1, 0))</f>
        <v>#N/A</v>
      </c>
      <c r="H236" s="14">
        <f t="shared" si="21"/>
        <v>0</v>
      </c>
      <c r="I236" s="11">
        <f t="shared" si="22"/>
        <v>0</v>
      </c>
      <c r="J236" s="11">
        <f t="shared" ca="1" si="23"/>
        <v>0</v>
      </c>
    </row>
    <row r="237" spans="1:10" hidden="1" x14ac:dyDescent="0.35">
      <c r="A237" s="20">
        <f>INDEX(signals_2020_05!$A$2:$A$680, MATCH(B237, signals_2020_05!$B$2:$B$680, 0))</f>
        <v>4414</v>
      </c>
      <c r="B237" s="2" t="str">
        <f>signals_2020_05!B227</f>
        <v>Generator cool B temperature, Min</v>
      </c>
      <c r="C237" s="9" t="str">
        <f>INDEX(signals_2020_05!$C$2:$AJ$680, MATCH($B237, signals_2020_05!$B$2:$B$680, 0), MATCH(C$2, signals_2020_05!$C$1:$AJ$1, 0))</f>
        <v>NaT</v>
      </c>
      <c r="D237" s="14">
        <f t="shared" si="18"/>
        <v>0</v>
      </c>
      <c r="E237" s="11">
        <f t="shared" si="19"/>
        <v>0</v>
      </c>
      <c r="F237" s="11">
        <f t="shared" ca="1" si="20"/>
        <v>0</v>
      </c>
      <c r="G237" s="9" t="e">
        <f>INDEX(signals_2019_10!$C$2:$AJ$682, MATCH($B237, signals_2019_10!$B$2:$B$682, 0), MATCH(C$2, signals_2019_10!$C$1:$AJ$1, 0))</f>
        <v>#N/A</v>
      </c>
      <c r="H237" s="14">
        <f t="shared" si="21"/>
        <v>0</v>
      </c>
      <c r="I237" s="11">
        <f t="shared" si="22"/>
        <v>0</v>
      </c>
      <c r="J237" s="11">
        <f t="shared" ca="1" si="23"/>
        <v>0</v>
      </c>
    </row>
    <row r="238" spans="1:10" hidden="1" x14ac:dyDescent="0.35">
      <c r="A238" s="20">
        <f>INDEX(signals_2020_05!$A$2:$A$680, MATCH(B238, signals_2020_05!$B$2:$B$680, 0))</f>
        <v>4415</v>
      </c>
      <c r="B238" s="2" t="str">
        <f>signals_2020_05!B228</f>
        <v>Generator cool B temperature, StdDev</v>
      </c>
      <c r="C238" s="9" t="str">
        <f>INDEX(signals_2020_05!$C$2:$AJ$680, MATCH($B238, signals_2020_05!$B$2:$B$680, 0), MATCH(C$2, signals_2020_05!$C$1:$AJ$1, 0))</f>
        <v>NaT</v>
      </c>
      <c r="D238" s="14">
        <f t="shared" si="18"/>
        <v>0</v>
      </c>
      <c r="E238" s="11">
        <f t="shared" si="19"/>
        <v>0</v>
      </c>
      <c r="F238" s="11">
        <f t="shared" ca="1" si="20"/>
        <v>0</v>
      </c>
      <c r="G238" s="9" t="e">
        <f>INDEX(signals_2019_10!$C$2:$AJ$682, MATCH($B238, signals_2019_10!$B$2:$B$682, 0), MATCH(C$2, signals_2019_10!$C$1:$AJ$1, 0))</f>
        <v>#N/A</v>
      </c>
      <c r="H238" s="14">
        <f t="shared" si="21"/>
        <v>0</v>
      </c>
      <c r="I238" s="11">
        <f t="shared" si="22"/>
        <v>0</v>
      </c>
      <c r="J238" s="11">
        <f t="shared" ca="1" si="23"/>
        <v>0</v>
      </c>
    </row>
    <row r="239" spans="1:10" hidden="1" x14ac:dyDescent="0.35">
      <c r="A239" s="20">
        <f>INDEX(signals_2020_05!$A$2:$A$680, MATCH(B239, signals_2020_05!$B$2:$B$680, 0))</f>
        <v>102</v>
      </c>
      <c r="B239" s="2" t="str">
        <f>signals_2020_05!B229</f>
        <v>Generator cooling water temperature</v>
      </c>
      <c r="C239" s="9" t="str">
        <f>INDEX(signals_2020_05!$C$2:$AJ$680, MATCH($B239, signals_2020_05!$B$2:$B$680, 0), MATCH(C$2, signals_2020_05!$C$1:$AJ$1, 0))</f>
        <v>NaT</v>
      </c>
      <c r="D239" s="14">
        <f t="shared" si="18"/>
        <v>0</v>
      </c>
      <c r="E239" s="11">
        <f t="shared" si="19"/>
        <v>0</v>
      </c>
      <c r="F239" s="11">
        <f t="shared" ca="1" si="20"/>
        <v>0</v>
      </c>
      <c r="G239" s="9" t="str">
        <f>INDEX(signals_2019_10!$C$2:$AJ$682, MATCH($B239, signals_2019_10!$B$2:$B$682, 0), MATCH(C$2, signals_2019_10!$C$1:$AJ$1, 0))</f>
        <v>NaT</v>
      </c>
      <c r="H239" s="14">
        <f t="shared" si="21"/>
        <v>0</v>
      </c>
      <c r="I239" s="11">
        <f t="shared" si="22"/>
        <v>0</v>
      </c>
      <c r="J239" s="11">
        <f t="shared" ca="1" si="23"/>
        <v>0</v>
      </c>
    </row>
    <row r="240" spans="1:10" hidden="1" x14ac:dyDescent="0.35">
      <c r="A240" s="20">
        <f>INDEX(signals_2020_05!$A$2:$A$680, MATCH(B240, signals_2020_05!$B$2:$B$680, 0))</f>
        <v>3744</v>
      </c>
      <c r="B240" s="2" t="str">
        <f>signals_2020_05!B230</f>
        <v>Generator cooling water temperature, Max</v>
      </c>
      <c r="C240" s="9" t="str">
        <f>INDEX(signals_2020_05!$C$2:$AJ$680, MATCH($B240, signals_2020_05!$B$2:$B$680, 0), MATCH(C$2, signals_2020_05!$C$1:$AJ$1, 0))</f>
        <v>NaT</v>
      </c>
      <c r="D240" s="14">
        <f t="shared" si="18"/>
        <v>0</v>
      </c>
      <c r="E240" s="11">
        <f t="shared" si="19"/>
        <v>0</v>
      </c>
      <c r="F240" s="11">
        <f t="shared" ca="1" si="20"/>
        <v>0</v>
      </c>
      <c r="G240" s="9" t="e">
        <f>INDEX(signals_2019_10!$C$2:$AJ$682, MATCH($B240, signals_2019_10!$B$2:$B$682, 0), MATCH(C$2, signals_2019_10!$C$1:$AJ$1, 0))</f>
        <v>#N/A</v>
      </c>
      <c r="H240" s="14">
        <f t="shared" si="21"/>
        <v>0</v>
      </c>
      <c r="I240" s="11">
        <f t="shared" si="22"/>
        <v>0</v>
      </c>
      <c r="J240" s="11">
        <f t="shared" ca="1" si="23"/>
        <v>0</v>
      </c>
    </row>
    <row r="241" spans="1:10" hidden="1" x14ac:dyDescent="0.35">
      <c r="A241" s="20">
        <f>INDEX(signals_2020_05!$A$2:$A$680, MATCH(B241, signals_2020_05!$B$2:$B$680, 0))</f>
        <v>3745</v>
      </c>
      <c r="B241" s="2" t="str">
        <f>signals_2020_05!B231</f>
        <v>Generator cooling water temperature, Min</v>
      </c>
      <c r="C241" s="9" t="str">
        <f>INDEX(signals_2020_05!$C$2:$AJ$680, MATCH($B241, signals_2020_05!$B$2:$B$680, 0), MATCH(C$2, signals_2020_05!$C$1:$AJ$1, 0))</f>
        <v>NaT</v>
      </c>
      <c r="D241" s="14">
        <f t="shared" si="18"/>
        <v>0</v>
      </c>
      <c r="E241" s="11">
        <f t="shared" si="19"/>
        <v>0</v>
      </c>
      <c r="F241" s="11">
        <f t="shared" ca="1" si="20"/>
        <v>0</v>
      </c>
      <c r="G241" s="9" t="e">
        <f>INDEX(signals_2019_10!$C$2:$AJ$682, MATCH($B241, signals_2019_10!$B$2:$B$682, 0), MATCH(C$2, signals_2019_10!$C$1:$AJ$1, 0))</f>
        <v>#N/A</v>
      </c>
      <c r="H241" s="14">
        <f t="shared" si="21"/>
        <v>0</v>
      </c>
      <c r="I241" s="11">
        <f t="shared" si="22"/>
        <v>0</v>
      </c>
      <c r="J241" s="11">
        <f t="shared" ca="1" si="23"/>
        <v>0</v>
      </c>
    </row>
    <row r="242" spans="1:10" hidden="1" x14ac:dyDescent="0.35">
      <c r="A242" s="20">
        <f>INDEX(signals_2020_05!$A$2:$A$680, MATCH(B242, signals_2020_05!$B$2:$B$680, 0))</f>
        <v>3746</v>
      </c>
      <c r="B242" s="2" t="str">
        <f>signals_2020_05!B232</f>
        <v>Generator cooling water temperature, Standard deviation</v>
      </c>
      <c r="C242" s="9" t="str">
        <f>INDEX(signals_2020_05!$C$2:$AJ$680, MATCH($B242, signals_2020_05!$B$2:$B$680, 0), MATCH(C$2, signals_2020_05!$C$1:$AJ$1, 0))</f>
        <v>NaT</v>
      </c>
      <c r="D242" s="14">
        <f t="shared" si="18"/>
        <v>0</v>
      </c>
      <c r="E242" s="11">
        <f t="shared" si="19"/>
        <v>0</v>
      </c>
      <c r="F242" s="11">
        <f t="shared" ca="1" si="20"/>
        <v>0</v>
      </c>
      <c r="G242" s="9" t="e">
        <f>INDEX(signals_2019_10!$C$2:$AJ$682, MATCH($B242, signals_2019_10!$B$2:$B$682, 0), MATCH(C$2, signals_2019_10!$C$1:$AJ$1, 0))</f>
        <v>#N/A</v>
      </c>
      <c r="H242" s="14">
        <f t="shared" si="21"/>
        <v>0</v>
      </c>
      <c r="I242" s="11">
        <f t="shared" si="22"/>
        <v>0</v>
      </c>
      <c r="J242" s="11">
        <f t="shared" ca="1" si="23"/>
        <v>0</v>
      </c>
    </row>
    <row r="243" spans="1:10" hidden="1" x14ac:dyDescent="0.35">
      <c r="A243" s="20">
        <f>INDEX(signals_2020_05!$A$2:$A$680, MATCH(B243, signals_2020_05!$B$2:$B$680, 0))</f>
        <v>180</v>
      </c>
      <c r="B243" s="2" t="str">
        <f>signals_2020_05!B233</f>
        <v>Generator phase 1 temp</v>
      </c>
      <c r="C243" s="9" t="str">
        <f>INDEX(signals_2020_05!$C$2:$AJ$680, MATCH($B243, signals_2020_05!$B$2:$B$680, 0), MATCH(C$2, signals_2020_05!$C$1:$AJ$1, 0))</f>
        <v>NaT</v>
      </c>
      <c r="D243" s="14">
        <f t="shared" si="18"/>
        <v>0</v>
      </c>
      <c r="E243" s="11">
        <f t="shared" si="19"/>
        <v>0</v>
      </c>
      <c r="F243" s="11">
        <f t="shared" ca="1" si="20"/>
        <v>0</v>
      </c>
      <c r="G243" s="9" t="str">
        <f>INDEX(signals_2019_10!$C$2:$AJ$682, MATCH($B243, signals_2019_10!$B$2:$B$682, 0), MATCH(C$2, signals_2019_10!$C$1:$AJ$1, 0))</f>
        <v>NaT</v>
      </c>
      <c r="H243" s="14">
        <f t="shared" si="21"/>
        <v>0</v>
      </c>
      <c r="I243" s="11">
        <f t="shared" si="22"/>
        <v>0</v>
      </c>
      <c r="J243" s="11">
        <f t="shared" ca="1" si="23"/>
        <v>0</v>
      </c>
    </row>
    <row r="244" spans="1:10" hidden="1" x14ac:dyDescent="0.35">
      <c r="A244" s="20">
        <f>INDEX(signals_2020_05!$A$2:$A$680, MATCH(B244, signals_2020_05!$B$2:$B$680, 0))</f>
        <v>3769</v>
      </c>
      <c r="B244" s="2" t="str">
        <f>signals_2020_05!B234</f>
        <v>Generator phase 1 temp, Max</v>
      </c>
      <c r="C244" s="9" t="str">
        <f>INDEX(signals_2020_05!$C$2:$AJ$680, MATCH($B244, signals_2020_05!$B$2:$B$680, 0), MATCH(C$2, signals_2020_05!$C$1:$AJ$1, 0))</f>
        <v>NaT</v>
      </c>
      <c r="D244" s="14">
        <f t="shared" si="18"/>
        <v>0</v>
      </c>
      <c r="E244" s="11">
        <f t="shared" si="19"/>
        <v>0</v>
      </c>
      <c r="F244" s="11">
        <f t="shared" ca="1" si="20"/>
        <v>0</v>
      </c>
      <c r="G244" s="9" t="e">
        <f>INDEX(signals_2019_10!$C$2:$AJ$682, MATCH($B244, signals_2019_10!$B$2:$B$682, 0), MATCH(C$2, signals_2019_10!$C$1:$AJ$1, 0))</f>
        <v>#N/A</v>
      </c>
      <c r="H244" s="14">
        <f t="shared" si="21"/>
        <v>0</v>
      </c>
      <c r="I244" s="11">
        <f t="shared" si="22"/>
        <v>0</v>
      </c>
      <c r="J244" s="11">
        <f t="shared" ca="1" si="23"/>
        <v>0</v>
      </c>
    </row>
    <row r="245" spans="1:10" hidden="1" x14ac:dyDescent="0.35">
      <c r="A245" s="20">
        <f>INDEX(signals_2020_05!$A$2:$A$680, MATCH(B245, signals_2020_05!$B$2:$B$680, 0))</f>
        <v>3770</v>
      </c>
      <c r="B245" s="2" t="str">
        <f>signals_2020_05!B235</f>
        <v>Generator phase 1 temp, Min</v>
      </c>
      <c r="C245" s="9" t="str">
        <f>INDEX(signals_2020_05!$C$2:$AJ$680, MATCH($B245, signals_2020_05!$B$2:$B$680, 0), MATCH(C$2, signals_2020_05!$C$1:$AJ$1, 0))</f>
        <v>NaT</v>
      </c>
      <c r="D245" s="14">
        <f t="shared" si="18"/>
        <v>0</v>
      </c>
      <c r="E245" s="11">
        <f t="shared" si="19"/>
        <v>0</v>
      </c>
      <c r="F245" s="11">
        <f t="shared" ca="1" si="20"/>
        <v>0</v>
      </c>
      <c r="G245" s="9" t="e">
        <f>INDEX(signals_2019_10!$C$2:$AJ$682, MATCH($B245, signals_2019_10!$B$2:$B$682, 0), MATCH(C$2, signals_2019_10!$C$1:$AJ$1, 0))</f>
        <v>#N/A</v>
      </c>
      <c r="H245" s="14">
        <f t="shared" si="21"/>
        <v>0</v>
      </c>
      <c r="I245" s="11">
        <f t="shared" si="22"/>
        <v>0</v>
      </c>
      <c r="J245" s="11">
        <f t="shared" ca="1" si="23"/>
        <v>0</v>
      </c>
    </row>
    <row r="246" spans="1:10" hidden="1" x14ac:dyDescent="0.35">
      <c r="A246" s="20">
        <f>INDEX(signals_2020_05!$A$2:$A$680, MATCH(B246, signals_2020_05!$B$2:$B$680, 0))</f>
        <v>3771</v>
      </c>
      <c r="B246" s="2" t="str">
        <f>signals_2020_05!B236</f>
        <v>Generator phase 1 temp, Standard deviation</v>
      </c>
      <c r="C246" s="9" t="str">
        <f>INDEX(signals_2020_05!$C$2:$AJ$680, MATCH($B246, signals_2020_05!$B$2:$B$680, 0), MATCH(C$2, signals_2020_05!$C$1:$AJ$1, 0))</f>
        <v>NaT</v>
      </c>
      <c r="D246" s="14">
        <f t="shared" si="18"/>
        <v>0</v>
      </c>
      <c r="E246" s="11">
        <f t="shared" si="19"/>
        <v>0</v>
      </c>
      <c r="F246" s="11">
        <f t="shared" ca="1" si="20"/>
        <v>0</v>
      </c>
      <c r="G246" s="9" t="e">
        <f>INDEX(signals_2019_10!$C$2:$AJ$682, MATCH($B246, signals_2019_10!$B$2:$B$682, 0), MATCH(C$2, signals_2019_10!$C$1:$AJ$1, 0))</f>
        <v>#N/A</v>
      </c>
      <c r="H246" s="14">
        <f t="shared" si="21"/>
        <v>0</v>
      </c>
      <c r="I246" s="11">
        <f t="shared" si="22"/>
        <v>0</v>
      </c>
      <c r="J246" s="11">
        <f t="shared" ca="1" si="23"/>
        <v>0</v>
      </c>
    </row>
    <row r="247" spans="1:10" hidden="1" x14ac:dyDescent="0.35">
      <c r="A247" s="20">
        <f>INDEX(signals_2020_05!$A$2:$A$680, MATCH(B247, signals_2020_05!$B$2:$B$680, 0))</f>
        <v>181</v>
      </c>
      <c r="B247" s="2" t="str">
        <f>signals_2020_05!B237</f>
        <v>Generator phase 2 temp</v>
      </c>
      <c r="C247" s="9" t="str">
        <f>INDEX(signals_2020_05!$C$2:$AJ$680, MATCH($B247, signals_2020_05!$B$2:$B$680, 0), MATCH(C$2, signals_2020_05!$C$1:$AJ$1, 0))</f>
        <v>NaT</v>
      </c>
      <c r="D247" s="14">
        <f t="shared" si="18"/>
        <v>0</v>
      </c>
      <c r="E247" s="11">
        <f t="shared" si="19"/>
        <v>0</v>
      </c>
      <c r="F247" s="11">
        <f t="shared" ca="1" si="20"/>
        <v>0</v>
      </c>
      <c r="G247" s="9" t="str">
        <f>INDEX(signals_2019_10!$C$2:$AJ$682, MATCH($B247, signals_2019_10!$B$2:$B$682, 0), MATCH(C$2, signals_2019_10!$C$1:$AJ$1, 0))</f>
        <v>NaT</v>
      </c>
      <c r="H247" s="14">
        <f t="shared" si="21"/>
        <v>0</v>
      </c>
      <c r="I247" s="11">
        <f t="shared" si="22"/>
        <v>0</v>
      </c>
      <c r="J247" s="11">
        <f t="shared" ca="1" si="23"/>
        <v>0</v>
      </c>
    </row>
    <row r="248" spans="1:10" hidden="1" x14ac:dyDescent="0.35">
      <c r="A248" s="20">
        <f>INDEX(signals_2020_05!$A$2:$A$680, MATCH(B248, signals_2020_05!$B$2:$B$680, 0))</f>
        <v>3772</v>
      </c>
      <c r="B248" s="2" t="str">
        <f>signals_2020_05!B238</f>
        <v>Generator phase 2 temp, Max</v>
      </c>
      <c r="C248" s="9" t="str">
        <f>INDEX(signals_2020_05!$C$2:$AJ$680, MATCH($B248, signals_2020_05!$B$2:$B$680, 0), MATCH(C$2, signals_2020_05!$C$1:$AJ$1, 0))</f>
        <v>NaT</v>
      </c>
      <c r="D248" s="14">
        <f t="shared" si="18"/>
        <v>0</v>
      </c>
      <c r="E248" s="11">
        <f t="shared" si="19"/>
        <v>0</v>
      </c>
      <c r="F248" s="11">
        <f t="shared" ca="1" si="20"/>
        <v>0</v>
      </c>
      <c r="G248" s="9" t="e">
        <f>INDEX(signals_2019_10!$C$2:$AJ$682, MATCH($B248, signals_2019_10!$B$2:$B$682, 0), MATCH(C$2, signals_2019_10!$C$1:$AJ$1, 0))</f>
        <v>#N/A</v>
      </c>
      <c r="H248" s="14">
        <f t="shared" si="21"/>
        <v>0</v>
      </c>
      <c r="I248" s="11">
        <f t="shared" si="22"/>
        <v>0</v>
      </c>
      <c r="J248" s="11">
        <f t="shared" ca="1" si="23"/>
        <v>0</v>
      </c>
    </row>
    <row r="249" spans="1:10" hidden="1" x14ac:dyDescent="0.35">
      <c r="A249" s="20">
        <f>INDEX(signals_2020_05!$A$2:$A$680, MATCH(B249, signals_2020_05!$B$2:$B$680, 0))</f>
        <v>3773</v>
      </c>
      <c r="B249" s="2" t="str">
        <f>signals_2020_05!B239</f>
        <v>Generator phase 2 temp, Min</v>
      </c>
      <c r="C249" s="9" t="str">
        <f>INDEX(signals_2020_05!$C$2:$AJ$680, MATCH($B249, signals_2020_05!$B$2:$B$680, 0), MATCH(C$2, signals_2020_05!$C$1:$AJ$1, 0))</f>
        <v>NaT</v>
      </c>
      <c r="D249" s="14">
        <f t="shared" si="18"/>
        <v>0</v>
      </c>
      <c r="E249" s="11">
        <f t="shared" si="19"/>
        <v>0</v>
      </c>
      <c r="F249" s="11">
        <f t="shared" ca="1" si="20"/>
        <v>0</v>
      </c>
      <c r="G249" s="9" t="e">
        <f>INDEX(signals_2019_10!$C$2:$AJ$682, MATCH($B249, signals_2019_10!$B$2:$B$682, 0), MATCH(C$2, signals_2019_10!$C$1:$AJ$1, 0))</f>
        <v>#N/A</v>
      </c>
      <c r="H249" s="14">
        <f t="shared" si="21"/>
        <v>0</v>
      </c>
      <c r="I249" s="11">
        <f t="shared" si="22"/>
        <v>0</v>
      </c>
      <c r="J249" s="11">
        <f t="shared" ca="1" si="23"/>
        <v>0</v>
      </c>
    </row>
    <row r="250" spans="1:10" hidden="1" x14ac:dyDescent="0.35">
      <c r="A250" s="20">
        <f>INDEX(signals_2020_05!$A$2:$A$680, MATCH(B250, signals_2020_05!$B$2:$B$680, 0))</f>
        <v>3774</v>
      </c>
      <c r="B250" s="2" t="str">
        <f>signals_2020_05!B240</f>
        <v>Generator phase 2 temp, Standard deviation</v>
      </c>
      <c r="C250" s="9" t="str">
        <f>INDEX(signals_2020_05!$C$2:$AJ$680, MATCH($B250, signals_2020_05!$B$2:$B$680, 0), MATCH(C$2, signals_2020_05!$C$1:$AJ$1, 0))</f>
        <v>NaT</v>
      </c>
      <c r="D250" s="14">
        <f t="shared" si="18"/>
        <v>0</v>
      </c>
      <c r="E250" s="11">
        <f t="shared" si="19"/>
        <v>0</v>
      </c>
      <c r="F250" s="11">
        <f t="shared" ca="1" si="20"/>
        <v>0</v>
      </c>
      <c r="G250" s="9" t="e">
        <f>INDEX(signals_2019_10!$C$2:$AJ$682, MATCH($B250, signals_2019_10!$B$2:$B$682, 0), MATCH(C$2, signals_2019_10!$C$1:$AJ$1, 0))</f>
        <v>#N/A</v>
      </c>
      <c r="H250" s="14">
        <f t="shared" si="21"/>
        <v>0</v>
      </c>
      <c r="I250" s="11">
        <f t="shared" si="22"/>
        <v>0</v>
      </c>
      <c r="J250" s="11">
        <f t="shared" ca="1" si="23"/>
        <v>0</v>
      </c>
    </row>
    <row r="251" spans="1:10" hidden="1" x14ac:dyDescent="0.35">
      <c r="A251" s="20">
        <f>INDEX(signals_2020_05!$A$2:$A$680, MATCH(B251, signals_2020_05!$B$2:$B$680, 0))</f>
        <v>182</v>
      </c>
      <c r="B251" s="2" t="str">
        <f>signals_2020_05!B241</f>
        <v>Generator phase 3 temp</v>
      </c>
      <c r="C251" s="9" t="str">
        <f>INDEX(signals_2020_05!$C$2:$AJ$680, MATCH($B251, signals_2020_05!$B$2:$B$680, 0), MATCH(C$2, signals_2020_05!$C$1:$AJ$1, 0))</f>
        <v>NaT</v>
      </c>
      <c r="D251" s="14">
        <f t="shared" si="18"/>
        <v>0</v>
      </c>
      <c r="E251" s="11">
        <f t="shared" si="19"/>
        <v>0</v>
      </c>
      <c r="F251" s="11">
        <f t="shared" ca="1" si="20"/>
        <v>0</v>
      </c>
      <c r="G251" s="9" t="str">
        <f>INDEX(signals_2019_10!$C$2:$AJ$682, MATCH($B251, signals_2019_10!$B$2:$B$682, 0), MATCH(C$2, signals_2019_10!$C$1:$AJ$1, 0))</f>
        <v>NaT</v>
      </c>
      <c r="H251" s="14">
        <f t="shared" si="21"/>
        <v>0</v>
      </c>
      <c r="I251" s="11">
        <f t="shared" si="22"/>
        <v>0</v>
      </c>
      <c r="J251" s="11">
        <f t="shared" ca="1" si="23"/>
        <v>0</v>
      </c>
    </row>
    <row r="252" spans="1:10" hidden="1" x14ac:dyDescent="0.35">
      <c r="A252" s="20">
        <f>INDEX(signals_2020_05!$A$2:$A$680, MATCH(B252, signals_2020_05!$B$2:$B$680, 0))</f>
        <v>3775</v>
      </c>
      <c r="B252" s="2" t="str">
        <f>signals_2020_05!B242</f>
        <v>Generator phase 3 temp, Max</v>
      </c>
      <c r="C252" s="9" t="str">
        <f>INDEX(signals_2020_05!$C$2:$AJ$680, MATCH($B252, signals_2020_05!$B$2:$B$680, 0), MATCH(C$2, signals_2020_05!$C$1:$AJ$1, 0))</f>
        <v>NaT</v>
      </c>
      <c r="D252" s="14">
        <f t="shared" si="18"/>
        <v>0</v>
      </c>
      <c r="E252" s="11">
        <f t="shared" si="19"/>
        <v>0</v>
      </c>
      <c r="F252" s="11">
        <f t="shared" ca="1" si="20"/>
        <v>0</v>
      </c>
      <c r="G252" s="9" t="e">
        <f>INDEX(signals_2019_10!$C$2:$AJ$682, MATCH($B252, signals_2019_10!$B$2:$B$682, 0), MATCH(C$2, signals_2019_10!$C$1:$AJ$1, 0))</f>
        <v>#N/A</v>
      </c>
      <c r="H252" s="14">
        <f t="shared" si="21"/>
        <v>0</v>
      </c>
      <c r="I252" s="11">
        <f t="shared" si="22"/>
        <v>0</v>
      </c>
      <c r="J252" s="11">
        <f t="shared" ca="1" si="23"/>
        <v>0</v>
      </c>
    </row>
    <row r="253" spans="1:10" hidden="1" x14ac:dyDescent="0.35">
      <c r="A253" s="20">
        <f>INDEX(signals_2020_05!$A$2:$A$680, MATCH(B253, signals_2020_05!$B$2:$B$680, 0))</f>
        <v>3776</v>
      </c>
      <c r="B253" s="2" t="str">
        <f>signals_2020_05!B243</f>
        <v>Generator phase 3 temp, Min</v>
      </c>
      <c r="C253" s="9" t="str">
        <f>INDEX(signals_2020_05!$C$2:$AJ$680, MATCH($B253, signals_2020_05!$B$2:$B$680, 0), MATCH(C$2, signals_2020_05!$C$1:$AJ$1, 0))</f>
        <v>NaT</v>
      </c>
      <c r="D253" s="14">
        <f t="shared" si="18"/>
        <v>0</v>
      </c>
      <c r="E253" s="11">
        <f t="shared" si="19"/>
        <v>0</v>
      </c>
      <c r="F253" s="11">
        <f t="shared" ca="1" si="20"/>
        <v>0</v>
      </c>
      <c r="G253" s="9" t="e">
        <f>INDEX(signals_2019_10!$C$2:$AJ$682, MATCH($B253, signals_2019_10!$B$2:$B$682, 0), MATCH(C$2, signals_2019_10!$C$1:$AJ$1, 0))</f>
        <v>#N/A</v>
      </c>
      <c r="H253" s="14">
        <f t="shared" si="21"/>
        <v>0</v>
      </c>
      <c r="I253" s="11">
        <f t="shared" si="22"/>
        <v>0</v>
      </c>
      <c r="J253" s="11">
        <f t="shared" ca="1" si="23"/>
        <v>0</v>
      </c>
    </row>
    <row r="254" spans="1:10" hidden="1" x14ac:dyDescent="0.35">
      <c r="A254" s="20">
        <f>INDEX(signals_2020_05!$A$2:$A$680, MATCH(B254, signals_2020_05!$B$2:$B$680, 0))</f>
        <v>3777</v>
      </c>
      <c r="B254" s="2" t="str">
        <f>signals_2020_05!B244</f>
        <v>Generator phase 3 temp, Standard deviation</v>
      </c>
      <c r="C254" s="9" t="str">
        <f>INDEX(signals_2020_05!$C$2:$AJ$680, MATCH($B254, signals_2020_05!$B$2:$B$680, 0), MATCH(C$2, signals_2020_05!$C$1:$AJ$1, 0))</f>
        <v>NaT</v>
      </c>
      <c r="D254" s="14">
        <f t="shared" si="18"/>
        <v>0</v>
      </c>
      <c r="E254" s="11">
        <f t="shared" si="19"/>
        <v>0</v>
      </c>
      <c r="F254" s="11">
        <f t="shared" ca="1" si="20"/>
        <v>0</v>
      </c>
      <c r="G254" s="9" t="e">
        <f>INDEX(signals_2019_10!$C$2:$AJ$682, MATCH($B254, signals_2019_10!$B$2:$B$682, 0), MATCH(C$2, signals_2019_10!$C$1:$AJ$1, 0))</f>
        <v>#N/A</v>
      </c>
      <c r="H254" s="14">
        <f t="shared" si="21"/>
        <v>0</v>
      </c>
      <c r="I254" s="11">
        <f t="shared" si="22"/>
        <v>0</v>
      </c>
      <c r="J254" s="11">
        <f t="shared" ca="1" si="23"/>
        <v>0</v>
      </c>
    </row>
    <row r="255" spans="1:10" x14ac:dyDescent="0.35">
      <c r="A255" s="20">
        <f>INDEX(signals_2020_05!$A$2:$A$680, MATCH(B255, signals_2020_05!$B$2:$B$680, 0))</f>
        <v>86</v>
      </c>
      <c r="B255" s="2" t="str">
        <f>signals_2020_05!B245</f>
        <v>Generator RPM</v>
      </c>
      <c r="C255" s="9">
        <f>INDEX(signals_2020_05!$C$2:$AJ$680, MATCH($B255, signals_2020_05!$B$2:$B$680, 0), MATCH(C$2, signals_2020_05!$C$1:$AJ$1, 0))</f>
        <v>43054.631944444445</v>
      </c>
      <c r="D255" s="14">
        <f t="shared" si="18"/>
        <v>1</v>
      </c>
      <c r="E255" s="11">
        <f t="shared" si="19"/>
        <v>1</v>
      </c>
      <c r="F255" s="11">
        <f t="shared" ca="1" si="20"/>
        <v>2.7</v>
      </c>
      <c r="G255" s="9">
        <f>INDEX(signals_2019_10!$C$2:$AJ$682, MATCH($B255, signals_2019_10!$B$2:$B$682, 0), MATCH(C$2, signals_2019_10!$C$1:$AJ$1, 0))</f>
        <v>43054.631944444445</v>
      </c>
      <c r="H255" s="14">
        <f t="shared" si="21"/>
        <v>1</v>
      </c>
      <c r="I255" s="11">
        <f t="shared" si="22"/>
        <v>1</v>
      </c>
      <c r="J255" s="11">
        <f t="shared" ca="1" si="23"/>
        <v>2.7</v>
      </c>
    </row>
    <row r="256" spans="1:10" x14ac:dyDescent="0.35">
      <c r="A256" s="20">
        <f>INDEX(signals_2020_05!$A$2:$A$680, MATCH(B256, signals_2020_05!$B$2:$B$680, 0))</f>
        <v>930</v>
      </c>
      <c r="B256" s="2" t="str">
        <f>signals_2020_05!B246</f>
        <v>Generator RPM, Max</v>
      </c>
      <c r="C256" s="9">
        <f>INDEX(signals_2020_05!$C$2:$AJ$680, MATCH($B256, signals_2020_05!$B$2:$B$680, 0), MATCH(C$2, signals_2020_05!$C$1:$AJ$1, 0))</f>
        <v>43618.270833333336</v>
      </c>
      <c r="D256" s="14">
        <f t="shared" si="18"/>
        <v>1</v>
      </c>
      <c r="E256" s="11">
        <f t="shared" si="19"/>
        <v>0</v>
      </c>
      <c r="F256" s="11">
        <f t="shared" ca="1" si="20"/>
        <v>1.2</v>
      </c>
      <c r="G256" s="9">
        <f>INDEX(signals_2019_10!$C$2:$AJ$682, MATCH($B256, signals_2019_10!$B$2:$B$682, 0), MATCH(C$2, signals_2019_10!$C$1:$AJ$1, 0))</f>
        <v>43618.270833333336</v>
      </c>
      <c r="H256" s="14">
        <f t="shared" si="21"/>
        <v>1</v>
      </c>
      <c r="I256" s="11">
        <f t="shared" si="22"/>
        <v>0</v>
      </c>
      <c r="J256" s="11">
        <f t="shared" ca="1" si="23"/>
        <v>1.2</v>
      </c>
    </row>
    <row r="257" spans="1:10" x14ac:dyDescent="0.35">
      <c r="A257" s="20">
        <f>INDEX(signals_2020_05!$A$2:$A$680, MATCH(B257, signals_2020_05!$B$2:$B$680, 0))</f>
        <v>931</v>
      </c>
      <c r="B257" s="2" t="str">
        <f>signals_2020_05!B247</f>
        <v>Generator RPM, Min</v>
      </c>
      <c r="C257" s="9">
        <f>INDEX(signals_2020_05!$C$2:$AJ$680, MATCH($B257, signals_2020_05!$B$2:$B$680, 0), MATCH(C$2, signals_2020_05!$C$1:$AJ$1, 0))</f>
        <v>43618.270833333336</v>
      </c>
      <c r="D257" s="14">
        <f t="shared" si="18"/>
        <v>1</v>
      </c>
      <c r="E257" s="11">
        <f t="shared" si="19"/>
        <v>0</v>
      </c>
      <c r="F257" s="11">
        <f t="shared" ca="1" si="20"/>
        <v>1.2</v>
      </c>
      <c r="G257" s="9">
        <f>INDEX(signals_2019_10!$C$2:$AJ$682, MATCH($B257, signals_2019_10!$B$2:$B$682, 0), MATCH(C$2, signals_2019_10!$C$1:$AJ$1, 0))</f>
        <v>43618.270833333336</v>
      </c>
      <c r="H257" s="14">
        <f t="shared" si="21"/>
        <v>1</v>
      </c>
      <c r="I257" s="11">
        <f t="shared" si="22"/>
        <v>0</v>
      </c>
      <c r="J257" s="11">
        <f t="shared" ca="1" si="23"/>
        <v>1.2</v>
      </c>
    </row>
    <row r="258" spans="1:10" x14ac:dyDescent="0.35">
      <c r="A258" s="20">
        <f>INDEX(signals_2020_05!$A$2:$A$680, MATCH(B258, signals_2020_05!$B$2:$B$680, 0))</f>
        <v>932</v>
      </c>
      <c r="B258" s="2" t="str">
        <f>signals_2020_05!B248</f>
        <v>Generator RPM, Standard deviation</v>
      </c>
      <c r="C258" s="9">
        <f>INDEX(signals_2020_05!$C$2:$AJ$680, MATCH($B258, signals_2020_05!$B$2:$B$680, 0), MATCH(C$2, signals_2020_05!$C$1:$AJ$1, 0))</f>
        <v>43618.270833333336</v>
      </c>
      <c r="D258" s="14">
        <f t="shared" si="18"/>
        <v>1</v>
      </c>
      <c r="E258" s="11">
        <f t="shared" si="19"/>
        <v>0</v>
      </c>
      <c r="F258" s="11">
        <f t="shared" ca="1" si="20"/>
        <v>1.2</v>
      </c>
      <c r="G258" s="9">
        <f>INDEX(signals_2019_10!$C$2:$AJ$682, MATCH($B258, signals_2019_10!$B$2:$B$682, 0), MATCH(C$2, signals_2019_10!$C$1:$AJ$1, 0))</f>
        <v>43618.270833333336</v>
      </c>
      <c r="H258" s="14">
        <f t="shared" si="21"/>
        <v>1</v>
      </c>
      <c r="I258" s="11">
        <f t="shared" si="22"/>
        <v>0</v>
      </c>
      <c r="J258" s="11">
        <f t="shared" ca="1" si="23"/>
        <v>1.2</v>
      </c>
    </row>
    <row r="259" spans="1:10" hidden="1" x14ac:dyDescent="0.35">
      <c r="A259" s="20">
        <f>INDEX(signals_2020_05!$A$2:$A$680, MATCH(B259, signals_2020_05!$B$2:$B$680, 0))</f>
        <v>183</v>
      </c>
      <c r="B259" s="2" t="str">
        <f>signals_2020_05!B249</f>
        <v>Generator slipring temp</v>
      </c>
      <c r="C259" s="9" t="str">
        <f>INDEX(signals_2020_05!$C$2:$AJ$680, MATCH($B259, signals_2020_05!$B$2:$B$680, 0), MATCH(C$2, signals_2020_05!$C$1:$AJ$1, 0))</f>
        <v>NaT</v>
      </c>
      <c r="D259" s="14">
        <f t="shared" si="18"/>
        <v>0</v>
      </c>
      <c r="E259" s="11">
        <f t="shared" si="19"/>
        <v>0</v>
      </c>
      <c r="F259" s="11">
        <f t="shared" ca="1" si="20"/>
        <v>0</v>
      </c>
      <c r="G259" s="9" t="str">
        <f>INDEX(signals_2019_10!$C$2:$AJ$682, MATCH($B259, signals_2019_10!$B$2:$B$682, 0), MATCH(C$2, signals_2019_10!$C$1:$AJ$1, 0))</f>
        <v>NaT</v>
      </c>
      <c r="H259" s="14">
        <f t="shared" si="21"/>
        <v>0</v>
      </c>
      <c r="I259" s="11">
        <f t="shared" si="22"/>
        <v>0</v>
      </c>
      <c r="J259" s="11">
        <f t="shared" ca="1" si="23"/>
        <v>0</v>
      </c>
    </row>
    <row r="260" spans="1:10" x14ac:dyDescent="0.35">
      <c r="A260" s="20">
        <f>INDEX(signals_2020_05!$A$2:$A$680, MATCH(B260, signals_2020_05!$B$2:$B$680, 0))</f>
        <v>811</v>
      </c>
      <c r="B260" s="2" t="str">
        <f>signals_2020_05!B250</f>
        <v>Generator temperature</v>
      </c>
      <c r="C260" s="9">
        <f>INDEX(signals_2020_05!$C$2:$AJ$680, MATCH($B260, signals_2020_05!$B$2:$B$680, 0), MATCH(C$2, signals_2020_05!$C$1:$AJ$1, 0))</f>
        <v>43054.631944444445</v>
      </c>
      <c r="D260" s="14">
        <f t="shared" si="18"/>
        <v>1</v>
      </c>
      <c r="E260" s="11">
        <f t="shared" si="19"/>
        <v>1</v>
      </c>
      <c r="F260" s="11">
        <f t="shared" ca="1" si="20"/>
        <v>2.7</v>
      </c>
      <c r="G260" s="9">
        <f>INDEX(signals_2019_10!$C$2:$AJ$682, MATCH($B260, signals_2019_10!$B$2:$B$682, 0), MATCH(C$2, signals_2019_10!$C$1:$AJ$1, 0))</f>
        <v>43054.631944444445</v>
      </c>
      <c r="H260" s="14">
        <f t="shared" si="21"/>
        <v>1</v>
      </c>
      <c r="I260" s="11">
        <f t="shared" si="22"/>
        <v>1</v>
      </c>
      <c r="J260" s="11">
        <f t="shared" ca="1" si="23"/>
        <v>2.7</v>
      </c>
    </row>
    <row r="261" spans="1:10" hidden="1" x14ac:dyDescent="0.35">
      <c r="A261" s="20">
        <f>INDEX(signals_2020_05!$A$2:$A$680, MATCH(B261, signals_2020_05!$B$2:$B$680, 0))</f>
        <v>95</v>
      </c>
      <c r="B261" s="2" t="str">
        <f>signals_2020_05!B251</f>
        <v>Generator temperature L1</v>
      </c>
      <c r="C261" s="9" t="str">
        <f>INDEX(signals_2020_05!$C$2:$AJ$680, MATCH($B261, signals_2020_05!$B$2:$B$680, 0), MATCH(C$2, signals_2020_05!$C$1:$AJ$1, 0))</f>
        <v>NaT</v>
      </c>
      <c r="D261" s="14">
        <f t="shared" si="18"/>
        <v>0</v>
      </c>
      <c r="E261" s="11">
        <f t="shared" si="19"/>
        <v>0</v>
      </c>
      <c r="F261" s="11">
        <f t="shared" ca="1" si="20"/>
        <v>0</v>
      </c>
      <c r="G261" s="9" t="str">
        <f>INDEX(signals_2019_10!$C$2:$AJ$682, MATCH($B261, signals_2019_10!$B$2:$B$682, 0), MATCH(C$2, signals_2019_10!$C$1:$AJ$1, 0))</f>
        <v>NaT</v>
      </c>
      <c r="H261" s="14">
        <f t="shared" si="21"/>
        <v>0</v>
      </c>
      <c r="I261" s="11">
        <f t="shared" si="22"/>
        <v>0</v>
      </c>
      <c r="J261" s="11">
        <f t="shared" ca="1" si="23"/>
        <v>0</v>
      </c>
    </row>
    <row r="262" spans="1:10" hidden="1" x14ac:dyDescent="0.35">
      <c r="A262" s="20">
        <f>INDEX(signals_2020_05!$A$2:$A$680, MATCH(B262, signals_2020_05!$B$2:$B$680, 0))</f>
        <v>4366</v>
      </c>
      <c r="B262" s="2" t="str">
        <f>signals_2020_05!B252</f>
        <v>Generator temperature L1, Max</v>
      </c>
      <c r="C262" s="9" t="str">
        <f>INDEX(signals_2020_05!$C$2:$AJ$680, MATCH($B262, signals_2020_05!$B$2:$B$680, 0), MATCH(C$2, signals_2020_05!$C$1:$AJ$1, 0))</f>
        <v>NaT</v>
      </c>
      <c r="D262" s="14">
        <f t="shared" si="18"/>
        <v>0</v>
      </c>
      <c r="E262" s="11">
        <f t="shared" si="19"/>
        <v>0</v>
      </c>
      <c r="F262" s="11">
        <f t="shared" ca="1" si="20"/>
        <v>0</v>
      </c>
      <c r="G262" s="9" t="e">
        <f>INDEX(signals_2019_10!$C$2:$AJ$682, MATCH($B262, signals_2019_10!$B$2:$B$682, 0), MATCH(C$2, signals_2019_10!$C$1:$AJ$1, 0))</f>
        <v>#N/A</v>
      </c>
      <c r="H262" s="14">
        <f t="shared" si="21"/>
        <v>0</v>
      </c>
      <c r="I262" s="11">
        <f t="shared" si="22"/>
        <v>0</v>
      </c>
      <c r="J262" s="11">
        <f t="shared" ca="1" si="23"/>
        <v>0</v>
      </c>
    </row>
    <row r="263" spans="1:10" hidden="1" x14ac:dyDescent="0.35">
      <c r="A263" s="20">
        <f>INDEX(signals_2020_05!$A$2:$A$680, MATCH(B263, signals_2020_05!$B$2:$B$680, 0))</f>
        <v>4367</v>
      </c>
      <c r="B263" s="2" t="str">
        <f>signals_2020_05!B253</f>
        <v>Generator temperature L1, Min</v>
      </c>
      <c r="C263" s="9" t="str">
        <f>INDEX(signals_2020_05!$C$2:$AJ$680, MATCH($B263, signals_2020_05!$B$2:$B$680, 0), MATCH(C$2, signals_2020_05!$C$1:$AJ$1, 0))</f>
        <v>NaT</v>
      </c>
      <c r="D263" s="14">
        <f t="shared" si="18"/>
        <v>0</v>
      </c>
      <c r="E263" s="11">
        <f t="shared" si="19"/>
        <v>0</v>
      </c>
      <c r="F263" s="11">
        <f t="shared" ca="1" si="20"/>
        <v>0</v>
      </c>
      <c r="G263" s="9" t="e">
        <f>INDEX(signals_2019_10!$C$2:$AJ$682, MATCH($B263, signals_2019_10!$B$2:$B$682, 0), MATCH(C$2, signals_2019_10!$C$1:$AJ$1, 0))</f>
        <v>#N/A</v>
      </c>
      <c r="H263" s="14">
        <f t="shared" si="21"/>
        <v>0</v>
      </c>
      <c r="I263" s="11">
        <f t="shared" si="22"/>
        <v>0</v>
      </c>
      <c r="J263" s="11">
        <f t="shared" ca="1" si="23"/>
        <v>0</v>
      </c>
    </row>
    <row r="264" spans="1:10" hidden="1" x14ac:dyDescent="0.35">
      <c r="A264" s="20">
        <f>INDEX(signals_2020_05!$A$2:$A$680, MATCH(B264, signals_2020_05!$B$2:$B$680, 0))</f>
        <v>4368</v>
      </c>
      <c r="B264" s="2" t="str">
        <f>signals_2020_05!B254</f>
        <v>Generator temperature L1, StdDev</v>
      </c>
      <c r="C264" s="9" t="str">
        <f>INDEX(signals_2020_05!$C$2:$AJ$680, MATCH($B264, signals_2020_05!$B$2:$B$680, 0), MATCH(C$2, signals_2020_05!$C$1:$AJ$1, 0))</f>
        <v>NaT</v>
      </c>
      <c r="D264" s="14">
        <f t="shared" si="18"/>
        <v>0</v>
      </c>
      <c r="E264" s="11">
        <f t="shared" si="19"/>
        <v>0</v>
      </c>
      <c r="F264" s="11">
        <f t="shared" ca="1" si="20"/>
        <v>0</v>
      </c>
      <c r="G264" s="9" t="e">
        <f>INDEX(signals_2019_10!$C$2:$AJ$682, MATCH($B264, signals_2019_10!$B$2:$B$682, 0), MATCH(C$2, signals_2019_10!$C$1:$AJ$1, 0))</f>
        <v>#N/A</v>
      </c>
      <c r="H264" s="14">
        <f t="shared" si="21"/>
        <v>0</v>
      </c>
      <c r="I264" s="11">
        <f t="shared" si="22"/>
        <v>0</v>
      </c>
      <c r="J264" s="11">
        <f t="shared" ca="1" si="23"/>
        <v>0</v>
      </c>
    </row>
    <row r="265" spans="1:10" hidden="1" x14ac:dyDescent="0.35">
      <c r="A265" s="20">
        <f>INDEX(signals_2020_05!$A$2:$A$680, MATCH(B265, signals_2020_05!$B$2:$B$680, 0))</f>
        <v>96</v>
      </c>
      <c r="B265" s="2" t="str">
        <f>signals_2020_05!B255</f>
        <v>Generator temperature L2</v>
      </c>
      <c r="C265" s="9" t="str">
        <f>INDEX(signals_2020_05!$C$2:$AJ$680, MATCH($B265, signals_2020_05!$B$2:$B$680, 0), MATCH(C$2, signals_2020_05!$C$1:$AJ$1, 0))</f>
        <v>NaT</v>
      </c>
      <c r="D265" s="14">
        <f t="shared" si="18"/>
        <v>0</v>
      </c>
      <c r="E265" s="11">
        <f t="shared" si="19"/>
        <v>0</v>
      </c>
      <c r="F265" s="11">
        <f t="shared" ca="1" si="20"/>
        <v>0</v>
      </c>
      <c r="G265" s="9" t="str">
        <f>INDEX(signals_2019_10!$C$2:$AJ$682, MATCH($B265, signals_2019_10!$B$2:$B$682, 0), MATCH(C$2, signals_2019_10!$C$1:$AJ$1, 0))</f>
        <v>NaT</v>
      </c>
      <c r="H265" s="14">
        <f t="shared" si="21"/>
        <v>0</v>
      </c>
      <c r="I265" s="11">
        <f t="shared" si="22"/>
        <v>0</v>
      </c>
      <c r="J265" s="11">
        <f t="shared" ca="1" si="23"/>
        <v>0</v>
      </c>
    </row>
    <row r="266" spans="1:10" hidden="1" x14ac:dyDescent="0.35">
      <c r="A266" s="20">
        <f>INDEX(signals_2020_05!$A$2:$A$680, MATCH(B266, signals_2020_05!$B$2:$B$680, 0))</f>
        <v>4369</v>
      </c>
      <c r="B266" s="2" t="str">
        <f>signals_2020_05!B256</f>
        <v>Generator temperature L2, Max</v>
      </c>
      <c r="C266" s="9" t="str">
        <f>INDEX(signals_2020_05!$C$2:$AJ$680, MATCH($B266, signals_2020_05!$B$2:$B$680, 0), MATCH(C$2, signals_2020_05!$C$1:$AJ$1, 0))</f>
        <v>NaT</v>
      </c>
      <c r="D266" s="14">
        <f t="shared" si="18"/>
        <v>0</v>
      </c>
      <c r="E266" s="11">
        <f t="shared" si="19"/>
        <v>0</v>
      </c>
      <c r="F266" s="11">
        <f t="shared" ca="1" si="20"/>
        <v>0</v>
      </c>
      <c r="G266" s="9" t="e">
        <f>INDEX(signals_2019_10!$C$2:$AJ$682, MATCH($B266, signals_2019_10!$B$2:$B$682, 0), MATCH(C$2, signals_2019_10!$C$1:$AJ$1, 0))</f>
        <v>#N/A</v>
      </c>
      <c r="H266" s="14">
        <f t="shared" si="21"/>
        <v>0</v>
      </c>
      <c r="I266" s="11">
        <f t="shared" si="22"/>
        <v>0</v>
      </c>
      <c r="J266" s="11">
        <f t="shared" ca="1" si="23"/>
        <v>0</v>
      </c>
    </row>
    <row r="267" spans="1:10" hidden="1" x14ac:dyDescent="0.35">
      <c r="A267" s="20">
        <f>INDEX(signals_2020_05!$A$2:$A$680, MATCH(B267, signals_2020_05!$B$2:$B$680, 0))</f>
        <v>4370</v>
      </c>
      <c r="B267" s="2" t="str">
        <f>signals_2020_05!B257</f>
        <v>Generator temperature L2, Min</v>
      </c>
      <c r="C267" s="9" t="str">
        <f>INDEX(signals_2020_05!$C$2:$AJ$680, MATCH($B267, signals_2020_05!$B$2:$B$680, 0), MATCH(C$2, signals_2020_05!$C$1:$AJ$1, 0))</f>
        <v>NaT</v>
      </c>
      <c r="D267" s="14">
        <f t="shared" si="18"/>
        <v>0</v>
      </c>
      <c r="E267" s="11">
        <f t="shared" si="19"/>
        <v>0</v>
      </c>
      <c r="F267" s="11">
        <f t="shared" ca="1" si="20"/>
        <v>0</v>
      </c>
      <c r="G267" s="9" t="e">
        <f>INDEX(signals_2019_10!$C$2:$AJ$682, MATCH($B267, signals_2019_10!$B$2:$B$682, 0), MATCH(C$2, signals_2019_10!$C$1:$AJ$1, 0))</f>
        <v>#N/A</v>
      </c>
      <c r="H267" s="14">
        <f t="shared" si="21"/>
        <v>0</v>
      </c>
      <c r="I267" s="11">
        <f t="shared" si="22"/>
        <v>0</v>
      </c>
      <c r="J267" s="11">
        <f t="shared" ca="1" si="23"/>
        <v>0</v>
      </c>
    </row>
    <row r="268" spans="1:10" hidden="1" x14ac:dyDescent="0.35">
      <c r="A268" s="20">
        <f>INDEX(signals_2020_05!$A$2:$A$680, MATCH(B268, signals_2020_05!$B$2:$B$680, 0))</f>
        <v>4371</v>
      </c>
      <c r="B268" s="2" t="str">
        <f>signals_2020_05!B258</f>
        <v>Generator temperature L2, StdDev</v>
      </c>
      <c r="C268" s="9" t="str">
        <f>INDEX(signals_2020_05!$C$2:$AJ$680, MATCH($B268, signals_2020_05!$B$2:$B$680, 0), MATCH(C$2, signals_2020_05!$C$1:$AJ$1, 0))</f>
        <v>NaT</v>
      </c>
      <c r="D268" s="14">
        <f t="shared" si="18"/>
        <v>0</v>
      </c>
      <c r="E268" s="11">
        <f t="shared" si="19"/>
        <v>0</v>
      </c>
      <c r="F268" s="11">
        <f t="shared" ca="1" si="20"/>
        <v>0</v>
      </c>
      <c r="G268" s="9" t="e">
        <f>INDEX(signals_2019_10!$C$2:$AJ$682, MATCH($B268, signals_2019_10!$B$2:$B$682, 0), MATCH(C$2, signals_2019_10!$C$1:$AJ$1, 0))</f>
        <v>#N/A</v>
      </c>
      <c r="H268" s="14">
        <f t="shared" si="21"/>
        <v>0</v>
      </c>
      <c r="I268" s="11">
        <f t="shared" si="22"/>
        <v>0</v>
      </c>
      <c r="J268" s="11">
        <f t="shared" ca="1" si="23"/>
        <v>0</v>
      </c>
    </row>
    <row r="269" spans="1:10" hidden="1" x14ac:dyDescent="0.35">
      <c r="A269" s="20">
        <f>INDEX(signals_2020_05!$A$2:$A$680, MATCH(B269, signals_2020_05!$B$2:$B$680, 0))</f>
        <v>97</v>
      </c>
      <c r="B269" s="2" t="str">
        <f>signals_2020_05!B259</f>
        <v>Generator temperature L3</v>
      </c>
      <c r="C269" s="9" t="str">
        <f>INDEX(signals_2020_05!$C$2:$AJ$680, MATCH($B269, signals_2020_05!$B$2:$B$680, 0), MATCH(C$2, signals_2020_05!$C$1:$AJ$1, 0))</f>
        <v>NaT</v>
      </c>
      <c r="D269" s="14">
        <f t="shared" ref="D269:D332" si="24">IF(ISERROR(C269), 0, IF(C269="NaT", 0, 1))</f>
        <v>0</v>
      </c>
      <c r="E269" s="11">
        <f t="shared" ref="E269:E332" si="25">IF(D269, IF(FLOOR($C269, 1) = FLOOR($C$5, 1), 1, 0), 0)</f>
        <v>0</v>
      </c>
      <c r="F269" s="11">
        <f t="shared" ref="F269:F332" ca="1" si="26">IF(ISERROR(C269), 0, IF(C269="NaT", 0,ROUND(((NOW()-C269)/365.25)*10, 0)/10))</f>
        <v>0</v>
      </c>
      <c r="G269" s="9" t="str">
        <f>INDEX(signals_2019_10!$C$2:$AJ$682, MATCH($B269, signals_2019_10!$B$2:$B$682, 0), MATCH(C$2, signals_2019_10!$C$1:$AJ$1, 0))</f>
        <v>NaT</v>
      </c>
      <c r="H269" s="14">
        <f t="shared" ref="H269:H332" si="27">IF(ISERROR(G269), 0, IF(G269="NaT", 0, 1))</f>
        <v>0</v>
      </c>
      <c r="I269" s="11">
        <f t="shared" ref="I269:I332" si="28">IF(H269, IF(FLOOR($C269, 1) = FLOOR($C$5, 1), 1, 0), 0)</f>
        <v>0</v>
      </c>
      <c r="J269" s="11">
        <f t="shared" ref="J269:J332" ca="1" si="29">IF(ISERROR(G269), 0, IF(G269="NaT", 0,ROUND(((NOW()-G269)/365.25)*10, 0)/10))</f>
        <v>0</v>
      </c>
    </row>
    <row r="270" spans="1:10" hidden="1" x14ac:dyDescent="0.35">
      <c r="A270" s="20">
        <f>INDEX(signals_2020_05!$A$2:$A$680, MATCH(B270, signals_2020_05!$B$2:$B$680, 0))</f>
        <v>4372</v>
      </c>
      <c r="B270" s="2" t="str">
        <f>signals_2020_05!B260</f>
        <v>Generator temperature L3, Max</v>
      </c>
      <c r="C270" s="9" t="str">
        <f>INDEX(signals_2020_05!$C$2:$AJ$680, MATCH($B270, signals_2020_05!$B$2:$B$680, 0), MATCH(C$2, signals_2020_05!$C$1:$AJ$1, 0))</f>
        <v>NaT</v>
      </c>
      <c r="D270" s="14">
        <f t="shared" si="24"/>
        <v>0</v>
      </c>
      <c r="E270" s="11">
        <f t="shared" si="25"/>
        <v>0</v>
      </c>
      <c r="F270" s="11">
        <f t="shared" ca="1" si="26"/>
        <v>0</v>
      </c>
      <c r="G270" s="9" t="e">
        <f>INDEX(signals_2019_10!$C$2:$AJ$682, MATCH($B270, signals_2019_10!$B$2:$B$682, 0), MATCH(C$2, signals_2019_10!$C$1:$AJ$1, 0))</f>
        <v>#N/A</v>
      </c>
      <c r="H270" s="14">
        <f t="shared" si="27"/>
        <v>0</v>
      </c>
      <c r="I270" s="11">
        <f t="shared" si="28"/>
        <v>0</v>
      </c>
      <c r="J270" s="11">
        <f t="shared" ca="1" si="29"/>
        <v>0</v>
      </c>
    </row>
    <row r="271" spans="1:10" hidden="1" x14ac:dyDescent="0.35">
      <c r="A271" s="20">
        <f>INDEX(signals_2020_05!$A$2:$A$680, MATCH(B271, signals_2020_05!$B$2:$B$680, 0))</f>
        <v>4373</v>
      </c>
      <c r="B271" s="2" t="str">
        <f>signals_2020_05!B261</f>
        <v>Generator temperature L3, Min</v>
      </c>
      <c r="C271" s="9" t="str">
        <f>INDEX(signals_2020_05!$C$2:$AJ$680, MATCH($B271, signals_2020_05!$B$2:$B$680, 0), MATCH(C$2, signals_2020_05!$C$1:$AJ$1, 0))</f>
        <v>NaT</v>
      </c>
      <c r="D271" s="14">
        <f t="shared" si="24"/>
        <v>0</v>
      </c>
      <c r="E271" s="11">
        <f t="shared" si="25"/>
        <v>0</v>
      </c>
      <c r="F271" s="11">
        <f t="shared" ca="1" si="26"/>
        <v>0</v>
      </c>
      <c r="G271" s="9" t="e">
        <f>INDEX(signals_2019_10!$C$2:$AJ$682, MATCH($B271, signals_2019_10!$B$2:$B$682, 0), MATCH(C$2, signals_2019_10!$C$1:$AJ$1, 0))</f>
        <v>#N/A</v>
      </c>
      <c r="H271" s="14">
        <f t="shared" si="27"/>
        <v>0</v>
      </c>
      <c r="I271" s="11">
        <f t="shared" si="28"/>
        <v>0</v>
      </c>
      <c r="J271" s="11">
        <f t="shared" ca="1" si="29"/>
        <v>0</v>
      </c>
    </row>
    <row r="272" spans="1:10" hidden="1" x14ac:dyDescent="0.35">
      <c r="A272" s="20">
        <f>INDEX(signals_2020_05!$A$2:$A$680, MATCH(B272, signals_2020_05!$B$2:$B$680, 0))</f>
        <v>4374</v>
      </c>
      <c r="B272" s="2" t="str">
        <f>signals_2020_05!B262</f>
        <v>Generator temperature L3, StdDev</v>
      </c>
      <c r="C272" s="9" t="str">
        <f>INDEX(signals_2020_05!$C$2:$AJ$680, MATCH($B272, signals_2020_05!$B$2:$B$680, 0), MATCH(C$2, signals_2020_05!$C$1:$AJ$1, 0))</f>
        <v>NaT</v>
      </c>
      <c r="D272" s="14">
        <f t="shared" si="24"/>
        <v>0</v>
      </c>
      <c r="E272" s="11">
        <f t="shared" si="25"/>
        <v>0</v>
      </c>
      <c r="F272" s="11">
        <f t="shared" ca="1" si="26"/>
        <v>0</v>
      </c>
      <c r="G272" s="9" t="e">
        <f>INDEX(signals_2019_10!$C$2:$AJ$682, MATCH($B272, signals_2019_10!$B$2:$B$682, 0), MATCH(C$2, signals_2019_10!$C$1:$AJ$1, 0))</f>
        <v>#N/A</v>
      </c>
      <c r="H272" s="14">
        <f t="shared" si="27"/>
        <v>0</v>
      </c>
      <c r="I272" s="11">
        <f t="shared" si="28"/>
        <v>0</v>
      </c>
      <c r="J272" s="11">
        <f t="shared" ca="1" si="29"/>
        <v>0</v>
      </c>
    </row>
    <row r="273" spans="1:10" hidden="1" x14ac:dyDescent="0.35">
      <c r="A273" s="20">
        <f>INDEX(signals_2020_05!$A$2:$A$680, MATCH(B273, signals_2020_05!$B$2:$B$680, 0))</f>
        <v>3537</v>
      </c>
      <c r="B273" s="2" t="str">
        <f>signals_2020_05!B263</f>
        <v>Generator temperature, Max</v>
      </c>
      <c r="C273" s="9" t="str">
        <f>INDEX(signals_2020_05!$C$2:$AJ$680, MATCH($B273, signals_2020_05!$B$2:$B$680, 0), MATCH(C$2, signals_2020_05!$C$1:$AJ$1, 0))</f>
        <v>NaT</v>
      </c>
      <c r="D273" s="14">
        <f t="shared" si="24"/>
        <v>0</v>
      </c>
      <c r="E273" s="11">
        <f t="shared" si="25"/>
        <v>0</v>
      </c>
      <c r="F273" s="11">
        <f t="shared" ca="1" si="26"/>
        <v>0</v>
      </c>
      <c r="G273" s="9" t="e">
        <f>INDEX(signals_2019_10!$C$2:$AJ$682, MATCH($B273, signals_2019_10!$B$2:$B$682, 0), MATCH(C$2, signals_2019_10!$C$1:$AJ$1, 0))</f>
        <v>#N/A</v>
      </c>
      <c r="H273" s="14">
        <f t="shared" si="27"/>
        <v>0</v>
      </c>
      <c r="I273" s="11">
        <f t="shared" si="28"/>
        <v>0</v>
      </c>
      <c r="J273" s="11">
        <f t="shared" ca="1" si="29"/>
        <v>0</v>
      </c>
    </row>
    <row r="274" spans="1:10" hidden="1" x14ac:dyDescent="0.35">
      <c r="A274" s="20">
        <f>INDEX(signals_2020_05!$A$2:$A$680, MATCH(B274, signals_2020_05!$B$2:$B$680, 0))</f>
        <v>3538</v>
      </c>
      <c r="B274" s="2" t="str">
        <f>signals_2020_05!B264</f>
        <v>Generator temperature, Min</v>
      </c>
      <c r="C274" s="9" t="str">
        <f>INDEX(signals_2020_05!$C$2:$AJ$680, MATCH($B274, signals_2020_05!$B$2:$B$680, 0), MATCH(C$2, signals_2020_05!$C$1:$AJ$1, 0))</f>
        <v>NaT</v>
      </c>
      <c r="D274" s="14">
        <f t="shared" si="24"/>
        <v>0</v>
      </c>
      <c r="E274" s="11">
        <f t="shared" si="25"/>
        <v>0</v>
      </c>
      <c r="F274" s="11">
        <f t="shared" ca="1" si="26"/>
        <v>0</v>
      </c>
      <c r="G274" s="9" t="e">
        <f>INDEX(signals_2019_10!$C$2:$AJ$682, MATCH($B274, signals_2019_10!$B$2:$B$682, 0), MATCH(C$2, signals_2019_10!$C$1:$AJ$1, 0))</f>
        <v>#N/A</v>
      </c>
      <c r="H274" s="14">
        <f t="shared" si="27"/>
        <v>0</v>
      </c>
      <c r="I274" s="11">
        <f t="shared" si="28"/>
        <v>0</v>
      </c>
      <c r="J274" s="11">
        <f t="shared" ca="1" si="29"/>
        <v>0</v>
      </c>
    </row>
    <row r="275" spans="1:10" hidden="1" x14ac:dyDescent="0.35">
      <c r="A275" s="20">
        <f>INDEX(signals_2020_05!$A$2:$A$680, MATCH(B275, signals_2020_05!$B$2:$B$680, 0))</f>
        <v>3854</v>
      </c>
      <c r="B275" s="2" t="str">
        <f>signals_2020_05!B265</f>
        <v>Generator temperature, Std</v>
      </c>
      <c r="C275" s="9" t="str">
        <f>INDEX(signals_2020_05!$C$2:$AJ$680, MATCH($B275, signals_2020_05!$B$2:$B$680, 0), MATCH(C$2, signals_2020_05!$C$1:$AJ$1, 0))</f>
        <v>NaT</v>
      </c>
      <c r="D275" s="14">
        <f t="shared" si="24"/>
        <v>0</v>
      </c>
      <c r="E275" s="11">
        <f t="shared" si="25"/>
        <v>0</v>
      </c>
      <c r="F275" s="11">
        <f t="shared" ca="1" si="26"/>
        <v>0</v>
      </c>
      <c r="G275" s="9" t="e">
        <f>INDEX(signals_2019_10!$C$2:$AJ$682, MATCH($B275, signals_2019_10!$B$2:$B$682, 0), MATCH(C$2, signals_2019_10!$C$1:$AJ$1, 0))</f>
        <v>#N/A</v>
      </c>
      <c r="H275" s="14">
        <f t="shared" si="27"/>
        <v>0</v>
      </c>
      <c r="I275" s="11">
        <f t="shared" si="28"/>
        <v>0</v>
      </c>
      <c r="J275" s="11">
        <f t="shared" ca="1" si="29"/>
        <v>0</v>
      </c>
    </row>
    <row r="276" spans="1:10" hidden="1" x14ac:dyDescent="0.35">
      <c r="A276" s="20">
        <f>INDEX(signals_2020_05!$A$2:$A$680, MATCH(B276, signals_2020_05!$B$2:$B$680, 0))</f>
        <v>552</v>
      </c>
      <c r="B276" s="2" t="str">
        <f>signals_2020_05!B266</f>
        <v>GMS Current L1</v>
      </c>
      <c r="C276" s="9" t="str">
        <f>INDEX(signals_2020_05!$C$2:$AJ$680, MATCH($B276, signals_2020_05!$B$2:$B$680, 0), MATCH(C$2, signals_2020_05!$C$1:$AJ$1, 0))</f>
        <v>NaT</v>
      </c>
      <c r="D276" s="14">
        <f t="shared" si="24"/>
        <v>0</v>
      </c>
      <c r="E276" s="11">
        <f t="shared" si="25"/>
        <v>0</v>
      </c>
      <c r="F276" s="11">
        <f t="shared" ca="1" si="26"/>
        <v>0</v>
      </c>
      <c r="G276" s="9" t="str">
        <f>INDEX(signals_2019_10!$C$2:$AJ$682, MATCH($B276, signals_2019_10!$B$2:$B$682, 0), MATCH(C$2, signals_2019_10!$C$1:$AJ$1, 0))</f>
        <v>NaT</v>
      </c>
      <c r="H276" s="14">
        <f t="shared" si="27"/>
        <v>0</v>
      </c>
      <c r="I276" s="11">
        <f t="shared" si="28"/>
        <v>0</v>
      </c>
      <c r="J276" s="11">
        <f t="shared" ca="1" si="29"/>
        <v>0</v>
      </c>
    </row>
    <row r="277" spans="1:10" hidden="1" x14ac:dyDescent="0.35">
      <c r="A277" s="20">
        <f>INDEX(signals_2020_05!$A$2:$A$680, MATCH(B277, signals_2020_05!$B$2:$B$680, 0))</f>
        <v>553</v>
      </c>
      <c r="B277" s="2" t="str">
        <f>signals_2020_05!B267</f>
        <v>GMS Current L2</v>
      </c>
      <c r="C277" s="9" t="str">
        <f>INDEX(signals_2020_05!$C$2:$AJ$680, MATCH($B277, signals_2020_05!$B$2:$B$680, 0), MATCH(C$2, signals_2020_05!$C$1:$AJ$1, 0))</f>
        <v>NaT</v>
      </c>
      <c r="D277" s="14">
        <f t="shared" si="24"/>
        <v>0</v>
      </c>
      <c r="E277" s="11">
        <f t="shared" si="25"/>
        <v>0</v>
      </c>
      <c r="F277" s="11">
        <f t="shared" ca="1" si="26"/>
        <v>0</v>
      </c>
      <c r="G277" s="9" t="str">
        <f>INDEX(signals_2019_10!$C$2:$AJ$682, MATCH($B277, signals_2019_10!$B$2:$B$682, 0), MATCH(C$2, signals_2019_10!$C$1:$AJ$1, 0))</f>
        <v>NaT</v>
      </c>
      <c r="H277" s="14">
        <f t="shared" si="27"/>
        <v>0</v>
      </c>
      <c r="I277" s="11">
        <f t="shared" si="28"/>
        <v>0</v>
      </c>
      <c r="J277" s="11">
        <f t="shared" ca="1" si="29"/>
        <v>0</v>
      </c>
    </row>
    <row r="278" spans="1:10" hidden="1" x14ac:dyDescent="0.35">
      <c r="A278" s="20">
        <f>INDEX(signals_2020_05!$A$2:$A$680, MATCH(B278, signals_2020_05!$B$2:$B$680, 0))</f>
        <v>554</v>
      </c>
      <c r="B278" s="2" t="str">
        <f>signals_2020_05!B268</f>
        <v>GMS Current L3</v>
      </c>
      <c r="C278" s="9" t="str">
        <f>INDEX(signals_2020_05!$C$2:$AJ$680, MATCH($B278, signals_2020_05!$B$2:$B$680, 0), MATCH(C$2, signals_2020_05!$C$1:$AJ$1, 0))</f>
        <v>NaT</v>
      </c>
      <c r="D278" s="14">
        <f t="shared" si="24"/>
        <v>0</v>
      </c>
      <c r="E278" s="11">
        <f t="shared" si="25"/>
        <v>0</v>
      </c>
      <c r="F278" s="11">
        <f t="shared" ca="1" si="26"/>
        <v>0</v>
      </c>
      <c r="G278" s="9" t="str">
        <f>INDEX(signals_2019_10!$C$2:$AJ$682, MATCH($B278, signals_2019_10!$B$2:$B$682, 0), MATCH(C$2, signals_2019_10!$C$1:$AJ$1, 0))</f>
        <v>NaT</v>
      </c>
      <c r="H278" s="14">
        <f t="shared" si="27"/>
        <v>0</v>
      </c>
      <c r="I278" s="11">
        <f t="shared" si="28"/>
        <v>0</v>
      </c>
      <c r="J278" s="11">
        <f t="shared" ca="1" si="29"/>
        <v>0</v>
      </c>
    </row>
    <row r="279" spans="1:10" hidden="1" x14ac:dyDescent="0.35">
      <c r="A279" s="20">
        <f>INDEX(signals_2020_05!$A$2:$A$680, MATCH(B279, signals_2020_05!$B$2:$B$680, 0))</f>
        <v>560</v>
      </c>
      <c r="B279" s="2" t="str">
        <f>signals_2020_05!B269</f>
        <v>GMS Energy Export</v>
      </c>
      <c r="C279" s="9" t="str">
        <f>INDEX(signals_2020_05!$C$2:$AJ$680, MATCH($B279, signals_2020_05!$B$2:$B$680, 0), MATCH(C$2, signals_2020_05!$C$1:$AJ$1, 0))</f>
        <v>NaT</v>
      </c>
      <c r="D279" s="14">
        <f t="shared" si="24"/>
        <v>0</v>
      </c>
      <c r="E279" s="11">
        <f t="shared" si="25"/>
        <v>0</v>
      </c>
      <c r="F279" s="11">
        <f t="shared" ca="1" si="26"/>
        <v>0</v>
      </c>
      <c r="G279" s="9" t="str">
        <f>INDEX(signals_2019_10!$C$2:$AJ$682, MATCH($B279, signals_2019_10!$B$2:$B$682, 0), MATCH(C$2, signals_2019_10!$C$1:$AJ$1, 0))</f>
        <v>NaT</v>
      </c>
      <c r="H279" s="14">
        <f t="shared" si="27"/>
        <v>0</v>
      </c>
      <c r="I279" s="11">
        <f t="shared" si="28"/>
        <v>0</v>
      </c>
      <c r="J279" s="11">
        <f t="shared" ca="1" si="29"/>
        <v>0</v>
      </c>
    </row>
    <row r="280" spans="1:10" hidden="1" x14ac:dyDescent="0.35">
      <c r="A280" s="20">
        <f>INDEX(signals_2020_05!$A$2:$A$680, MATCH(B280, signals_2020_05!$B$2:$B$680, 0))</f>
        <v>562</v>
      </c>
      <c r="B280" s="2" t="str">
        <f>signals_2020_05!B270</f>
        <v>GMS Energy Import</v>
      </c>
      <c r="C280" s="9" t="str">
        <f>INDEX(signals_2020_05!$C$2:$AJ$680, MATCH($B280, signals_2020_05!$B$2:$B$680, 0), MATCH(C$2, signals_2020_05!$C$1:$AJ$1, 0))</f>
        <v>NaT</v>
      </c>
      <c r="D280" s="14">
        <f t="shared" si="24"/>
        <v>0</v>
      </c>
      <c r="E280" s="11">
        <f t="shared" si="25"/>
        <v>0</v>
      </c>
      <c r="F280" s="11">
        <f t="shared" ca="1" si="26"/>
        <v>0</v>
      </c>
      <c r="G280" s="9" t="str">
        <f>INDEX(signals_2019_10!$C$2:$AJ$682, MATCH($B280, signals_2019_10!$B$2:$B$682, 0), MATCH(C$2, signals_2019_10!$C$1:$AJ$1, 0))</f>
        <v>NaT</v>
      </c>
      <c r="H280" s="14">
        <f t="shared" si="27"/>
        <v>0</v>
      </c>
      <c r="I280" s="11">
        <f t="shared" si="28"/>
        <v>0</v>
      </c>
      <c r="J280" s="11">
        <f t="shared" ca="1" si="29"/>
        <v>0</v>
      </c>
    </row>
    <row r="281" spans="1:10" hidden="1" x14ac:dyDescent="0.35">
      <c r="A281" s="20">
        <f>INDEX(signals_2020_05!$A$2:$A$680, MATCH(B281, signals_2020_05!$B$2:$B$680, 0))</f>
        <v>565</v>
      </c>
      <c r="B281" s="2" t="str">
        <f>signals_2020_05!B271</f>
        <v>GMS Grid frequency</v>
      </c>
      <c r="C281" s="9" t="str">
        <f>INDEX(signals_2020_05!$C$2:$AJ$680, MATCH($B281, signals_2020_05!$B$2:$B$680, 0), MATCH(C$2, signals_2020_05!$C$1:$AJ$1, 0))</f>
        <v>NaT</v>
      </c>
      <c r="D281" s="14">
        <f t="shared" si="24"/>
        <v>0</v>
      </c>
      <c r="E281" s="11">
        <f t="shared" si="25"/>
        <v>0</v>
      </c>
      <c r="F281" s="11">
        <f t="shared" ca="1" si="26"/>
        <v>0</v>
      </c>
      <c r="G281" s="9" t="str">
        <f>INDEX(signals_2019_10!$C$2:$AJ$682, MATCH($B281, signals_2019_10!$B$2:$B$682, 0), MATCH(C$2, signals_2019_10!$C$1:$AJ$1, 0))</f>
        <v>NaT</v>
      </c>
      <c r="H281" s="14">
        <f t="shared" si="27"/>
        <v>0</v>
      </c>
      <c r="I281" s="11">
        <f t="shared" si="28"/>
        <v>0</v>
      </c>
      <c r="J281" s="11">
        <f t="shared" ca="1" si="29"/>
        <v>0</v>
      </c>
    </row>
    <row r="282" spans="1:10" hidden="1" x14ac:dyDescent="0.35">
      <c r="A282" s="20">
        <f>INDEX(signals_2020_05!$A$2:$A$680, MATCH(B282, signals_2020_05!$B$2:$B$680, 0))</f>
        <v>558</v>
      </c>
      <c r="B282" s="2" t="str">
        <f>signals_2020_05!B272</f>
        <v>GMS Power</v>
      </c>
      <c r="C282" s="9" t="str">
        <f>INDEX(signals_2020_05!$C$2:$AJ$680, MATCH($B282, signals_2020_05!$B$2:$B$680, 0), MATCH(C$2, signals_2020_05!$C$1:$AJ$1, 0))</f>
        <v>NaT</v>
      </c>
      <c r="D282" s="14">
        <f t="shared" si="24"/>
        <v>0</v>
      </c>
      <c r="E282" s="11">
        <f t="shared" si="25"/>
        <v>0</v>
      </c>
      <c r="F282" s="11">
        <f t="shared" ca="1" si="26"/>
        <v>0</v>
      </c>
      <c r="G282" s="9" t="str">
        <f>INDEX(signals_2019_10!$C$2:$AJ$682, MATCH($B282, signals_2019_10!$B$2:$B$682, 0), MATCH(C$2, signals_2019_10!$C$1:$AJ$1, 0))</f>
        <v>NaT</v>
      </c>
      <c r="H282" s="14">
        <f t="shared" si="27"/>
        <v>0</v>
      </c>
      <c r="I282" s="11">
        <f t="shared" si="28"/>
        <v>0</v>
      </c>
      <c r="J282" s="11">
        <f t="shared" ca="1" si="29"/>
        <v>0</v>
      </c>
    </row>
    <row r="283" spans="1:10" hidden="1" x14ac:dyDescent="0.35">
      <c r="A283" s="20">
        <f>INDEX(signals_2020_05!$A$2:$A$680, MATCH(B283, signals_2020_05!$B$2:$B$680, 0))</f>
        <v>564</v>
      </c>
      <c r="B283" s="2" t="str">
        <f>signals_2020_05!B273</f>
        <v>GMS Power factor (cosphi)</v>
      </c>
      <c r="C283" s="9" t="str">
        <f>INDEX(signals_2020_05!$C$2:$AJ$680, MATCH($B283, signals_2020_05!$B$2:$B$680, 0), MATCH(C$2, signals_2020_05!$C$1:$AJ$1, 0))</f>
        <v>NaT</v>
      </c>
      <c r="D283" s="14">
        <f t="shared" si="24"/>
        <v>0</v>
      </c>
      <c r="E283" s="11">
        <f t="shared" si="25"/>
        <v>0</v>
      </c>
      <c r="F283" s="11">
        <f t="shared" ca="1" si="26"/>
        <v>0</v>
      </c>
      <c r="G283" s="9" t="str">
        <f>INDEX(signals_2019_10!$C$2:$AJ$682, MATCH($B283, signals_2019_10!$B$2:$B$682, 0), MATCH(C$2, signals_2019_10!$C$1:$AJ$1, 0))</f>
        <v>NaT</v>
      </c>
      <c r="H283" s="14">
        <f t="shared" si="27"/>
        <v>0</v>
      </c>
      <c r="I283" s="11">
        <f t="shared" si="28"/>
        <v>0</v>
      </c>
      <c r="J283" s="11">
        <f t="shared" ca="1" si="29"/>
        <v>0</v>
      </c>
    </row>
    <row r="284" spans="1:10" hidden="1" x14ac:dyDescent="0.35">
      <c r="A284" s="20">
        <f>INDEX(signals_2020_05!$A$2:$A$680, MATCH(B284, signals_2020_05!$B$2:$B$680, 0))</f>
        <v>561</v>
      </c>
      <c r="B284" s="2" t="str">
        <f>signals_2020_05!B274</f>
        <v>GMS Reactive Energy Export</v>
      </c>
      <c r="C284" s="9" t="str">
        <f>INDEX(signals_2020_05!$C$2:$AJ$680, MATCH($B284, signals_2020_05!$B$2:$B$680, 0), MATCH(C$2, signals_2020_05!$C$1:$AJ$1, 0))</f>
        <v>NaT</v>
      </c>
      <c r="D284" s="14">
        <f t="shared" si="24"/>
        <v>0</v>
      </c>
      <c r="E284" s="11">
        <f t="shared" si="25"/>
        <v>0</v>
      </c>
      <c r="F284" s="11">
        <f t="shared" ca="1" si="26"/>
        <v>0</v>
      </c>
      <c r="G284" s="9" t="str">
        <f>INDEX(signals_2019_10!$C$2:$AJ$682, MATCH($B284, signals_2019_10!$B$2:$B$682, 0), MATCH(C$2, signals_2019_10!$C$1:$AJ$1, 0))</f>
        <v>NaT</v>
      </c>
      <c r="H284" s="14">
        <f t="shared" si="27"/>
        <v>0</v>
      </c>
      <c r="I284" s="11">
        <f t="shared" si="28"/>
        <v>0</v>
      </c>
      <c r="J284" s="11">
        <f t="shared" ca="1" si="29"/>
        <v>0</v>
      </c>
    </row>
    <row r="285" spans="1:10" hidden="1" x14ac:dyDescent="0.35">
      <c r="A285" s="20">
        <f>INDEX(signals_2020_05!$A$2:$A$680, MATCH(B285, signals_2020_05!$B$2:$B$680, 0))</f>
        <v>563</v>
      </c>
      <c r="B285" s="2" t="str">
        <f>signals_2020_05!B275</f>
        <v>GMS Reactive Energy Import</v>
      </c>
      <c r="C285" s="9" t="str">
        <f>INDEX(signals_2020_05!$C$2:$AJ$680, MATCH($B285, signals_2020_05!$B$2:$B$680, 0), MATCH(C$2, signals_2020_05!$C$1:$AJ$1, 0))</f>
        <v>NaT</v>
      </c>
      <c r="D285" s="14">
        <f t="shared" si="24"/>
        <v>0</v>
      </c>
      <c r="E285" s="11">
        <f t="shared" si="25"/>
        <v>0</v>
      </c>
      <c r="F285" s="11">
        <f t="shared" ca="1" si="26"/>
        <v>0</v>
      </c>
      <c r="G285" s="9" t="str">
        <f>INDEX(signals_2019_10!$C$2:$AJ$682, MATCH($B285, signals_2019_10!$B$2:$B$682, 0), MATCH(C$2, signals_2019_10!$C$1:$AJ$1, 0))</f>
        <v>NaT</v>
      </c>
      <c r="H285" s="14">
        <f t="shared" si="27"/>
        <v>0</v>
      </c>
      <c r="I285" s="11">
        <f t="shared" si="28"/>
        <v>0</v>
      </c>
      <c r="J285" s="11">
        <f t="shared" ca="1" si="29"/>
        <v>0</v>
      </c>
    </row>
    <row r="286" spans="1:10" hidden="1" x14ac:dyDescent="0.35">
      <c r="A286" s="20">
        <f>INDEX(signals_2020_05!$A$2:$A$680, MATCH(B286, signals_2020_05!$B$2:$B$680, 0))</f>
        <v>559</v>
      </c>
      <c r="B286" s="2" t="str">
        <f>signals_2020_05!B276</f>
        <v>GMS Reactive power</v>
      </c>
      <c r="C286" s="9" t="str">
        <f>INDEX(signals_2020_05!$C$2:$AJ$680, MATCH($B286, signals_2020_05!$B$2:$B$680, 0), MATCH(C$2, signals_2020_05!$C$1:$AJ$1, 0))</f>
        <v>NaT</v>
      </c>
      <c r="D286" s="14">
        <f t="shared" si="24"/>
        <v>0</v>
      </c>
      <c r="E286" s="11">
        <f t="shared" si="25"/>
        <v>0</v>
      </c>
      <c r="F286" s="11">
        <f t="shared" ca="1" si="26"/>
        <v>0</v>
      </c>
      <c r="G286" s="9" t="str">
        <f>INDEX(signals_2019_10!$C$2:$AJ$682, MATCH($B286, signals_2019_10!$B$2:$B$682, 0), MATCH(C$2, signals_2019_10!$C$1:$AJ$1, 0))</f>
        <v>NaT</v>
      </c>
      <c r="H286" s="14">
        <f t="shared" si="27"/>
        <v>0</v>
      </c>
      <c r="I286" s="11">
        <f t="shared" si="28"/>
        <v>0</v>
      </c>
      <c r="J286" s="11">
        <f t="shared" ca="1" si="29"/>
        <v>0</v>
      </c>
    </row>
    <row r="287" spans="1:10" hidden="1" x14ac:dyDescent="0.35">
      <c r="A287" s="20">
        <f>INDEX(signals_2020_05!$A$2:$A$680, MATCH(B287, signals_2020_05!$B$2:$B$680, 0))</f>
        <v>550</v>
      </c>
      <c r="B287" s="2" t="str">
        <f>signals_2020_05!B277</f>
        <v>GMS Total Harmonic Distortion</v>
      </c>
      <c r="C287" s="9" t="str">
        <f>INDEX(signals_2020_05!$C$2:$AJ$680, MATCH($B287, signals_2020_05!$B$2:$B$680, 0), MATCH(C$2, signals_2020_05!$C$1:$AJ$1, 0))</f>
        <v>NaT</v>
      </c>
      <c r="D287" s="14">
        <f t="shared" si="24"/>
        <v>0</v>
      </c>
      <c r="E287" s="11">
        <f t="shared" si="25"/>
        <v>0</v>
      </c>
      <c r="F287" s="11">
        <f t="shared" ca="1" si="26"/>
        <v>0</v>
      </c>
      <c r="G287" s="9" t="str">
        <f>INDEX(signals_2019_10!$C$2:$AJ$682, MATCH($B287, signals_2019_10!$B$2:$B$682, 0), MATCH(C$2, signals_2019_10!$C$1:$AJ$1, 0))</f>
        <v>NaT</v>
      </c>
      <c r="H287" s="14">
        <f t="shared" si="27"/>
        <v>0</v>
      </c>
      <c r="I287" s="11">
        <f t="shared" si="28"/>
        <v>0</v>
      </c>
      <c r="J287" s="11">
        <f t="shared" ca="1" si="29"/>
        <v>0</v>
      </c>
    </row>
    <row r="288" spans="1:10" hidden="1" x14ac:dyDescent="0.35">
      <c r="A288" s="20">
        <f>INDEX(signals_2020_05!$A$2:$A$680, MATCH(B288, signals_2020_05!$B$2:$B$680, 0))</f>
        <v>555</v>
      </c>
      <c r="B288" s="2" t="str">
        <f>signals_2020_05!B278</f>
        <v>GMS Voltage L1</v>
      </c>
      <c r="C288" s="9" t="str">
        <f>INDEX(signals_2020_05!$C$2:$AJ$680, MATCH($B288, signals_2020_05!$B$2:$B$680, 0), MATCH(C$2, signals_2020_05!$C$1:$AJ$1, 0))</f>
        <v>NaT</v>
      </c>
      <c r="D288" s="14">
        <f t="shared" si="24"/>
        <v>0</v>
      </c>
      <c r="E288" s="11">
        <f t="shared" si="25"/>
        <v>0</v>
      </c>
      <c r="F288" s="11">
        <f t="shared" ca="1" si="26"/>
        <v>0</v>
      </c>
      <c r="G288" s="9" t="str">
        <f>INDEX(signals_2019_10!$C$2:$AJ$682, MATCH($B288, signals_2019_10!$B$2:$B$682, 0), MATCH(C$2, signals_2019_10!$C$1:$AJ$1, 0))</f>
        <v>NaT</v>
      </c>
      <c r="H288" s="14">
        <f t="shared" si="27"/>
        <v>0</v>
      </c>
      <c r="I288" s="11">
        <f t="shared" si="28"/>
        <v>0</v>
      </c>
      <c r="J288" s="11">
        <f t="shared" ca="1" si="29"/>
        <v>0</v>
      </c>
    </row>
    <row r="289" spans="1:10" hidden="1" x14ac:dyDescent="0.35">
      <c r="A289" s="20">
        <f>INDEX(signals_2020_05!$A$2:$A$680, MATCH(B289, signals_2020_05!$B$2:$B$680, 0))</f>
        <v>556</v>
      </c>
      <c r="B289" s="2" t="str">
        <f>signals_2020_05!B279</f>
        <v>GMS Voltage L2</v>
      </c>
      <c r="C289" s="9" t="str">
        <f>INDEX(signals_2020_05!$C$2:$AJ$680, MATCH($B289, signals_2020_05!$B$2:$B$680, 0), MATCH(C$2, signals_2020_05!$C$1:$AJ$1, 0))</f>
        <v>NaT</v>
      </c>
      <c r="D289" s="14">
        <f t="shared" si="24"/>
        <v>0</v>
      </c>
      <c r="E289" s="11">
        <f t="shared" si="25"/>
        <v>0</v>
      </c>
      <c r="F289" s="11">
        <f t="shared" ca="1" si="26"/>
        <v>0</v>
      </c>
      <c r="G289" s="9" t="str">
        <f>INDEX(signals_2019_10!$C$2:$AJ$682, MATCH($B289, signals_2019_10!$B$2:$B$682, 0), MATCH(C$2, signals_2019_10!$C$1:$AJ$1, 0))</f>
        <v>NaT</v>
      </c>
      <c r="H289" s="14">
        <f t="shared" si="27"/>
        <v>0</v>
      </c>
      <c r="I289" s="11">
        <f t="shared" si="28"/>
        <v>0</v>
      </c>
      <c r="J289" s="11">
        <f t="shared" ca="1" si="29"/>
        <v>0</v>
      </c>
    </row>
    <row r="290" spans="1:10" hidden="1" x14ac:dyDescent="0.35">
      <c r="A290" s="20">
        <f>INDEX(signals_2020_05!$A$2:$A$680, MATCH(B290, signals_2020_05!$B$2:$B$680, 0))</f>
        <v>557</v>
      </c>
      <c r="B290" s="2" t="str">
        <f>signals_2020_05!B280</f>
        <v>GMS Voltage L3</v>
      </c>
      <c r="C290" s="9" t="str">
        <f>INDEX(signals_2020_05!$C$2:$AJ$680, MATCH($B290, signals_2020_05!$B$2:$B$680, 0), MATCH(C$2, signals_2020_05!$C$1:$AJ$1, 0))</f>
        <v>NaT</v>
      </c>
      <c r="D290" s="14">
        <f t="shared" si="24"/>
        <v>0</v>
      </c>
      <c r="E290" s="11">
        <f t="shared" si="25"/>
        <v>0</v>
      </c>
      <c r="F290" s="11">
        <f t="shared" ca="1" si="26"/>
        <v>0</v>
      </c>
      <c r="G290" s="9" t="str">
        <f>INDEX(signals_2019_10!$C$2:$AJ$682, MATCH($B290, signals_2019_10!$B$2:$B$682, 0), MATCH(C$2, signals_2019_10!$C$1:$AJ$1, 0))</f>
        <v>NaT</v>
      </c>
      <c r="H290" s="14">
        <f t="shared" si="27"/>
        <v>0</v>
      </c>
      <c r="I290" s="11">
        <f t="shared" si="28"/>
        <v>0</v>
      </c>
      <c r="J290" s="11">
        <f t="shared" ca="1" si="29"/>
        <v>0</v>
      </c>
    </row>
    <row r="291" spans="1:10" hidden="1" x14ac:dyDescent="0.35">
      <c r="A291" s="20">
        <f>INDEX(signals_2020_05!$A$2:$A$680, MATCH(B291, signals_2020_05!$B$2:$B$680, 0))</f>
        <v>551</v>
      </c>
      <c r="B291" s="2" t="str">
        <f>signals_2020_05!B281</f>
        <v>GMS WPS state</v>
      </c>
      <c r="C291" s="9" t="str">
        <f>INDEX(signals_2020_05!$C$2:$AJ$680, MATCH($B291, signals_2020_05!$B$2:$B$680, 0), MATCH(C$2, signals_2020_05!$C$1:$AJ$1, 0))</f>
        <v>NaT</v>
      </c>
      <c r="D291" s="14">
        <f t="shared" si="24"/>
        <v>0</v>
      </c>
      <c r="E291" s="11">
        <f t="shared" si="25"/>
        <v>0</v>
      </c>
      <c r="F291" s="11">
        <f t="shared" ca="1" si="26"/>
        <v>0</v>
      </c>
      <c r="G291" s="9" t="str">
        <f>INDEX(signals_2019_10!$C$2:$AJ$682, MATCH($B291, signals_2019_10!$B$2:$B$682, 0), MATCH(C$2, signals_2019_10!$C$1:$AJ$1, 0))</f>
        <v>NaT</v>
      </c>
      <c r="H291" s="14">
        <f t="shared" si="27"/>
        <v>0</v>
      </c>
      <c r="I291" s="11">
        <f t="shared" si="28"/>
        <v>0</v>
      </c>
      <c r="J291" s="11">
        <f t="shared" ca="1" si="29"/>
        <v>0</v>
      </c>
    </row>
    <row r="292" spans="1:10" hidden="1" x14ac:dyDescent="0.35">
      <c r="A292" s="20">
        <f>INDEX(signals_2020_05!$A$2:$A$680, MATCH(B292, signals_2020_05!$B$2:$B$680, 0))</f>
        <v>129</v>
      </c>
      <c r="B292" s="2" t="str">
        <f>signals_2020_05!B282</f>
        <v>Grid busbar temperature</v>
      </c>
      <c r="C292" s="9" t="str">
        <f>INDEX(signals_2020_05!$C$2:$AJ$680, MATCH($B292, signals_2020_05!$B$2:$B$680, 0), MATCH(C$2, signals_2020_05!$C$1:$AJ$1, 0))</f>
        <v>NaT</v>
      </c>
      <c r="D292" s="14">
        <f t="shared" si="24"/>
        <v>0</v>
      </c>
      <c r="E292" s="11">
        <f t="shared" si="25"/>
        <v>0</v>
      </c>
      <c r="F292" s="11">
        <f t="shared" ca="1" si="26"/>
        <v>0</v>
      </c>
      <c r="G292" s="9" t="str">
        <f>INDEX(signals_2019_10!$C$2:$AJ$682, MATCH($B292, signals_2019_10!$B$2:$B$682, 0), MATCH(C$2, signals_2019_10!$C$1:$AJ$1, 0))</f>
        <v>NaT</v>
      </c>
      <c r="H292" s="14">
        <f t="shared" si="27"/>
        <v>0</v>
      </c>
      <c r="I292" s="11">
        <f t="shared" si="28"/>
        <v>0</v>
      </c>
      <c r="J292" s="11">
        <f t="shared" ca="1" si="29"/>
        <v>0</v>
      </c>
    </row>
    <row r="293" spans="1:10" hidden="1" x14ac:dyDescent="0.35">
      <c r="A293" s="20">
        <f>INDEX(signals_2020_05!$A$2:$A$680, MATCH(B293, signals_2020_05!$B$2:$B$680, 0))</f>
        <v>297</v>
      </c>
      <c r="B293" s="2" t="str">
        <f>signals_2020_05!B283</f>
        <v>Grid current</v>
      </c>
      <c r="C293" s="9" t="str">
        <f>INDEX(signals_2020_05!$C$2:$AJ$680, MATCH($B293, signals_2020_05!$B$2:$B$680, 0), MATCH(C$2, signals_2020_05!$C$1:$AJ$1, 0))</f>
        <v>NaT</v>
      </c>
      <c r="D293" s="14">
        <f t="shared" si="24"/>
        <v>0</v>
      </c>
      <c r="E293" s="11">
        <f t="shared" si="25"/>
        <v>0</v>
      </c>
      <c r="F293" s="11">
        <f t="shared" ca="1" si="26"/>
        <v>0</v>
      </c>
      <c r="G293" s="9" t="str">
        <f>INDEX(signals_2019_10!$C$2:$AJ$682, MATCH($B293, signals_2019_10!$B$2:$B$682, 0), MATCH(C$2, signals_2019_10!$C$1:$AJ$1, 0))</f>
        <v>NaT</v>
      </c>
      <c r="H293" s="14">
        <f t="shared" si="27"/>
        <v>0</v>
      </c>
      <c r="I293" s="11">
        <f t="shared" si="28"/>
        <v>0</v>
      </c>
      <c r="J293" s="11">
        <f t="shared" ca="1" si="29"/>
        <v>0</v>
      </c>
    </row>
    <row r="294" spans="1:10" hidden="1" x14ac:dyDescent="0.35">
      <c r="A294" s="20">
        <f>INDEX(signals_2020_05!$A$2:$A$680, MATCH(B294, signals_2020_05!$B$2:$B$680, 0))</f>
        <v>4094</v>
      </c>
      <c r="B294" s="2" t="str">
        <f>signals_2020_05!B284</f>
        <v>Grid current, Max</v>
      </c>
      <c r="C294" s="9" t="str">
        <f>INDEX(signals_2020_05!$C$2:$AJ$680, MATCH($B294, signals_2020_05!$B$2:$B$680, 0), MATCH(C$2, signals_2020_05!$C$1:$AJ$1, 0))</f>
        <v>NaT</v>
      </c>
      <c r="D294" s="14">
        <f t="shared" si="24"/>
        <v>0</v>
      </c>
      <c r="E294" s="11">
        <f t="shared" si="25"/>
        <v>0</v>
      </c>
      <c r="F294" s="11">
        <f t="shared" ca="1" si="26"/>
        <v>0</v>
      </c>
      <c r="G294" s="9" t="e">
        <f>INDEX(signals_2019_10!$C$2:$AJ$682, MATCH($B294, signals_2019_10!$B$2:$B$682, 0), MATCH(C$2, signals_2019_10!$C$1:$AJ$1, 0))</f>
        <v>#N/A</v>
      </c>
      <c r="H294" s="14">
        <f t="shared" si="27"/>
        <v>0</v>
      </c>
      <c r="I294" s="11">
        <f t="shared" si="28"/>
        <v>0</v>
      </c>
      <c r="J294" s="11">
        <f t="shared" ca="1" si="29"/>
        <v>0</v>
      </c>
    </row>
    <row r="295" spans="1:10" hidden="1" x14ac:dyDescent="0.35">
      <c r="A295" s="20">
        <f>INDEX(signals_2020_05!$A$2:$A$680, MATCH(B295, signals_2020_05!$B$2:$B$680, 0))</f>
        <v>4095</v>
      </c>
      <c r="B295" s="2" t="str">
        <f>signals_2020_05!B285</f>
        <v>Grid current, Min</v>
      </c>
      <c r="C295" s="9" t="str">
        <f>INDEX(signals_2020_05!$C$2:$AJ$680, MATCH($B295, signals_2020_05!$B$2:$B$680, 0), MATCH(C$2, signals_2020_05!$C$1:$AJ$1, 0))</f>
        <v>NaT</v>
      </c>
      <c r="D295" s="14">
        <f t="shared" si="24"/>
        <v>0</v>
      </c>
      <c r="E295" s="11">
        <f t="shared" si="25"/>
        <v>0</v>
      </c>
      <c r="F295" s="11">
        <f t="shared" ca="1" si="26"/>
        <v>0</v>
      </c>
      <c r="G295" s="9" t="e">
        <f>INDEX(signals_2019_10!$C$2:$AJ$682, MATCH($B295, signals_2019_10!$B$2:$B$682, 0), MATCH(C$2, signals_2019_10!$C$1:$AJ$1, 0))</f>
        <v>#N/A</v>
      </c>
      <c r="H295" s="14">
        <f t="shared" si="27"/>
        <v>0</v>
      </c>
      <c r="I295" s="11">
        <f t="shared" si="28"/>
        <v>0</v>
      </c>
      <c r="J295" s="11">
        <f t="shared" ca="1" si="29"/>
        <v>0</v>
      </c>
    </row>
    <row r="296" spans="1:10" hidden="1" x14ac:dyDescent="0.35">
      <c r="A296" s="20">
        <f>INDEX(signals_2020_05!$A$2:$A$680, MATCH(B296, signals_2020_05!$B$2:$B$680, 0))</f>
        <v>4096</v>
      </c>
      <c r="B296" s="2" t="str">
        <f>signals_2020_05!B286</f>
        <v>Grid current, StdDev</v>
      </c>
      <c r="C296" s="9" t="str">
        <f>INDEX(signals_2020_05!$C$2:$AJ$680, MATCH($B296, signals_2020_05!$B$2:$B$680, 0), MATCH(C$2, signals_2020_05!$C$1:$AJ$1, 0))</f>
        <v>NaT</v>
      </c>
      <c r="D296" s="14">
        <f t="shared" si="24"/>
        <v>0</v>
      </c>
      <c r="E296" s="11">
        <f t="shared" si="25"/>
        <v>0</v>
      </c>
      <c r="F296" s="11">
        <f t="shared" ca="1" si="26"/>
        <v>0</v>
      </c>
      <c r="G296" s="9" t="e">
        <f>INDEX(signals_2019_10!$C$2:$AJ$682, MATCH($B296, signals_2019_10!$B$2:$B$682, 0), MATCH(C$2, signals_2019_10!$C$1:$AJ$1, 0))</f>
        <v>#N/A</v>
      </c>
      <c r="H296" s="14">
        <f t="shared" si="27"/>
        <v>0</v>
      </c>
      <c r="I296" s="11">
        <f t="shared" si="28"/>
        <v>0</v>
      </c>
      <c r="J296" s="11">
        <f t="shared" ca="1" si="29"/>
        <v>0</v>
      </c>
    </row>
    <row r="297" spans="1:10" hidden="1" x14ac:dyDescent="0.35">
      <c r="A297" s="20">
        <f>INDEX(signals_2020_05!$A$2:$A$680, MATCH(B297, signals_2020_05!$B$2:$B$680, 0))</f>
        <v>325</v>
      </c>
      <c r="B297" s="2" t="str">
        <f>signals_2020_05!B287</f>
        <v>Grid Failure Time</v>
      </c>
      <c r="C297" s="9" t="str">
        <f>INDEX(signals_2020_05!$C$2:$AJ$680, MATCH($B297, signals_2020_05!$B$2:$B$680, 0), MATCH(C$2, signals_2020_05!$C$1:$AJ$1, 0))</f>
        <v>NaT</v>
      </c>
      <c r="D297" s="14">
        <f t="shared" si="24"/>
        <v>0</v>
      </c>
      <c r="E297" s="11">
        <f t="shared" si="25"/>
        <v>0</v>
      </c>
      <c r="F297" s="11">
        <f t="shared" ca="1" si="26"/>
        <v>0</v>
      </c>
      <c r="G297" s="9" t="str">
        <f>INDEX(signals_2019_10!$C$2:$AJ$682, MATCH($B297, signals_2019_10!$B$2:$B$682, 0), MATCH(C$2, signals_2019_10!$C$1:$AJ$1, 0))</f>
        <v>NaT</v>
      </c>
      <c r="H297" s="14">
        <f t="shared" si="27"/>
        <v>0</v>
      </c>
      <c r="I297" s="11">
        <f t="shared" si="28"/>
        <v>0</v>
      </c>
      <c r="J297" s="11">
        <f t="shared" ca="1" si="29"/>
        <v>0</v>
      </c>
    </row>
    <row r="298" spans="1:10" hidden="1" x14ac:dyDescent="0.35">
      <c r="A298" s="20">
        <f>INDEX(signals_2020_05!$A$2:$A$680, MATCH(B298, signals_2020_05!$B$2:$B$680, 0))</f>
        <v>291</v>
      </c>
      <c r="B298" s="2" t="str">
        <f>signals_2020_05!B288</f>
        <v>Grid filter B1 temperature</v>
      </c>
      <c r="C298" s="9" t="str">
        <f>INDEX(signals_2020_05!$C$2:$AJ$680, MATCH($B298, signals_2020_05!$B$2:$B$680, 0), MATCH(C$2, signals_2020_05!$C$1:$AJ$1, 0))</f>
        <v>NaT</v>
      </c>
      <c r="D298" s="14">
        <f t="shared" si="24"/>
        <v>0</v>
      </c>
      <c r="E298" s="11">
        <f t="shared" si="25"/>
        <v>0</v>
      </c>
      <c r="F298" s="11">
        <f t="shared" ca="1" si="26"/>
        <v>0</v>
      </c>
      <c r="G298" s="9" t="str">
        <f>INDEX(signals_2019_10!$C$2:$AJ$682, MATCH($B298, signals_2019_10!$B$2:$B$682, 0), MATCH(C$2, signals_2019_10!$C$1:$AJ$1, 0))</f>
        <v>NaT</v>
      </c>
      <c r="H298" s="14">
        <f t="shared" si="27"/>
        <v>0</v>
      </c>
      <c r="I298" s="11">
        <f t="shared" si="28"/>
        <v>0</v>
      </c>
      <c r="J298" s="11">
        <f t="shared" ca="1" si="29"/>
        <v>0</v>
      </c>
    </row>
    <row r="299" spans="1:10" hidden="1" x14ac:dyDescent="0.35">
      <c r="A299" s="20">
        <f>INDEX(signals_2020_05!$A$2:$A$680, MATCH(B299, signals_2020_05!$B$2:$B$680, 0))</f>
        <v>292</v>
      </c>
      <c r="B299" s="2" t="str">
        <f>signals_2020_05!B289</f>
        <v>Grid filter B2 temperature</v>
      </c>
      <c r="C299" s="9" t="str">
        <f>INDEX(signals_2020_05!$C$2:$AJ$680, MATCH($B299, signals_2020_05!$B$2:$B$680, 0), MATCH(C$2, signals_2020_05!$C$1:$AJ$1, 0))</f>
        <v>NaT</v>
      </c>
      <c r="D299" s="14">
        <f t="shared" si="24"/>
        <v>0</v>
      </c>
      <c r="E299" s="11">
        <f t="shared" si="25"/>
        <v>0</v>
      </c>
      <c r="F299" s="11">
        <f t="shared" ca="1" si="26"/>
        <v>0</v>
      </c>
      <c r="G299" s="9" t="str">
        <f>INDEX(signals_2019_10!$C$2:$AJ$682, MATCH($B299, signals_2019_10!$B$2:$B$682, 0), MATCH(C$2, signals_2019_10!$C$1:$AJ$1, 0))</f>
        <v>NaT</v>
      </c>
      <c r="H299" s="14">
        <f t="shared" si="27"/>
        <v>0</v>
      </c>
      <c r="I299" s="11">
        <f t="shared" si="28"/>
        <v>0</v>
      </c>
      <c r="J299" s="11">
        <f t="shared" ca="1" si="29"/>
        <v>0</v>
      </c>
    </row>
    <row r="300" spans="1:10" hidden="1" x14ac:dyDescent="0.35">
      <c r="A300" s="20">
        <f>INDEX(signals_2020_05!$A$2:$A$680, MATCH(B300, signals_2020_05!$B$2:$B$680, 0))</f>
        <v>293</v>
      </c>
      <c r="B300" s="2" t="str">
        <f>signals_2020_05!B290</f>
        <v>Grid filter B3 temperature</v>
      </c>
      <c r="C300" s="9" t="str">
        <f>INDEX(signals_2020_05!$C$2:$AJ$680, MATCH($B300, signals_2020_05!$B$2:$B$680, 0), MATCH(C$2, signals_2020_05!$C$1:$AJ$1, 0))</f>
        <v>NaT</v>
      </c>
      <c r="D300" s="14">
        <f t="shared" si="24"/>
        <v>0</v>
      </c>
      <c r="E300" s="11">
        <f t="shared" si="25"/>
        <v>0</v>
      </c>
      <c r="F300" s="11">
        <f t="shared" ca="1" si="26"/>
        <v>0</v>
      </c>
      <c r="G300" s="9" t="str">
        <f>INDEX(signals_2019_10!$C$2:$AJ$682, MATCH($B300, signals_2019_10!$B$2:$B$682, 0), MATCH(C$2, signals_2019_10!$C$1:$AJ$1, 0))</f>
        <v>NaT</v>
      </c>
      <c r="H300" s="14">
        <f t="shared" si="27"/>
        <v>0</v>
      </c>
      <c r="I300" s="11">
        <f t="shared" si="28"/>
        <v>0</v>
      </c>
      <c r="J300" s="11">
        <f t="shared" ca="1" si="29"/>
        <v>0</v>
      </c>
    </row>
    <row r="301" spans="1:10" x14ac:dyDescent="0.35">
      <c r="A301" s="20">
        <f>INDEX(signals_2020_05!$A$2:$A$680, MATCH(B301, signals_2020_05!$B$2:$B$680, 0))</f>
        <v>85</v>
      </c>
      <c r="B301" s="2" t="str">
        <f>signals_2020_05!B291</f>
        <v>Grid frequency</v>
      </c>
      <c r="C301" s="9">
        <f>INDEX(signals_2020_05!$C$2:$AJ$680, MATCH($B301, signals_2020_05!$B$2:$B$680, 0), MATCH(C$2, signals_2020_05!$C$1:$AJ$1, 0))</f>
        <v>43054.631944444445</v>
      </c>
      <c r="D301" s="14">
        <f t="shared" si="24"/>
        <v>1</v>
      </c>
      <c r="E301" s="11">
        <f t="shared" si="25"/>
        <v>1</v>
      </c>
      <c r="F301" s="11">
        <f t="shared" ca="1" si="26"/>
        <v>2.7</v>
      </c>
      <c r="G301" s="9">
        <f>INDEX(signals_2019_10!$C$2:$AJ$682, MATCH($B301, signals_2019_10!$B$2:$B$682, 0), MATCH(C$2, signals_2019_10!$C$1:$AJ$1, 0))</f>
        <v>43054.631944444445</v>
      </c>
      <c r="H301" s="14">
        <f t="shared" si="27"/>
        <v>1</v>
      </c>
      <c r="I301" s="11">
        <f t="shared" si="28"/>
        <v>1</v>
      </c>
      <c r="J301" s="11">
        <f t="shared" ca="1" si="29"/>
        <v>2.7</v>
      </c>
    </row>
    <row r="302" spans="1:10" hidden="1" x14ac:dyDescent="0.35">
      <c r="A302" s="20">
        <f>INDEX(signals_2020_05!$A$2:$A$680, MATCH(B302, signals_2020_05!$B$2:$B$680, 0))</f>
        <v>3517</v>
      </c>
      <c r="B302" s="2" t="str">
        <f>signals_2020_05!B292</f>
        <v>Grid frequency, Max</v>
      </c>
      <c r="C302" s="9" t="str">
        <f>INDEX(signals_2020_05!$C$2:$AJ$680, MATCH($B302, signals_2020_05!$B$2:$B$680, 0), MATCH(C$2, signals_2020_05!$C$1:$AJ$1, 0))</f>
        <v>NaT</v>
      </c>
      <c r="D302" s="14">
        <f t="shared" si="24"/>
        <v>0</v>
      </c>
      <c r="E302" s="11">
        <f t="shared" si="25"/>
        <v>0</v>
      </c>
      <c r="F302" s="11">
        <f t="shared" ca="1" si="26"/>
        <v>0</v>
      </c>
      <c r="G302" s="9" t="e">
        <f>INDEX(signals_2019_10!$C$2:$AJ$682, MATCH($B302, signals_2019_10!$B$2:$B$682, 0), MATCH(C$2, signals_2019_10!$C$1:$AJ$1, 0))</f>
        <v>#N/A</v>
      </c>
      <c r="H302" s="14">
        <f t="shared" si="27"/>
        <v>0</v>
      </c>
      <c r="I302" s="11">
        <f t="shared" si="28"/>
        <v>0</v>
      </c>
      <c r="J302" s="11">
        <f t="shared" ca="1" si="29"/>
        <v>0</v>
      </c>
    </row>
    <row r="303" spans="1:10" hidden="1" x14ac:dyDescent="0.35">
      <c r="A303" s="20">
        <f>INDEX(signals_2020_05!$A$2:$A$680, MATCH(B303, signals_2020_05!$B$2:$B$680, 0))</f>
        <v>3518</v>
      </c>
      <c r="B303" s="2" t="str">
        <f>signals_2020_05!B293</f>
        <v>Grid frequency, Min</v>
      </c>
      <c r="C303" s="9" t="str">
        <f>INDEX(signals_2020_05!$C$2:$AJ$680, MATCH($B303, signals_2020_05!$B$2:$B$680, 0), MATCH(C$2, signals_2020_05!$C$1:$AJ$1, 0))</f>
        <v>NaT</v>
      </c>
      <c r="D303" s="14">
        <f t="shared" si="24"/>
        <v>0</v>
      </c>
      <c r="E303" s="11">
        <f t="shared" si="25"/>
        <v>0</v>
      </c>
      <c r="F303" s="11">
        <f t="shared" ca="1" si="26"/>
        <v>0</v>
      </c>
      <c r="G303" s="9" t="e">
        <f>INDEX(signals_2019_10!$C$2:$AJ$682, MATCH($B303, signals_2019_10!$B$2:$B$682, 0), MATCH(C$2, signals_2019_10!$C$1:$AJ$1, 0))</f>
        <v>#N/A</v>
      </c>
      <c r="H303" s="14">
        <f t="shared" si="27"/>
        <v>0</v>
      </c>
      <c r="I303" s="11">
        <f t="shared" si="28"/>
        <v>0</v>
      </c>
      <c r="J303" s="11">
        <f t="shared" ca="1" si="29"/>
        <v>0</v>
      </c>
    </row>
    <row r="304" spans="1:10" hidden="1" x14ac:dyDescent="0.35">
      <c r="A304" s="20">
        <f>INDEX(signals_2020_05!$A$2:$A$680, MATCH(B304, signals_2020_05!$B$2:$B$680, 0))</f>
        <v>3519</v>
      </c>
      <c r="B304" s="2" t="str">
        <f>signals_2020_05!B294</f>
        <v>Grid frequency, Standard deviation</v>
      </c>
      <c r="C304" s="9" t="str">
        <f>INDEX(signals_2020_05!$C$2:$AJ$680, MATCH($B304, signals_2020_05!$B$2:$B$680, 0), MATCH(C$2, signals_2020_05!$C$1:$AJ$1, 0))</f>
        <v>NaT</v>
      </c>
      <c r="D304" s="14">
        <f t="shared" si="24"/>
        <v>0</v>
      </c>
      <c r="E304" s="11">
        <f t="shared" si="25"/>
        <v>0</v>
      </c>
      <c r="F304" s="11">
        <f t="shared" ca="1" si="26"/>
        <v>0</v>
      </c>
      <c r="G304" s="9" t="e">
        <f>INDEX(signals_2019_10!$C$2:$AJ$682, MATCH($B304, signals_2019_10!$B$2:$B$682, 0), MATCH(C$2, signals_2019_10!$C$1:$AJ$1, 0))</f>
        <v>#N/A</v>
      </c>
      <c r="H304" s="14">
        <f t="shared" si="27"/>
        <v>0</v>
      </c>
      <c r="I304" s="11">
        <f t="shared" si="28"/>
        <v>0</v>
      </c>
      <c r="J304" s="11">
        <f t="shared" ca="1" si="29"/>
        <v>0</v>
      </c>
    </row>
    <row r="305" spans="1:10" hidden="1" x14ac:dyDescent="0.35">
      <c r="A305" s="20">
        <f>INDEX(signals_2020_05!$A$2:$A$680, MATCH(B305, signals_2020_05!$B$2:$B$680, 0))</f>
        <v>134</v>
      </c>
      <c r="B305" s="2" t="str">
        <f>signals_2020_05!B295</f>
        <v>Grid inverter temperature L1</v>
      </c>
      <c r="C305" s="9" t="str">
        <f>INDEX(signals_2020_05!$C$2:$AJ$680, MATCH($B305, signals_2020_05!$B$2:$B$680, 0), MATCH(C$2, signals_2020_05!$C$1:$AJ$1, 0))</f>
        <v>NaT</v>
      </c>
      <c r="D305" s="14">
        <f t="shared" si="24"/>
        <v>0</v>
      </c>
      <c r="E305" s="11">
        <f t="shared" si="25"/>
        <v>0</v>
      </c>
      <c r="F305" s="11">
        <f t="shared" ca="1" si="26"/>
        <v>0</v>
      </c>
      <c r="G305" s="9" t="str">
        <f>INDEX(signals_2019_10!$C$2:$AJ$682, MATCH($B305, signals_2019_10!$B$2:$B$682, 0), MATCH(C$2, signals_2019_10!$C$1:$AJ$1, 0))</f>
        <v>NaT</v>
      </c>
      <c r="H305" s="14">
        <f t="shared" si="27"/>
        <v>0</v>
      </c>
      <c r="I305" s="11">
        <f t="shared" si="28"/>
        <v>0</v>
      </c>
      <c r="J305" s="11">
        <f t="shared" ca="1" si="29"/>
        <v>0</v>
      </c>
    </row>
    <row r="306" spans="1:10" hidden="1" x14ac:dyDescent="0.35">
      <c r="A306" s="20">
        <f>INDEX(signals_2020_05!$A$2:$A$680, MATCH(B306, signals_2020_05!$B$2:$B$680, 0))</f>
        <v>205</v>
      </c>
      <c r="B306" s="2" t="str">
        <f>signals_2020_05!B296</f>
        <v>Grid OK Time</v>
      </c>
      <c r="C306" s="9" t="str">
        <f>INDEX(signals_2020_05!$C$2:$AJ$680, MATCH($B306, signals_2020_05!$B$2:$B$680, 0), MATCH(C$2, signals_2020_05!$C$1:$AJ$1, 0))</f>
        <v>NaT</v>
      </c>
      <c r="D306" s="14">
        <f t="shared" si="24"/>
        <v>0</v>
      </c>
      <c r="E306" s="11">
        <f t="shared" si="25"/>
        <v>0</v>
      </c>
      <c r="F306" s="11">
        <f t="shared" ca="1" si="26"/>
        <v>0</v>
      </c>
      <c r="G306" s="9" t="str">
        <f>INDEX(signals_2019_10!$C$2:$AJ$682, MATCH($B306, signals_2019_10!$B$2:$B$682, 0), MATCH(C$2, signals_2019_10!$C$1:$AJ$1, 0))</f>
        <v>NaT</v>
      </c>
      <c r="H306" s="14">
        <f t="shared" si="27"/>
        <v>0</v>
      </c>
      <c r="I306" s="11">
        <f t="shared" si="28"/>
        <v>0</v>
      </c>
      <c r="J306" s="11">
        <f t="shared" ca="1" si="29"/>
        <v>0</v>
      </c>
    </row>
    <row r="307" spans="1:10" hidden="1" x14ac:dyDescent="0.35">
      <c r="A307" s="20">
        <f>INDEX(signals_2020_05!$A$2:$A$680, MATCH(B307, signals_2020_05!$B$2:$B$680, 0))</f>
        <v>152</v>
      </c>
      <c r="B307" s="2" t="str">
        <f>signals_2020_05!B297</f>
        <v>Grid On Time</v>
      </c>
      <c r="C307" s="9" t="str">
        <f>INDEX(signals_2020_05!$C$2:$AJ$680, MATCH($B307, signals_2020_05!$B$2:$B$680, 0), MATCH(C$2, signals_2020_05!$C$1:$AJ$1, 0))</f>
        <v>NaT</v>
      </c>
      <c r="D307" s="14">
        <f t="shared" si="24"/>
        <v>0</v>
      </c>
      <c r="E307" s="11">
        <f t="shared" si="25"/>
        <v>0</v>
      </c>
      <c r="F307" s="11">
        <f t="shared" ca="1" si="26"/>
        <v>0</v>
      </c>
      <c r="G307" s="9" t="str">
        <f>INDEX(signals_2019_10!$C$2:$AJ$682, MATCH($B307, signals_2019_10!$B$2:$B$682, 0), MATCH(C$2, signals_2019_10!$C$1:$AJ$1, 0))</f>
        <v>NaT</v>
      </c>
      <c r="H307" s="14">
        <f t="shared" si="27"/>
        <v>0</v>
      </c>
      <c r="I307" s="11">
        <f t="shared" si="28"/>
        <v>0</v>
      </c>
      <c r="J307" s="11">
        <f t="shared" ca="1" si="29"/>
        <v>0</v>
      </c>
    </row>
    <row r="308" spans="1:10" hidden="1" x14ac:dyDescent="0.35">
      <c r="A308" s="20">
        <f>INDEX(signals_2020_05!$A$2:$A$680, MATCH(B308, signals_2020_05!$B$2:$B$680, 0))</f>
        <v>298</v>
      </c>
      <c r="B308" s="2" t="str">
        <f>signals_2020_05!B298</f>
        <v>Grid voltage</v>
      </c>
      <c r="C308" s="9" t="str">
        <f>INDEX(signals_2020_05!$C$2:$AJ$680, MATCH($B308, signals_2020_05!$B$2:$B$680, 0), MATCH(C$2, signals_2020_05!$C$1:$AJ$1, 0))</f>
        <v>NaT</v>
      </c>
      <c r="D308" s="14">
        <f t="shared" si="24"/>
        <v>0</v>
      </c>
      <c r="E308" s="11">
        <f t="shared" si="25"/>
        <v>0</v>
      </c>
      <c r="F308" s="11">
        <f t="shared" ca="1" si="26"/>
        <v>0</v>
      </c>
      <c r="G308" s="9" t="str">
        <f>INDEX(signals_2019_10!$C$2:$AJ$682, MATCH($B308, signals_2019_10!$B$2:$B$682, 0), MATCH(C$2, signals_2019_10!$C$1:$AJ$1, 0))</f>
        <v>NaT</v>
      </c>
      <c r="H308" s="14">
        <f t="shared" si="27"/>
        <v>0</v>
      </c>
      <c r="I308" s="11">
        <f t="shared" si="28"/>
        <v>0</v>
      </c>
      <c r="J308" s="11">
        <f t="shared" ca="1" si="29"/>
        <v>0</v>
      </c>
    </row>
    <row r="309" spans="1:10" hidden="1" x14ac:dyDescent="0.35">
      <c r="A309" s="20">
        <f>INDEX(signals_2020_05!$A$2:$A$680, MATCH(B309, signals_2020_05!$B$2:$B$680, 0))</f>
        <v>921</v>
      </c>
      <c r="B309" s="2" t="str">
        <f>signals_2020_05!B299</f>
        <v>Grid voltage, Max</v>
      </c>
      <c r="C309" s="9" t="str">
        <f>INDEX(signals_2020_05!$C$2:$AJ$680, MATCH($B309, signals_2020_05!$B$2:$B$680, 0), MATCH(C$2, signals_2020_05!$C$1:$AJ$1, 0))</f>
        <v>NaT</v>
      </c>
      <c r="D309" s="14">
        <f t="shared" si="24"/>
        <v>0</v>
      </c>
      <c r="E309" s="11">
        <f t="shared" si="25"/>
        <v>0</v>
      </c>
      <c r="F309" s="11">
        <f t="shared" ca="1" si="26"/>
        <v>0</v>
      </c>
      <c r="G309" s="9" t="e">
        <f>INDEX(signals_2019_10!$C$2:$AJ$682, MATCH($B309, signals_2019_10!$B$2:$B$682, 0), MATCH(C$2, signals_2019_10!$C$1:$AJ$1, 0))</f>
        <v>#N/A</v>
      </c>
      <c r="H309" s="14">
        <f t="shared" si="27"/>
        <v>0</v>
      </c>
      <c r="I309" s="11">
        <f t="shared" si="28"/>
        <v>0</v>
      </c>
      <c r="J309" s="11">
        <f t="shared" ca="1" si="29"/>
        <v>0</v>
      </c>
    </row>
    <row r="310" spans="1:10" hidden="1" x14ac:dyDescent="0.35">
      <c r="A310" s="20">
        <f>INDEX(signals_2020_05!$A$2:$A$680, MATCH(B310, signals_2020_05!$B$2:$B$680, 0))</f>
        <v>922</v>
      </c>
      <c r="B310" s="2" t="str">
        <f>signals_2020_05!B300</f>
        <v>Grid voltage, Min</v>
      </c>
      <c r="C310" s="9" t="str">
        <f>INDEX(signals_2020_05!$C$2:$AJ$680, MATCH($B310, signals_2020_05!$B$2:$B$680, 0), MATCH(C$2, signals_2020_05!$C$1:$AJ$1, 0))</f>
        <v>NaT</v>
      </c>
      <c r="D310" s="14">
        <f t="shared" si="24"/>
        <v>0</v>
      </c>
      <c r="E310" s="11">
        <f t="shared" si="25"/>
        <v>0</v>
      </c>
      <c r="F310" s="11">
        <f t="shared" ca="1" si="26"/>
        <v>0</v>
      </c>
      <c r="G310" s="9" t="e">
        <f>INDEX(signals_2019_10!$C$2:$AJ$682, MATCH($B310, signals_2019_10!$B$2:$B$682, 0), MATCH(C$2, signals_2019_10!$C$1:$AJ$1, 0))</f>
        <v>#N/A</v>
      </c>
      <c r="H310" s="14">
        <f t="shared" si="27"/>
        <v>0</v>
      </c>
      <c r="I310" s="11">
        <f t="shared" si="28"/>
        <v>0</v>
      </c>
      <c r="J310" s="11">
        <f t="shared" ca="1" si="29"/>
        <v>0</v>
      </c>
    </row>
    <row r="311" spans="1:10" hidden="1" x14ac:dyDescent="0.35">
      <c r="A311" s="20">
        <f>INDEX(signals_2020_05!$A$2:$A$680, MATCH(B311, signals_2020_05!$B$2:$B$680, 0))</f>
        <v>923</v>
      </c>
      <c r="B311" s="2" t="str">
        <f>signals_2020_05!B301</f>
        <v>Grid voltage, Standard deviation</v>
      </c>
      <c r="C311" s="9" t="str">
        <f>INDEX(signals_2020_05!$C$2:$AJ$680, MATCH($B311, signals_2020_05!$B$2:$B$680, 0), MATCH(C$2, signals_2020_05!$C$1:$AJ$1, 0))</f>
        <v>NaT</v>
      </c>
      <c r="D311" s="14">
        <f t="shared" si="24"/>
        <v>0</v>
      </c>
      <c r="E311" s="11">
        <f t="shared" si="25"/>
        <v>0</v>
      </c>
      <c r="F311" s="11">
        <f t="shared" ca="1" si="26"/>
        <v>0</v>
      </c>
      <c r="G311" s="9" t="e">
        <f>INDEX(signals_2019_10!$C$2:$AJ$682, MATCH($B311, signals_2019_10!$B$2:$B$682, 0), MATCH(C$2, signals_2019_10!$C$1:$AJ$1, 0))</f>
        <v>#N/A</v>
      </c>
      <c r="H311" s="14">
        <f t="shared" si="27"/>
        <v>0</v>
      </c>
      <c r="I311" s="11">
        <f t="shared" si="28"/>
        <v>0</v>
      </c>
      <c r="J311" s="11">
        <f t="shared" ca="1" si="29"/>
        <v>0</v>
      </c>
    </row>
    <row r="312" spans="1:10" hidden="1" x14ac:dyDescent="0.35">
      <c r="A312" s="20">
        <f>INDEX(signals_2020_05!$A$2:$A$680, MATCH(B312, signals_2020_05!$B$2:$B$680, 0))</f>
        <v>190</v>
      </c>
      <c r="B312" s="2" t="str">
        <f>signals_2020_05!B302</f>
        <v>Ground controller temp</v>
      </c>
      <c r="C312" s="9" t="str">
        <f>INDEX(signals_2020_05!$C$2:$AJ$680, MATCH($B312, signals_2020_05!$B$2:$B$680, 0), MATCH(C$2, signals_2020_05!$C$1:$AJ$1, 0))</f>
        <v>NaT</v>
      </c>
      <c r="D312" s="14">
        <f t="shared" si="24"/>
        <v>0</v>
      </c>
      <c r="E312" s="11">
        <f t="shared" si="25"/>
        <v>0</v>
      </c>
      <c r="F312" s="11">
        <f t="shared" ca="1" si="26"/>
        <v>0</v>
      </c>
      <c r="G312" s="9" t="str">
        <f>INDEX(signals_2019_10!$C$2:$AJ$682, MATCH($B312, signals_2019_10!$B$2:$B$682, 0), MATCH(C$2, signals_2019_10!$C$1:$AJ$1, 0))</f>
        <v>NaT</v>
      </c>
      <c r="H312" s="14">
        <f t="shared" si="27"/>
        <v>0</v>
      </c>
      <c r="I312" s="11">
        <f t="shared" si="28"/>
        <v>0</v>
      </c>
      <c r="J312" s="11">
        <f t="shared" ca="1" si="29"/>
        <v>0</v>
      </c>
    </row>
    <row r="313" spans="1:10" hidden="1" x14ac:dyDescent="0.35">
      <c r="A313" s="20">
        <f>INDEX(signals_2020_05!$A$2:$A$680, MATCH(B313, signals_2020_05!$B$2:$B$680, 0))</f>
        <v>3757</v>
      </c>
      <c r="B313" s="2" t="str">
        <f>signals_2020_05!B303</f>
        <v>Ground controller temp, Max</v>
      </c>
      <c r="C313" s="9" t="str">
        <f>INDEX(signals_2020_05!$C$2:$AJ$680, MATCH($B313, signals_2020_05!$B$2:$B$680, 0), MATCH(C$2, signals_2020_05!$C$1:$AJ$1, 0))</f>
        <v>NaT</v>
      </c>
      <c r="D313" s="14">
        <f t="shared" si="24"/>
        <v>0</v>
      </c>
      <c r="E313" s="11">
        <f t="shared" si="25"/>
        <v>0</v>
      </c>
      <c r="F313" s="11">
        <f t="shared" ca="1" si="26"/>
        <v>0</v>
      </c>
      <c r="G313" s="9" t="e">
        <f>INDEX(signals_2019_10!$C$2:$AJ$682, MATCH($B313, signals_2019_10!$B$2:$B$682, 0), MATCH(C$2, signals_2019_10!$C$1:$AJ$1, 0))</f>
        <v>#N/A</v>
      </c>
      <c r="H313" s="14">
        <f t="shared" si="27"/>
        <v>0</v>
      </c>
      <c r="I313" s="11">
        <f t="shared" si="28"/>
        <v>0</v>
      </c>
      <c r="J313" s="11">
        <f t="shared" ca="1" si="29"/>
        <v>0</v>
      </c>
    </row>
    <row r="314" spans="1:10" hidden="1" x14ac:dyDescent="0.35">
      <c r="A314" s="20">
        <f>INDEX(signals_2020_05!$A$2:$A$680, MATCH(B314, signals_2020_05!$B$2:$B$680, 0))</f>
        <v>3758</v>
      </c>
      <c r="B314" s="2" t="str">
        <f>signals_2020_05!B304</f>
        <v>Ground controller temp, Min</v>
      </c>
      <c r="C314" s="9" t="str">
        <f>INDEX(signals_2020_05!$C$2:$AJ$680, MATCH($B314, signals_2020_05!$B$2:$B$680, 0), MATCH(C$2, signals_2020_05!$C$1:$AJ$1, 0))</f>
        <v>NaT</v>
      </c>
      <c r="D314" s="14">
        <f t="shared" si="24"/>
        <v>0</v>
      </c>
      <c r="E314" s="11">
        <f t="shared" si="25"/>
        <v>0</v>
      </c>
      <c r="F314" s="11">
        <f t="shared" ca="1" si="26"/>
        <v>0</v>
      </c>
      <c r="G314" s="9" t="e">
        <f>INDEX(signals_2019_10!$C$2:$AJ$682, MATCH($B314, signals_2019_10!$B$2:$B$682, 0), MATCH(C$2, signals_2019_10!$C$1:$AJ$1, 0))</f>
        <v>#N/A</v>
      </c>
      <c r="H314" s="14">
        <f t="shared" si="27"/>
        <v>0</v>
      </c>
      <c r="I314" s="11">
        <f t="shared" si="28"/>
        <v>0</v>
      </c>
      <c r="J314" s="11">
        <f t="shared" ca="1" si="29"/>
        <v>0</v>
      </c>
    </row>
    <row r="315" spans="1:10" hidden="1" x14ac:dyDescent="0.35">
      <c r="A315" s="20">
        <f>INDEX(signals_2020_05!$A$2:$A$680, MATCH(B315, signals_2020_05!$B$2:$B$680, 0))</f>
        <v>3759</v>
      </c>
      <c r="B315" s="2" t="str">
        <f>signals_2020_05!B305</f>
        <v>Ground controller temp, Standard deviation</v>
      </c>
      <c r="C315" s="9" t="str">
        <f>INDEX(signals_2020_05!$C$2:$AJ$680, MATCH($B315, signals_2020_05!$B$2:$B$680, 0), MATCH(C$2, signals_2020_05!$C$1:$AJ$1, 0))</f>
        <v>NaT</v>
      </c>
      <c r="D315" s="14">
        <f t="shared" si="24"/>
        <v>0</v>
      </c>
      <c r="E315" s="11">
        <f t="shared" si="25"/>
        <v>0</v>
      </c>
      <c r="F315" s="11">
        <f t="shared" ca="1" si="26"/>
        <v>0</v>
      </c>
      <c r="G315" s="9" t="e">
        <f>INDEX(signals_2019_10!$C$2:$AJ$682, MATCH($B315, signals_2019_10!$B$2:$B$682, 0), MATCH(C$2, signals_2019_10!$C$1:$AJ$1, 0))</f>
        <v>#N/A</v>
      </c>
      <c r="H315" s="14">
        <f t="shared" si="27"/>
        <v>0</v>
      </c>
      <c r="I315" s="11">
        <f t="shared" si="28"/>
        <v>0</v>
      </c>
      <c r="J315" s="11">
        <f t="shared" ca="1" si="29"/>
        <v>0</v>
      </c>
    </row>
    <row r="316" spans="1:10" x14ac:dyDescent="0.35">
      <c r="A316" s="20">
        <f>INDEX(signals_2020_05!$A$2:$A$680, MATCH(B316, signals_2020_05!$B$2:$B$680, 0))</f>
        <v>92</v>
      </c>
      <c r="B316" s="2" t="str">
        <f>signals_2020_05!B306</f>
        <v>High speed bearing temperature</v>
      </c>
      <c r="C316" s="9">
        <f>INDEX(signals_2020_05!$C$2:$AJ$680, MATCH($B316, signals_2020_05!$B$2:$B$680, 0), MATCH(C$2, signals_2020_05!$C$1:$AJ$1, 0))</f>
        <v>43054.631944444445</v>
      </c>
      <c r="D316" s="14">
        <f t="shared" si="24"/>
        <v>1</v>
      </c>
      <c r="E316" s="11">
        <f t="shared" si="25"/>
        <v>1</v>
      </c>
      <c r="F316" s="11">
        <f t="shared" ca="1" si="26"/>
        <v>2.7</v>
      </c>
      <c r="G316" s="9">
        <f>INDEX(signals_2019_10!$C$2:$AJ$682, MATCH($B316, signals_2019_10!$B$2:$B$682, 0), MATCH(C$2, signals_2019_10!$C$1:$AJ$1, 0))</f>
        <v>43054.631944444445</v>
      </c>
      <c r="H316" s="14">
        <f t="shared" si="27"/>
        <v>1</v>
      </c>
      <c r="I316" s="11">
        <f t="shared" si="28"/>
        <v>1</v>
      </c>
      <c r="J316" s="11">
        <f t="shared" ca="1" si="29"/>
        <v>2.7</v>
      </c>
    </row>
    <row r="317" spans="1:10" hidden="1" x14ac:dyDescent="0.35">
      <c r="A317" s="20">
        <f>INDEX(signals_2020_05!$A$2:$A$680, MATCH(B317, signals_2020_05!$B$2:$B$680, 0))</f>
        <v>4269</v>
      </c>
      <c r="B317" s="2" t="str">
        <f>signals_2020_05!B307</f>
        <v>High speed bearing temperature, Max</v>
      </c>
      <c r="C317" s="9" t="str">
        <f>INDEX(signals_2020_05!$C$2:$AJ$680, MATCH($B317, signals_2020_05!$B$2:$B$680, 0), MATCH(C$2, signals_2020_05!$C$1:$AJ$1, 0))</f>
        <v>NaT</v>
      </c>
      <c r="D317" s="14">
        <f t="shared" si="24"/>
        <v>0</v>
      </c>
      <c r="E317" s="11">
        <f t="shared" si="25"/>
        <v>0</v>
      </c>
      <c r="F317" s="11">
        <f t="shared" ca="1" si="26"/>
        <v>0</v>
      </c>
      <c r="G317" s="9" t="e">
        <f>INDEX(signals_2019_10!$C$2:$AJ$682, MATCH($B317, signals_2019_10!$B$2:$B$682, 0), MATCH(C$2, signals_2019_10!$C$1:$AJ$1, 0))</f>
        <v>#N/A</v>
      </c>
      <c r="H317" s="14">
        <f t="shared" si="27"/>
        <v>0</v>
      </c>
      <c r="I317" s="11">
        <f t="shared" si="28"/>
        <v>0</v>
      </c>
      <c r="J317" s="11">
        <f t="shared" ca="1" si="29"/>
        <v>0</v>
      </c>
    </row>
    <row r="318" spans="1:10" hidden="1" x14ac:dyDescent="0.35">
      <c r="A318" s="20">
        <f>INDEX(signals_2020_05!$A$2:$A$680, MATCH(B318, signals_2020_05!$B$2:$B$680, 0))</f>
        <v>4270</v>
      </c>
      <c r="B318" s="2" t="str">
        <f>signals_2020_05!B308</f>
        <v>High speed bearing temperature, Min</v>
      </c>
      <c r="C318" s="9" t="str">
        <f>INDEX(signals_2020_05!$C$2:$AJ$680, MATCH($B318, signals_2020_05!$B$2:$B$680, 0), MATCH(C$2, signals_2020_05!$C$1:$AJ$1, 0))</f>
        <v>NaT</v>
      </c>
      <c r="D318" s="14">
        <f t="shared" si="24"/>
        <v>0</v>
      </c>
      <c r="E318" s="11">
        <f t="shared" si="25"/>
        <v>0</v>
      </c>
      <c r="F318" s="11">
        <f t="shared" ca="1" si="26"/>
        <v>0</v>
      </c>
      <c r="G318" s="9" t="e">
        <f>INDEX(signals_2019_10!$C$2:$AJ$682, MATCH($B318, signals_2019_10!$B$2:$B$682, 0), MATCH(C$2, signals_2019_10!$C$1:$AJ$1, 0))</f>
        <v>#N/A</v>
      </c>
      <c r="H318" s="14">
        <f t="shared" si="27"/>
        <v>0</v>
      </c>
      <c r="I318" s="11">
        <f t="shared" si="28"/>
        <v>0</v>
      </c>
      <c r="J318" s="11">
        <f t="shared" ca="1" si="29"/>
        <v>0</v>
      </c>
    </row>
    <row r="319" spans="1:10" hidden="1" x14ac:dyDescent="0.35">
      <c r="A319" s="20">
        <f>INDEX(signals_2020_05!$A$2:$A$680, MATCH(B319, signals_2020_05!$B$2:$B$680, 0))</f>
        <v>4271</v>
      </c>
      <c r="B319" s="2" t="str">
        <f>signals_2020_05!B309</f>
        <v>High speed bearing temperature, StdDev</v>
      </c>
      <c r="C319" s="9" t="str">
        <f>INDEX(signals_2020_05!$C$2:$AJ$680, MATCH($B319, signals_2020_05!$B$2:$B$680, 0), MATCH(C$2, signals_2020_05!$C$1:$AJ$1, 0))</f>
        <v>NaT</v>
      </c>
      <c r="D319" s="14">
        <f t="shared" si="24"/>
        <v>0</v>
      </c>
      <c r="E319" s="11">
        <f t="shared" si="25"/>
        <v>0</v>
      </c>
      <c r="F319" s="11">
        <f t="shared" ca="1" si="26"/>
        <v>0</v>
      </c>
      <c r="G319" s="9" t="e">
        <f>INDEX(signals_2019_10!$C$2:$AJ$682, MATCH($B319, signals_2019_10!$B$2:$B$682, 0), MATCH(C$2, signals_2019_10!$C$1:$AJ$1, 0))</f>
        <v>#N/A</v>
      </c>
      <c r="H319" s="14">
        <f t="shared" si="27"/>
        <v>0</v>
      </c>
      <c r="I319" s="11">
        <f t="shared" si="28"/>
        <v>0</v>
      </c>
      <c r="J319" s="11">
        <f t="shared" ca="1" si="29"/>
        <v>0</v>
      </c>
    </row>
    <row r="320" spans="1:10" hidden="1" x14ac:dyDescent="0.35">
      <c r="A320" s="20">
        <f>INDEX(signals_2020_05!$A$2:$A$680, MATCH(B320, signals_2020_05!$B$2:$B$680, 0))</f>
        <v>3754</v>
      </c>
      <c r="B320" s="2" t="str">
        <f>signals_2020_05!B310</f>
        <v>Hub controller temp, Max</v>
      </c>
      <c r="C320" s="9" t="str">
        <f>INDEX(signals_2020_05!$C$2:$AJ$680, MATCH($B320, signals_2020_05!$B$2:$B$680, 0), MATCH(C$2, signals_2020_05!$C$1:$AJ$1, 0))</f>
        <v>NaT</v>
      </c>
      <c r="D320" s="14">
        <f t="shared" si="24"/>
        <v>0</v>
      </c>
      <c r="E320" s="11">
        <f t="shared" si="25"/>
        <v>0</v>
      </c>
      <c r="F320" s="11">
        <f t="shared" ca="1" si="26"/>
        <v>0</v>
      </c>
      <c r="G320" s="9" t="e">
        <f>INDEX(signals_2019_10!$C$2:$AJ$682, MATCH($B320, signals_2019_10!$B$2:$B$682, 0), MATCH(C$2, signals_2019_10!$C$1:$AJ$1, 0))</f>
        <v>#N/A</v>
      </c>
      <c r="H320" s="14">
        <f t="shared" si="27"/>
        <v>0</v>
      </c>
      <c r="I320" s="11">
        <f t="shared" si="28"/>
        <v>0</v>
      </c>
      <c r="J320" s="11">
        <f t="shared" ca="1" si="29"/>
        <v>0</v>
      </c>
    </row>
    <row r="321" spans="1:10" hidden="1" x14ac:dyDescent="0.35">
      <c r="A321" s="20">
        <f>INDEX(signals_2020_05!$A$2:$A$680, MATCH(B321, signals_2020_05!$B$2:$B$680, 0))</f>
        <v>3755</v>
      </c>
      <c r="B321" s="2" t="str">
        <f>signals_2020_05!B311</f>
        <v>Hub controller temp, Min</v>
      </c>
      <c r="C321" s="9" t="str">
        <f>INDEX(signals_2020_05!$C$2:$AJ$680, MATCH($B321, signals_2020_05!$B$2:$B$680, 0), MATCH(C$2, signals_2020_05!$C$1:$AJ$1, 0))</f>
        <v>NaT</v>
      </c>
      <c r="D321" s="14">
        <f t="shared" si="24"/>
        <v>0</v>
      </c>
      <c r="E321" s="11">
        <f t="shared" si="25"/>
        <v>0</v>
      </c>
      <c r="F321" s="11">
        <f t="shared" ca="1" si="26"/>
        <v>0</v>
      </c>
      <c r="G321" s="9" t="e">
        <f>INDEX(signals_2019_10!$C$2:$AJ$682, MATCH($B321, signals_2019_10!$B$2:$B$682, 0), MATCH(C$2, signals_2019_10!$C$1:$AJ$1, 0))</f>
        <v>#N/A</v>
      </c>
      <c r="H321" s="14">
        <f t="shared" si="27"/>
        <v>0</v>
      </c>
      <c r="I321" s="11">
        <f t="shared" si="28"/>
        <v>0</v>
      </c>
      <c r="J321" s="11">
        <f t="shared" ca="1" si="29"/>
        <v>0</v>
      </c>
    </row>
    <row r="322" spans="1:10" hidden="1" x14ac:dyDescent="0.35">
      <c r="A322" s="20">
        <f>INDEX(signals_2020_05!$A$2:$A$680, MATCH(B322, signals_2020_05!$B$2:$B$680, 0))</f>
        <v>3756</v>
      </c>
      <c r="B322" s="2" t="str">
        <f>signals_2020_05!B312</f>
        <v>Hub controller temp, Standard deviation</v>
      </c>
      <c r="C322" s="9" t="str">
        <f>INDEX(signals_2020_05!$C$2:$AJ$680, MATCH($B322, signals_2020_05!$B$2:$B$680, 0), MATCH(C$2, signals_2020_05!$C$1:$AJ$1, 0))</f>
        <v>NaT</v>
      </c>
      <c r="D322" s="14">
        <f t="shared" si="24"/>
        <v>0</v>
      </c>
      <c r="E322" s="11">
        <f t="shared" si="25"/>
        <v>0</v>
      </c>
      <c r="F322" s="11">
        <f t="shared" ca="1" si="26"/>
        <v>0</v>
      </c>
      <c r="G322" s="9" t="e">
        <f>INDEX(signals_2019_10!$C$2:$AJ$682, MATCH($B322, signals_2019_10!$B$2:$B$682, 0), MATCH(C$2, signals_2019_10!$C$1:$AJ$1, 0))</f>
        <v>#N/A</v>
      </c>
      <c r="H322" s="14">
        <f t="shared" si="27"/>
        <v>0</v>
      </c>
      <c r="I322" s="11">
        <f t="shared" si="28"/>
        <v>0</v>
      </c>
      <c r="J322" s="11">
        <f t="shared" ca="1" si="29"/>
        <v>0</v>
      </c>
    </row>
    <row r="323" spans="1:10" hidden="1" x14ac:dyDescent="0.35">
      <c r="A323" s="20">
        <f>INDEX(signals_2020_05!$A$2:$A$680, MATCH(B323, signals_2020_05!$B$2:$B$680, 0))</f>
        <v>175</v>
      </c>
      <c r="B323" s="2" t="str">
        <f>signals_2020_05!B313</f>
        <v>Hub controller temp.</v>
      </c>
      <c r="C323" s="9" t="str">
        <f>INDEX(signals_2020_05!$C$2:$AJ$680, MATCH($B323, signals_2020_05!$B$2:$B$680, 0), MATCH(C$2, signals_2020_05!$C$1:$AJ$1, 0))</f>
        <v>NaT</v>
      </c>
      <c r="D323" s="14">
        <f t="shared" si="24"/>
        <v>0</v>
      </c>
      <c r="E323" s="11">
        <f t="shared" si="25"/>
        <v>0</v>
      </c>
      <c r="F323" s="11">
        <f t="shared" ca="1" si="26"/>
        <v>0</v>
      </c>
      <c r="G323" s="9" t="str">
        <f>INDEX(signals_2019_10!$C$2:$AJ$682, MATCH($B323, signals_2019_10!$B$2:$B$682, 0), MATCH(C$2, signals_2019_10!$C$1:$AJ$1, 0))</f>
        <v>NaT</v>
      </c>
      <c r="H323" s="14">
        <f t="shared" si="27"/>
        <v>0</v>
      </c>
      <c r="I323" s="11">
        <f t="shared" si="28"/>
        <v>0</v>
      </c>
      <c r="J323" s="11">
        <f t="shared" ca="1" si="29"/>
        <v>0</v>
      </c>
    </row>
    <row r="324" spans="1:10" hidden="1" x14ac:dyDescent="0.35">
      <c r="A324" s="20">
        <f>INDEX(signals_2020_05!$A$2:$A$680, MATCH(B324, signals_2020_05!$B$2:$B$680, 0))</f>
        <v>294</v>
      </c>
      <c r="B324" s="2" t="str">
        <f>signals_2020_05!B314</f>
        <v>Hub temperature</v>
      </c>
      <c r="C324" s="9" t="str">
        <f>INDEX(signals_2020_05!$C$2:$AJ$680, MATCH($B324, signals_2020_05!$B$2:$B$680, 0), MATCH(C$2, signals_2020_05!$C$1:$AJ$1, 0))</f>
        <v>NaT</v>
      </c>
      <c r="D324" s="14">
        <f t="shared" si="24"/>
        <v>0</v>
      </c>
      <c r="E324" s="11">
        <f t="shared" si="25"/>
        <v>0</v>
      </c>
      <c r="F324" s="11">
        <f t="shared" ca="1" si="26"/>
        <v>0</v>
      </c>
      <c r="G324" s="9" t="str">
        <f>INDEX(signals_2019_10!$C$2:$AJ$682, MATCH($B324, signals_2019_10!$B$2:$B$682, 0), MATCH(C$2, signals_2019_10!$C$1:$AJ$1, 0))</f>
        <v>NaT</v>
      </c>
      <c r="H324" s="14">
        <f t="shared" si="27"/>
        <v>0</v>
      </c>
      <c r="I324" s="11">
        <f t="shared" si="28"/>
        <v>0</v>
      </c>
      <c r="J324" s="11">
        <f t="shared" ca="1" si="29"/>
        <v>0</v>
      </c>
    </row>
    <row r="325" spans="1:10" hidden="1" x14ac:dyDescent="0.35">
      <c r="A325" s="20">
        <f>INDEX(signals_2020_05!$A$2:$A$680, MATCH(B325, signals_2020_05!$B$2:$B$680, 0))</f>
        <v>3797</v>
      </c>
      <c r="B325" s="2" t="str">
        <f>signals_2020_05!B315</f>
        <v>Hub temperature, max</v>
      </c>
      <c r="C325" s="9" t="str">
        <f>INDEX(signals_2020_05!$C$2:$AJ$680, MATCH($B325, signals_2020_05!$B$2:$B$680, 0), MATCH(C$2, signals_2020_05!$C$1:$AJ$1, 0))</f>
        <v>NaT</v>
      </c>
      <c r="D325" s="14">
        <f t="shared" si="24"/>
        <v>0</v>
      </c>
      <c r="E325" s="11">
        <f t="shared" si="25"/>
        <v>0</v>
      </c>
      <c r="F325" s="11">
        <f t="shared" ca="1" si="26"/>
        <v>0</v>
      </c>
      <c r="G325" s="9" t="e">
        <f>INDEX(signals_2019_10!$C$2:$AJ$682, MATCH($B325, signals_2019_10!$B$2:$B$682, 0), MATCH(C$2, signals_2019_10!$C$1:$AJ$1, 0))</f>
        <v>#N/A</v>
      </c>
      <c r="H325" s="14">
        <f t="shared" si="27"/>
        <v>0</v>
      </c>
      <c r="I325" s="11">
        <f t="shared" si="28"/>
        <v>0</v>
      </c>
      <c r="J325" s="11">
        <f t="shared" ca="1" si="29"/>
        <v>0</v>
      </c>
    </row>
    <row r="326" spans="1:10" hidden="1" x14ac:dyDescent="0.35">
      <c r="A326" s="20">
        <f>INDEX(signals_2020_05!$A$2:$A$680, MATCH(B326, signals_2020_05!$B$2:$B$680, 0))</f>
        <v>3796</v>
      </c>
      <c r="B326" s="2" t="str">
        <f>signals_2020_05!B316</f>
        <v>Hub temperature, min</v>
      </c>
      <c r="C326" s="9" t="str">
        <f>INDEX(signals_2020_05!$C$2:$AJ$680, MATCH($B326, signals_2020_05!$B$2:$B$680, 0), MATCH(C$2, signals_2020_05!$C$1:$AJ$1, 0))</f>
        <v>NaT</v>
      </c>
      <c r="D326" s="14">
        <f t="shared" si="24"/>
        <v>0</v>
      </c>
      <c r="E326" s="11">
        <f t="shared" si="25"/>
        <v>0</v>
      </c>
      <c r="F326" s="11">
        <f t="shared" ca="1" si="26"/>
        <v>0</v>
      </c>
      <c r="G326" s="9" t="e">
        <f>INDEX(signals_2019_10!$C$2:$AJ$682, MATCH($B326, signals_2019_10!$B$2:$B$682, 0), MATCH(C$2, signals_2019_10!$C$1:$AJ$1, 0))</f>
        <v>#N/A</v>
      </c>
      <c r="H326" s="14">
        <f t="shared" si="27"/>
        <v>0</v>
      </c>
      <c r="I326" s="11">
        <f t="shared" si="28"/>
        <v>0</v>
      </c>
      <c r="J326" s="11">
        <f t="shared" ca="1" si="29"/>
        <v>0</v>
      </c>
    </row>
    <row r="327" spans="1:10" hidden="1" x14ac:dyDescent="0.35">
      <c r="A327" s="20">
        <f>INDEX(signals_2020_05!$A$2:$A$680, MATCH(B327, signals_2020_05!$B$2:$B$680, 0))</f>
        <v>3798</v>
      </c>
      <c r="B327" s="2" t="str">
        <f>signals_2020_05!B317</f>
        <v>Hub temperature, standard deviation</v>
      </c>
      <c r="C327" s="9" t="str">
        <f>INDEX(signals_2020_05!$C$2:$AJ$680, MATCH($B327, signals_2020_05!$B$2:$B$680, 0), MATCH(C$2, signals_2020_05!$C$1:$AJ$1, 0))</f>
        <v>NaT</v>
      </c>
      <c r="D327" s="14">
        <f t="shared" si="24"/>
        <v>0</v>
      </c>
      <c r="E327" s="11">
        <f t="shared" si="25"/>
        <v>0</v>
      </c>
      <c r="F327" s="11">
        <f t="shared" ca="1" si="26"/>
        <v>0</v>
      </c>
      <c r="G327" s="9" t="e">
        <f>INDEX(signals_2019_10!$C$2:$AJ$682, MATCH($B327, signals_2019_10!$B$2:$B$682, 0), MATCH(C$2, signals_2019_10!$C$1:$AJ$1, 0))</f>
        <v>#N/A</v>
      </c>
      <c r="H327" s="14">
        <f t="shared" si="27"/>
        <v>0</v>
      </c>
      <c r="I327" s="11">
        <f t="shared" si="28"/>
        <v>0</v>
      </c>
      <c r="J327" s="11">
        <f t="shared" ca="1" si="29"/>
        <v>0</v>
      </c>
    </row>
    <row r="328" spans="1:10" hidden="1" x14ac:dyDescent="0.35">
      <c r="A328" s="20">
        <f>INDEX(signals_2020_05!$A$2:$A$680, MATCH(B328, signals_2020_05!$B$2:$B$680, 0))</f>
        <v>103</v>
      </c>
      <c r="B328" s="2" t="str">
        <f>signals_2020_05!B318</f>
        <v>Hydraulic oil pressure</v>
      </c>
      <c r="C328" s="9" t="str">
        <f>INDEX(signals_2020_05!$C$2:$AJ$680, MATCH($B328, signals_2020_05!$B$2:$B$680, 0), MATCH(C$2, signals_2020_05!$C$1:$AJ$1, 0))</f>
        <v>NaT</v>
      </c>
      <c r="D328" s="14">
        <f t="shared" si="24"/>
        <v>0</v>
      </c>
      <c r="E328" s="11">
        <f t="shared" si="25"/>
        <v>0</v>
      </c>
      <c r="F328" s="11">
        <f t="shared" ca="1" si="26"/>
        <v>0</v>
      </c>
      <c r="G328" s="9" t="str">
        <f>INDEX(signals_2019_10!$C$2:$AJ$682, MATCH($B328, signals_2019_10!$B$2:$B$682, 0), MATCH(C$2, signals_2019_10!$C$1:$AJ$1, 0))</f>
        <v>NaT</v>
      </c>
      <c r="H328" s="14">
        <f t="shared" si="27"/>
        <v>0</v>
      </c>
      <c r="I328" s="11">
        <f t="shared" si="28"/>
        <v>0</v>
      </c>
      <c r="J328" s="11">
        <f t="shared" ca="1" si="29"/>
        <v>0</v>
      </c>
    </row>
    <row r="329" spans="1:10" hidden="1" x14ac:dyDescent="0.35">
      <c r="A329" s="20">
        <f>INDEX(signals_2020_05!$A$2:$A$680, MATCH(B329, signals_2020_05!$B$2:$B$680, 0))</f>
        <v>3747</v>
      </c>
      <c r="B329" s="2" t="str">
        <f>signals_2020_05!B319</f>
        <v>Hydraulic oil pressure, Max</v>
      </c>
      <c r="C329" s="9" t="str">
        <f>INDEX(signals_2020_05!$C$2:$AJ$680, MATCH($B329, signals_2020_05!$B$2:$B$680, 0), MATCH(C$2, signals_2020_05!$C$1:$AJ$1, 0))</f>
        <v>NaT</v>
      </c>
      <c r="D329" s="14">
        <f t="shared" si="24"/>
        <v>0</v>
      </c>
      <c r="E329" s="11">
        <f t="shared" si="25"/>
        <v>0</v>
      </c>
      <c r="F329" s="11">
        <f t="shared" ca="1" si="26"/>
        <v>0</v>
      </c>
      <c r="G329" s="9" t="str">
        <f>INDEX(signals_2019_10!$C$2:$AJ$682, MATCH($B329, signals_2019_10!$B$2:$B$682, 0), MATCH(C$2, signals_2019_10!$C$1:$AJ$1, 0))</f>
        <v>NaT</v>
      </c>
      <c r="H329" s="14">
        <f t="shared" si="27"/>
        <v>0</v>
      </c>
      <c r="I329" s="11">
        <f t="shared" si="28"/>
        <v>0</v>
      </c>
      <c r="J329" s="11">
        <f t="shared" ca="1" si="29"/>
        <v>0</v>
      </c>
    </row>
    <row r="330" spans="1:10" hidden="1" x14ac:dyDescent="0.35">
      <c r="A330" s="20">
        <f>INDEX(signals_2020_05!$A$2:$A$680, MATCH(B330, signals_2020_05!$B$2:$B$680, 0))</f>
        <v>3748</v>
      </c>
      <c r="B330" s="2" t="str">
        <f>signals_2020_05!B320</f>
        <v>Hydraulic oil pressure, Min</v>
      </c>
      <c r="C330" s="9" t="str">
        <f>INDEX(signals_2020_05!$C$2:$AJ$680, MATCH($B330, signals_2020_05!$B$2:$B$680, 0), MATCH(C$2, signals_2020_05!$C$1:$AJ$1, 0))</f>
        <v>NaT</v>
      </c>
      <c r="D330" s="14">
        <f t="shared" si="24"/>
        <v>0</v>
      </c>
      <c r="E330" s="11">
        <f t="shared" si="25"/>
        <v>0</v>
      </c>
      <c r="F330" s="11">
        <f t="shared" ca="1" si="26"/>
        <v>0</v>
      </c>
      <c r="G330" s="9" t="str">
        <f>INDEX(signals_2019_10!$C$2:$AJ$682, MATCH($B330, signals_2019_10!$B$2:$B$682, 0), MATCH(C$2, signals_2019_10!$C$1:$AJ$1, 0))</f>
        <v>NaT</v>
      </c>
      <c r="H330" s="14">
        <f t="shared" si="27"/>
        <v>0</v>
      </c>
      <c r="I330" s="11">
        <f t="shared" si="28"/>
        <v>0</v>
      </c>
      <c r="J330" s="11">
        <f t="shared" ca="1" si="29"/>
        <v>0</v>
      </c>
    </row>
    <row r="331" spans="1:10" hidden="1" x14ac:dyDescent="0.35">
      <c r="A331" s="20">
        <f>INDEX(signals_2020_05!$A$2:$A$680, MATCH(B331, signals_2020_05!$B$2:$B$680, 0))</f>
        <v>3749</v>
      </c>
      <c r="B331" s="2" t="str">
        <f>signals_2020_05!B321</f>
        <v>Hydraulic oil pressure, Standard deviation</v>
      </c>
      <c r="C331" s="9" t="str">
        <f>INDEX(signals_2020_05!$C$2:$AJ$680, MATCH($B331, signals_2020_05!$B$2:$B$680, 0), MATCH(C$2, signals_2020_05!$C$1:$AJ$1, 0))</f>
        <v>NaT</v>
      </c>
      <c r="D331" s="14">
        <f t="shared" si="24"/>
        <v>0</v>
      </c>
      <c r="E331" s="11">
        <f t="shared" si="25"/>
        <v>0</v>
      </c>
      <c r="F331" s="11">
        <f t="shared" ca="1" si="26"/>
        <v>0</v>
      </c>
      <c r="G331" s="9" t="str">
        <f>INDEX(signals_2019_10!$C$2:$AJ$682, MATCH($B331, signals_2019_10!$B$2:$B$682, 0), MATCH(C$2, signals_2019_10!$C$1:$AJ$1, 0))</f>
        <v>NaT</v>
      </c>
      <c r="H331" s="14">
        <f t="shared" si="27"/>
        <v>0</v>
      </c>
      <c r="I331" s="11">
        <f t="shared" si="28"/>
        <v>0</v>
      </c>
      <c r="J331" s="11">
        <f t="shared" ca="1" si="29"/>
        <v>0</v>
      </c>
    </row>
    <row r="332" spans="1:10" hidden="1" x14ac:dyDescent="0.35">
      <c r="A332" s="20">
        <f>INDEX(signals_2020_05!$A$2:$A$680, MATCH(B332, signals_2020_05!$B$2:$B$680, 0))</f>
        <v>101</v>
      </c>
      <c r="B332" s="2" t="str">
        <f>signals_2020_05!B322</f>
        <v>Hydraulic oil temperature</v>
      </c>
      <c r="C332" s="9" t="str">
        <f>INDEX(signals_2020_05!$C$2:$AJ$680, MATCH($B332, signals_2020_05!$B$2:$B$680, 0), MATCH(C$2, signals_2020_05!$C$1:$AJ$1, 0))</f>
        <v>NaT</v>
      </c>
      <c r="D332" s="14">
        <f t="shared" si="24"/>
        <v>0</v>
      </c>
      <c r="E332" s="11">
        <f t="shared" si="25"/>
        <v>0</v>
      </c>
      <c r="F332" s="11">
        <f t="shared" ca="1" si="26"/>
        <v>0</v>
      </c>
      <c r="G332" s="9" t="str">
        <f>INDEX(signals_2019_10!$C$2:$AJ$682, MATCH($B332, signals_2019_10!$B$2:$B$682, 0), MATCH(C$2, signals_2019_10!$C$1:$AJ$1, 0))</f>
        <v>NaT</v>
      </c>
      <c r="H332" s="14">
        <f t="shared" si="27"/>
        <v>0</v>
      </c>
      <c r="I332" s="11">
        <f t="shared" si="28"/>
        <v>0</v>
      </c>
      <c r="J332" s="11">
        <f t="shared" ca="1" si="29"/>
        <v>0</v>
      </c>
    </row>
    <row r="333" spans="1:10" hidden="1" x14ac:dyDescent="0.35">
      <c r="A333" s="20">
        <f>INDEX(signals_2020_05!$A$2:$A$680, MATCH(B333, signals_2020_05!$B$2:$B$680, 0))</f>
        <v>2839</v>
      </c>
      <c r="B333" s="2" t="str">
        <f>signals_2020_05!B323</f>
        <v>Hydraulic oil temperature, Max</v>
      </c>
      <c r="C333" s="9" t="str">
        <f>INDEX(signals_2020_05!$C$2:$AJ$680, MATCH($B333, signals_2020_05!$B$2:$B$680, 0), MATCH(C$2, signals_2020_05!$C$1:$AJ$1, 0))</f>
        <v>NaT</v>
      </c>
      <c r="D333" s="14">
        <f t="shared" ref="D333:D396" si="30">IF(ISERROR(C333), 0, IF(C333="NaT", 0, 1))</f>
        <v>0</v>
      </c>
      <c r="E333" s="11">
        <f t="shared" ref="E333:E396" si="31">IF(D333, IF(FLOOR($C333, 1) = FLOOR($C$5, 1), 1, 0), 0)</f>
        <v>0</v>
      </c>
      <c r="F333" s="11">
        <f t="shared" ref="F333:F396" ca="1" si="32">IF(ISERROR(C333), 0, IF(C333="NaT", 0,ROUND(((NOW()-C333)/365.25)*10, 0)/10))</f>
        <v>0</v>
      </c>
      <c r="G333" s="9" t="e">
        <f>INDEX(signals_2019_10!$C$2:$AJ$682, MATCH($B333, signals_2019_10!$B$2:$B$682, 0), MATCH(C$2, signals_2019_10!$C$1:$AJ$1, 0))</f>
        <v>#N/A</v>
      </c>
      <c r="H333" s="14">
        <f t="shared" ref="H333:H396" si="33">IF(ISERROR(G333), 0, IF(G333="NaT", 0, 1))</f>
        <v>0</v>
      </c>
      <c r="I333" s="11">
        <f t="shared" ref="I333:I396" si="34">IF(H333, IF(FLOOR($C333, 1) = FLOOR($C$5, 1), 1, 0), 0)</f>
        <v>0</v>
      </c>
      <c r="J333" s="11">
        <f t="shared" ref="J333:J396" ca="1" si="35">IF(ISERROR(G333), 0, IF(G333="NaT", 0,ROUND(((NOW()-G333)/365.25)*10, 0)/10))</f>
        <v>0</v>
      </c>
    </row>
    <row r="334" spans="1:10" hidden="1" x14ac:dyDescent="0.35">
      <c r="A334" s="20">
        <f>INDEX(signals_2020_05!$A$2:$A$680, MATCH(B334, signals_2020_05!$B$2:$B$680, 0))</f>
        <v>2840</v>
      </c>
      <c r="B334" s="2" t="str">
        <f>signals_2020_05!B324</f>
        <v>Hydraulic oil temperature, Min</v>
      </c>
      <c r="C334" s="9" t="str">
        <f>INDEX(signals_2020_05!$C$2:$AJ$680, MATCH($B334, signals_2020_05!$B$2:$B$680, 0), MATCH(C$2, signals_2020_05!$C$1:$AJ$1, 0))</f>
        <v>NaT</v>
      </c>
      <c r="D334" s="14">
        <f t="shared" si="30"/>
        <v>0</v>
      </c>
      <c r="E334" s="11">
        <f t="shared" si="31"/>
        <v>0</v>
      </c>
      <c r="F334" s="11">
        <f t="shared" ca="1" si="32"/>
        <v>0</v>
      </c>
      <c r="G334" s="9" t="e">
        <f>INDEX(signals_2019_10!$C$2:$AJ$682, MATCH($B334, signals_2019_10!$B$2:$B$682, 0), MATCH(C$2, signals_2019_10!$C$1:$AJ$1, 0))</f>
        <v>#N/A</v>
      </c>
      <c r="H334" s="14">
        <f t="shared" si="33"/>
        <v>0</v>
      </c>
      <c r="I334" s="11">
        <f t="shared" si="34"/>
        <v>0</v>
      </c>
      <c r="J334" s="11">
        <f t="shared" ca="1" si="35"/>
        <v>0</v>
      </c>
    </row>
    <row r="335" spans="1:10" hidden="1" x14ac:dyDescent="0.35">
      <c r="A335" s="20">
        <f>INDEX(signals_2020_05!$A$2:$A$680, MATCH(B335, signals_2020_05!$B$2:$B$680, 0))</f>
        <v>3750</v>
      </c>
      <c r="B335" s="2" t="str">
        <f>signals_2020_05!B325</f>
        <v>Hydraulic oil temperature, Standard deviation</v>
      </c>
      <c r="C335" s="9" t="str">
        <f>INDEX(signals_2020_05!$C$2:$AJ$680, MATCH($B335, signals_2020_05!$B$2:$B$680, 0), MATCH(C$2, signals_2020_05!$C$1:$AJ$1, 0))</f>
        <v>NaT</v>
      </c>
      <c r="D335" s="14">
        <f t="shared" si="30"/>
        <v>0</v>
      </c>
      <c r="E335" s="11">
        <f t="shared" si="31"/>
        <v>0</v>
      </c>
      <c r="F335" s="11">
        <f t="shared" ca="1" si="32"/>
        <v>0</v>
      </c>
      <c r="G335" s="9" t="e">
        <f>INDEX(signals_2019_10!$C$2:$AJ$682, MATCH($B335, signals_2019_10!$B$2:$B$682, 0), MATCH(C$2, signals_2019_10!$C$1:$AJ$1, 0))</f>
        <v>#N/A</v>
      </c>
      <c r="H335" s="14">
        <f t="shared" si="33"/>
        <v>0</v>
      </c>
      <c r="I335" s="11">
        <f t="shared" si="34"/>
        <v>0</v>
      </c>
      <c r="J335" s="11">
        <f t="shared" ca="1" si="35"/>
        <v>0</v>
      </c>
    </row>
    <row r="336" spans="1:10" hidden="1" x14ac:dyDescent="0.35">
      <c r="A336" s="20">
        <f>INDEX(signals_2020_05!$A$2:$A$680, MATCH(B336, signals_2020_05!$B$2:$B$680, 0))</f>
        <v>370</v>
      </c>
      <c r="B336" s="2" t="str">
        <f>signals_2020_05!B326</f>
        <v>Hydraulic unit temperature</v>
      </c>
      <c r="C336" s="9" t="str">
        <f>INDEX(signals_2020_05!$C$2:$AJ$680, MATCH($B336, signals_2020_05!$B$2:$B$680, 0), MATCH(C$2, signals_2020_05!$C$1:$AJ$1, 0))</f>
        <v>NaT</v>
      </c>
      <c r="D336" s="14">
        <f t="shared" si="30"/>
        <v>0</v>
      </c>
      <c r="E336" s="11">
        <f t="shared" si="31"/>
        <v>0</v>
      </c>
      <c r="F336" s="11">
        <f t="shared" ca="1" si="32"/>
        <v>0</v>
      </c>
      <c r="G336" s="9" t="str">
        <f>INDEX(signals_2019_10!$C$2:$AJ$682, MATCH($B336, signals_2019_10!$B$2:$B$682, 0), MATCH(C$2, signals_2019_10!$C$1:$AJ$1, 0))</f>
        <v>NaT</v>
      </c>
      <c r="H336" s="14">
        <f t="shared" si="33"/>
        <v>0</v>
      </c>
      <c r="I336" s="11">
        <f t="shared" si="34"/>
        <v>0</v>
      </c>
      <c r="J336" s="11">
        <f t="shared" ca="1" si="35"/>
        <v>0</v>
      </c>
    </row>
    <row r="337" spans="1:10" hidden="1" x14ac:dyDescent="0.35">
      <c r="A337" s="20">
        <f>INDEX(signals_2020_05!$A$2:$A$680, MATCH(B337, signals_2020_05!$B$2:$B$680, 0))</f>
        <v>4428</v>
      </c>
      <c r="B337" s="2" t="str">
        <f>signals_2020_05!B327</f>
        <v>Hydraulic unit temperature, Max</v>
      </c>
      <c r="C337" s="9" t="str">
        <f>INDEX(signals_2020_05!$C$2:$AJ$680, MATCH($B337, signals_2020_05!$B$2:$B$680, 0), MATCH(C$2, signals_2020_05!$C$1:$AJ$1, 0))</f>
        <v>NaT</v>
      </c>
      <c r="D337" s="14">
        <f t="shared" si="30"/>
        <v>0</v>
      </c>
      <c r="E337" s="11">
        <f t="shared" si="31"/>
        <v>0</v>
      </c>
      <c r="F337" s="11">
        <f t="shared" ca="1" si="32"/>
        <v>0</v>
      </c>
      <c r="G337" s="9" t="e">
        <f>INDEX(signals_2019_10!$C$2:$AJ$682, MATCH($B337, signals_2019_10!$B$2:$B$682, 0), MATCH(C$2, signals_2019_10!$C$1:$AJ$1, 0))</f>
        <v>#N/A</v>
      </c>
      <c r="H337" s="14">
        <f t="shared" si="33"/>
        <v>0</v>
      </c>
      <c r="I337" s="11">
        <f t="shared" si="34"/>
        <v>0</v>
      </c>
      <c r="J337" s="11">
        <f t="shared" ca="1" si="35"/>
        <v>0</v>
      </c>
    </row>
    <row r="338" spans="1:10" hidden="1" x14ac:dyDescent="0.35">
      <c r="A338" s="20">
        <f>INDEX(signals_2020_05!$A$2:$A$680, MATCH(B338, signals_2020_05!$B$2:$B$680, 0))</f>
        <v>4429</v>
      </c>
      <c r="B338" s="2" t="str">
        <f>signals_2020_05!B328</f>
        <v>Hydraulic unit temperature, Min</v>
      </c>
      <c r="C338" s="9" t="str">
        <f>INDEX(signals_2020_05!$C$2:$AJ$680, MATCH($B338, signals_2020_05!$B$2:$B$680, 0), MATCH(C$2, signals_2020_05!$C$1:$AJ$1, 0))</f>
        <v>NaT</v>
      </c>
      <c r="D338" s="14">
        <f t="shared" si="30"/>
        <v>0</v>
      </c>
      <c r="E338" s="11">
        <f t="shared" si="31"/>
        <v>0</v>
      </c>
      <c r="F338" s="11">
        <f t="shared" ca="1" si="32"/>
        <v>0</v>
      </c>
      <c r="G338" s="9" t="e">
        <f>INDEX(signals_2019_10!$C$2:$AJ$682, MATCH($B338, signals_2019_10!$B$2:$B$682, 0), MATCH(C$2, signals_2019_10!$C$1:$AJ$1, 0))</f>
        <v>#N/A</v>
      </c>
      <c r="H338" s="14">
        <f t="shared" si="33"/>
        <v>0</v>
      </c>
      <c r="I338" s="11">
        <f t="shared" si="34"/>
        <v>0</v>
      </c>
      <c r="J338" s="11">
        <f t="shared" ca="1" si="35"/>
        <v>0</v>
      </c>
    </row>
    <row r="339" spans="1:10" hidden="1" x14ac:dyDescent="0.35">
      <c r="A339" s="20">
        <f>INDEX(signals_2020_05!$A$2:$A$680, MATCH(B339, signals_2020_05!$B$2:$B$680, 0))</f>
        <v>4430</v>
      </c>
      <c r="B339" s="2" t="str">
        <f>signals_2020_05!B329</f>
        <v>Hydraulic unit temperature, StdDev</v>
      </c>
      <c r="C339" s="9" t="str">
        <f>INDEX(signals_2020_05!$C$2:$AJ$680, MATCH($B339, signals_2020_05!$B$2:$B$680, 0), MATCH(C$2, signals_2020_05!$C$1:$AJ$1, 0))</f>
        <v>NaT</v>
      </c>
      <c r="D339" s="14">
        <f t="shared" si="30"/>
        <v>0</v>
      </c>
      <c r="E339" s="11">
        <f t="shared" si="31"/>
        <v>0</v>
      </c>
      <c r="F339" s="11">
        <f t="shared" ca="1" si="32"/>
        <v>0</v>
      </c>
      <c r="G339" s="9" t="e">
        <f>INDEX(signals_2019_10!$C$2:$AJ$682, MATCH($B339, signals_2019_10!$B$2:$B$682, 0), MATCH(C$2, signals_2019_10!$C$1:$AJ$1, 0))</f>
        <v>#N/A</v>
      </c>
      <c r="H339" s="14">
        <f t="shared" si="33"/>
        <v>0</v>
      </c>
      <c r="I339" s="11">
        <f t="shared" si="34"/>
        <v>0</v>
      </c>
      <c r="J339" s="11">
        <f t="shared" ca="1" si="35"/>
        <v>0</v>
      </c>
    </row>
    <row r="340" spans="1:10" hidden="1" x14ac:dyDescent="0.35">
      <c r="A340" s="20">
        <f>INDEX(signals_2020_05!$A$2:$A$680, MATCH(B340, signals_2020_05!$B$2:$B$680, 0))</f>
        <v>326</v>
      </c>
      <c r="B340" s="2" t="str">
        <f>signals_2020_05!B330</f>
        <v>Machine Fault Time</v>
      </c>
      <c r="C340" s="9" t="str">
        <f>INDEX(signals_2020_05!$C$2:$AJ$680, MATCH($B340, signals_2020_05!$B$2:$B$680, 0), MATCH(C$2, signals_2020_05!$C$1:$AJ$1, 0))</f>
        <v>NaT</v>
      </c>
      <c r="D340" s="14">
        <f t="shared" si="30"/>
        <v>0</v>
      </c>
      <c r="E340" s="11">
        <f t="shared" si="31"/>
        <v>0</v>
      </c>
      <c r="F340" s="11">
        <f t="shared" ca="1" si="32"/>
        <v>0</v>
      </c>
      <c r="G340" s="9" t="str">
        <f>INDEX(signals_2019_10!$C$2:$AJ$682, MATCH($B340, signals_2019_10!$B$2:$B$682, 0), MATCH(C$2, signals_2019_10!$C$1:$AJ$1, 0))</f>
        <v>NaT</v>
      </c>
      <c r="H340" s="14">
        <f t="shared" si="33"/>
        <v>0</v>
      </c>
      <c r="I340" s="11">
        <f t="shared" si="34"/>
        <v>0</v>
      </c>
      <c r="J340" s="11">
        <f t="shared" ca="1" si="35"/>
        <v>0</v>
      </c>
    </row>
    <row r="341" spans="1:10" hidden="1" x14ac:dyDescent="0.35">
      <c r="A341" s="20">
        <f>INDEX(signals_2020_05!$A$2:$A$680, MATCH(B341, signals_2020_05!$B$2:$B$680, 0))</f>
        <v>295</v>
      </c>
      <c r="B341" s="2" t="str">
        <f>signals_2020_05!B331</f>
        <v>Main reactor U temperature</v>
      </c>
      <c r="C341" s="9" t="str">
        <f>INDEX(signals_2020_05!$C$2:$AJ$680, MATCH($B341, signals_2020_05!$B$2:$B$680, 0), MATCH(C$2, signals_2020_05!$C$1:$AJ$1, 0))</f>
        <v>NaT</v>
      </c>
      <c r="D341" s="14">
        <f t="shared" si="30"/>
        <v>0</v>
      </c>
      <c r="E341" s="11">
        <f t="shared" si="31"/>
        <v>0</v>
      </c>
      <c r="F341" s="11">
        <f t="shared" ca="1" si="32"/>
        <v>0</v>
      </c>
      <c r="G341" s="9" t="str">
        <f>INDEX(signals_2019_10!$C$2:$AJ$682, MATCH($B341, signals_2019_10!$B$2:$B$682, 0), MATCH(C$2, signals_2019_10!$C$1:$AJ$1, 0))</f>
        <v>NaT</v>
      </c>
      <c r="H341" s="14">
        <f t="shared" si="33"/>
        <v>0</v>
      </c>
      <c r="I341" s="11">
        <f t="shared" si="34"/>
        <v>0</v>
      </c>
      <c r="J341" s="11">
        <f t="shared" ca="1" si="35"/>
        <v>0</v>
      </c>
    </row>
    <row r="342" spans="1:10" hidden="1" x14ac:dyDescent="0.35">
      <c r="A342" s="20">
        <f>INDEX(signals_2020_05!$A$2:$A$680, MATCH(B342, signals_2020_05!$B$2:$B$680, 0))</f>
        <v>296</v>
      </c>
      <c r="B342" s="2" t="str">
        <f>signals_2020_05!B332</f>
        <v>Main reactor V temperature</v>
      </c>
      <c r="C342" s="9" t="str">
        <f>INDEX(signals_2020_05!$C$2:$AJ$680, MATCH($B342, signals_2020_05!$B$2:$B$680, 0), MATCH(C$2, signals_2020_05!$C$1:$AJ$1, 0))</f>
        <v>NaT</v>
      </c>
      <c r="D342" s="14">
        <f t="shared" si="30"/>
        <v>0</v>
      </c>
      <c r="E342" s="11">
        <f t="shared" si="31"/>
        <v>0</v>
      </c>
      <c r="F342" s="11">
        <f t="shared" ca="1" si="32"/>
        <v>0</v>
      </c>
      <c r="G342" s="9" t="str">
        <f>INDEX(signals_2019_10!$C$2:$AJ$682, MATCH($B342, signals_2019_10!$B$2:$B$682, 0), MATCH(C$2, signals_2019_10!$C$1:$AJ$1, 0))</f>
        <v>NaT</v>
      </c>
      <c r="H342" s="14">
        <f t="shared" si="33"/>
        <v>0</v>
      </c>
      <c r="I342" s="11">
        <f t="shared" si="34"/>
        <v>0</v>
      </c>
      <c r="J342" s="11">
        <f t="shared" ca="1" si="35"/>
        <v>0</v>
      </c>
    </row>
    <row r="343" spans="1:10" hidden="1" x14ac:dyDescent="0.35">
      <c r="A343" s="20">
        <f>INDEX(signals_2020_05!$A$2:$A$680, MATCH(B343, signals_2020_05!$B$2:$B$680, 0))</f>
        <v>154</v>
      </c>
      <c r="B343" s="2" t="str">
        <f>signals_2020_05!B333</f>
        <v>Maintenance Time</v>
      </c>
      <c r="C343" s="9" t="str">
        <f>INDEX(signals_2020_05!$C$2:$AJ$680, MATCH($B343, signals_2020_05!$B$2:$B$680, 0), MATCH(C$2, signals_2020_05!$C$1:$AJ$1, 0))</f>
        <v>NaT</v>
      </c>
      <c r="D343" s="14">
        <f t="shared" si="30"/>
        <v>0</v>
      </c>
      <c r="E343" s="11">
        <f t="shared" si="31"/>
        <v>0</v>
      </c>
      <c r="F343" s="11">
        <f t="shared" ca="1" si="32"/>
        <v>0</v>
      </c>
      <c r="G343" s="9" t="str">
        <f>INDEX(signals_2019_10!$C$2:$AJ$682, MATCH($B343, signals_2019_10!$B$2:$B$682, 0), MATCH(C$2, signals_2019_10!$C$1:$AJ$1, 0))</f>
        <v>NaT</v>
      </c>
      <c r="H343" s="14">
        <f t="shared" si="33"/>
        <v>0</v>
      </c>
      <c r="I343" s="11">
        <f t="shared" si="34"/>
        <v>0</v>
      </c>
      <c r="J343" s="11">
        <f t="shared" ca="1" si="35"/>
        <v>0</v>
      </c>
    </row>
    <row r="344" spans="1:10" hidden="1" x14ac:dyDescent="0.35">
      <c r="A344" s="20">
        <f>INDEX(signals_2020_05!$A$2:$A$680, MATCH(B344, signals_2020_05!$B$2:$B$680, 0))</f>
        <v>398</v>
      </c>
      <c r="B344" s="2" t="str">
        <f>signals_2020_05!B334</f>
        <v>Manual Stop Time</v>
      </c>
      <c r="C344" s="9" t="str">
        <f>INDEX(signals_2020_05!$C$2:$AJ$680, MATCH($B344, signals_2020_05!$B$2:$B$680, 0), MATCH(C$2, signals_2020_05!$C$1:$AJ$1, 0))</f>
        <v>NaT</v>
      </c>
      <c r="D344" s="14">
        <f t="shared" si="30"/>
        <v>0</v>
      </c>
      <c r="E344" s="11">
        <f t="shared" si="31"/>
        <v>0</v>
      </c>
      <c r="F344" s="11">
        <f t="shared" ca="1" si="32"/>
        <v>0</v>
      </c>
      <c r="G344" s="9" t="str">
        <f>INDEX(signals_2019_10!$C$2:$AJ$682, MATCH($B344, signals_2019_10!$B$2:$B$682, 0), MATCH(C$2, signals_2019_10!$C$1:$AJ$1, 0))</f>
        <v>NaT</v>
      </c>
      <c r="H344" s="14">
        <f t="shared" si="33"/>
        <v>0</v>
      </c>
      <c r="I344" s="11">
        <f t="shared" si="34"/>
        <v>0</v>
      </c>
      <c r="J344" s="11">
        <f t="shared" ca="1" si="35"/>
        <v>0</v>
      </c>
    </row>
    <row r="345" spans="1:10" hidden="1" x14ac:dyDescent="0.35">
      <c r="A345" s="20">
        <f>INDEX(signals_2020_05!$A$2:$A$680, MATCH(B345, signals_2020_05!$B$2:$B$680, 0))</f>
        <v>55</v>
      </c>
      <c r="B345" s="2" t="str">
        <f>signals_2020_05!B335</f>
        <v>Manufacturer potential power</v>
      </c>
      <c r="C345" s="9" t="str">
        <f>INDEX(signals_2020_05!$C$2:$AJ$680, MATCH($B345, signals_2020_05!$B$2:$B$680, 0), MATCH(C$2, signals_2020_05!$C$1:$AJ$1, 0))</f>
        <v>NaT</v>
      </c>
      <c r="D345" s="14">
        <f t="shared" si="30"/>
        <v>0</v>
      </c>
      <c r="E345" s="11">
        <f t="shared" si="31"/>
        <v>0</v>
      </c>
      <c r="F345" s="11">
        <f t="shared" ca="1" si="32"/>
        <v>0</v>
      </c>
      <c r="G345" s="9" t="str">
        <f>INDEX(signals_2019_10!$C$2:$AJ$682, MATCH($B345, signals_2019_10!$B$2:$B$682, 0), MATCH(C$2, signals_2019_10!$C$1:$AJ$1, 0))</f>
        <v>NaT</v>
      </c>
      <c r="H345" s="14">
        <f t="shared" si="33"/>
        <v>0</v>
      </c>
      <c r="I345" s="11">
        <f t="shared" si="34"/>
        <v>0</v>
      </c>
      <c r="J345" s="11">
        <f t="shared" ca="1" si="35"/>
        <v>0</v>
      </c>
    </row>
    <row r="346" spans="1:10" hidden="1" x14ac:dyDescent="0.35">
      <c r="A346" s="20">
        <f>INDEX(signals_2020_05!$A$2:$A$680, MATCH(B346, signals_2020_05!$B$2:$B$680, 0))</f>
        <v>58</v>
      </c>
      <c r="B346" s="2" t="str">
        <f>signals_2020_05!B336</f>
        <v>Manufacturer potential power (limited by external factors)</v>
      </c>
      <c r="C346" s="9" t="str">
        <f>INDEX(signals_2020_05!$C$2:$AJ$680, MATCH($B346, signals_2020_05!$B$2:$B$680, 0), MATCH(C$2, signals_2020_05!$C$1:$AJ$1, 0))</f>
        <v>NaT</v>
      </c>
      <c r="D346" s="14">
        <f t="shared" si="30"/>
        <v>0</v>
      </c>
      <c r="E346" s="11">
        <f t="shared" si="31"/>
        <v>0</v>
      </c>
      <c r="F346" s="11">
        <f t="shared" ca="1" si="32"/>
        <v>0</v>
      </c>
      <c r="G346" s="9" t="str">
        <f>INDEX(signals_2019_10!$C$2:$AJ$682, MATCH($B346, signals_2019_10!$B$2:$B$682, 0), MATCH(C$2, signals_2019_10!$C$1:$AJ$1, 0))</f>
        <v>NaT</v>
      </c>
      <c r="H346" s="14">
        <f t="shared" si="33"/>
        <v>0</v>
      </c>
      <c r="I346" s="11">
        <f t="shared" si="34"/>
        <v>0</v>
      </c>
      <c r="J346" s="11">
        <f t="shared" ca="1" si="35"/>
        <v>0</v>
      </c>
    </row>
    <row r="347" spans="1:10" hidden="1" x14ac:dyDescent="0.35">
      <c r="A347" s="20">
        <f>INDEX(signals_2020_05!$A$2:$A$680, MATCH(B347, signals_2020_05!$B$2:$B$680, 0))</f>
        <v>57</v>
      </c>
      <c r="B347" s="2" t="str">
        <f>signals_2020_05!B337</f>
        <v>Manufacturer potential power (limited by force majeure)</v>
      </c>
      <c r="C347" s="9" t="str">
        <f>INDEX(signals_2020_05!$C$2:$AJ$680, MATCH($B347, signals_2020_05!$B$2:$B$680, 0), MATCH(C$2, signals_2020_05!$C$1:$AJ$1, 0))</f>
        <v>NaT</v>
      </c>
      <c r="D347" s="14">
        <f t="shared" si="30"/>
        <v>0</v>
      </c>
      <c r="E347" s="11">
        <f t="shared" si="31"/>
        <v>0</v>
      </c>
      <c r="F347" s="11">
        <f t="shared" ca="1" si="32"/>
        <v>0</v>
      </c>
      <c r="G347" s="9" t="str">
        <f>INDEX(signals_2019_10!$C$2:$AJ$682, MATCH($B347, signals_2019_10!$B$2:$B$682, 0), MATCH(C$2, signals_2019_10!$C$1:$AJ$1, 0))</f>
        <v>NaT</v>
      </c>
      <c r="H347" s="14">
        <f t="shared" si="33"/>
        <v>0</v>
      </c>
      <c r="I347" s="11">
        <f t="shared" si="34"/>
        <v>0</v>
      </c>
      <c r="J347" s="11">
        <f t="shared" ca="1" si="35"/>
        <v>0</v>
      </c>
    </row>
    <row r="348" spans="1:10" hidden="1" x14ac:dyDescent="0.35">
      <c r="A348" s="20">
        <f>INDEX(signals_2020_05!$A$2:$A$680, MATCH(B348, signals_2020_05!$B$2:$B$680, 0))</f>
        <v>56</v>
      </c>
      <c r="B348" s="2" t="str">
        <f>signals_2020_05!B338</f>
        <v>Manufacturer potential power (limited by technical problems)</v>
      </c>
      <c r="C348" s="9" t="str">
        <f>INDEX(signals_2020_05!$C$2:$AJ$680, MATCH($B348, signals_2020_05!$B$2:$B$680, 0), MATCH(C$2, signals_2020_05!$C$1:$AJ$1, 0))</f>
        <v>NaT</v>
      </c>
      <c r="D348" s="14">
        <f t="shared" si="30"/>
        <v>0</v>
      </c>
      <c r="E348" s="11">
        <f t="shared" si="31"/>
        <v>0</v>
      </c>
      <c r="F348" s="11">
        <f t="shared" ca="1" si="32"/>
        <v>0</v>
      </c>
      <c r="G348" s="9" t="str">
        <f>INDEX(signals_2019_10!$C$2:$AJ$682, MATCH($B348, signals_2019_10!$B$2:$B$682, 0), MATCH(C$2, signals_2019_10!$C$1:$AJ$1, 0))</f>
        <v>NaT</v>
      </c>
      <c r="H348" s="14">
        <f t="shared" si="33"/>
        <v>0</v>
      </c>
      <c r="I348" s="11">
        <f t="shared" si="34"/>
        <v>0</v>
      </c>
      <c r="J348" s="11">
        <f t="shared" ca="1" si="35"/>
        <v>0</v>
      </c>
    </row>
    <row r="349" spans="1:10" hidden="1" x14ac:dyDescent="0.35">
      <c r="A349" s="20">
        <f>INDEX(signals_2020_05!$A$2:$A$680, MATCH(B349, signals_2020_05!$B$2:$B$680, 0))</f>
        <v>309</v>
      </c>
      <c r="B349" s="2" t="str">
        <f>signals_2020_05!B339</f>
        <v>Maximum possible power</v>
      </c>
      <c r="C349" s="9" t="str">
        <f>INDEX(signals_2020_05!$C$2:$AJ$680, MATCH($B349, signals_2020_05!$B$2:$B$680, 0), MATCH(C$2, signals_2020_05!$C$1:$AJ$1, 0))</f>
        <v>NaT</v>
      </c>
      <c r="D349" s="14">
        <f t="shared" si="30"/>
        <v>0</v>
      </c>
      <c r="E349" s="11">
        <f t="shared" si="31"/>
        <v>0</v>
      </c>
      <c r="F349" s="11">
        <f t="shared" ca="1" si="32"/>
        <v>0</v>
      </c>
      <c r="G349" s="9" t="str">
        <f>INDEX(signals_2019_10!$C$2:$AJ$682, MATCH($B349, signals_2019_10!$B$2:$B$682, 0), MATCH(C$2, signals_2019_10!$C$1:$AJ$1, 0))</f>
        <v>NaT</v>
      </c>
      <c r="H349" s="14">
        <f t="shared" si="33"/>
        <v>0</v>
      </c>
      <c r="I349" s="11">
        <f t="shared" si="34"/>
        <v>0</v>
      </c>
      <c r="J349" s="11">
        <f t="shared" ca="1" si="35"/>
        <v>0</v>
      </c>
    </row>
    <row r="350" spans="1:10" hidden="1" x14ac:dyDescent="0.35">
      <c r="A350" s="20">
        <f>INDEX(signals_2020_05!$A$2:$A$680, MATCH(B350, signals_2020_05!$B$2:$B$680, 0))</f>
        <v>3763</v>
      </c>
      <c r="B350" s="2" t="str">
        <f>signals_2020_05!B340</f>
        <v>Maximum possible power, Max</v>
      </c>
      <c r="C350" s="9" t="str">
        <f>INDEX(signals_2020_05!$C$2:$AJ$680, MATCH($B350, signals_2020_05!$B$2:$B$680, 0), MATCH(C$2, signals_2020_05!$C$1:$AJ$1, 0))</f>
        <v>NaT</v>
      </c>
      <c r="D350" s="14">
        <f t="shared" si="30"/>
        <v>0</v>
      </c>
      <c r="E350" s="11">
        <f t="shared" si="31"/>
        <v>0</v>
      </c>
      <c r="F350" s="11">
        <f t="shared" ca="1" si="32"/>
        <v>0</v>
      </c>
      <c r="G350" s="9" t="e">
        <f>INDEX(signals_2019_10!$C$2:$AJ$682, MATCH($B350, signals_2019_10!$B$2:$B$682, 0), MATCH(C$2, signals_2019_10!$C$1:$AJ$1, 0))</f>
        <v>#N/A</v>
      </c>
      <c r="H350" s="14">
        <f t="shared" si="33"/>
        <v>0</v>
      </c>
      <c r="I350" s="11">
        <f t="shared" si="34"/>
        <v>0</v>
      </c>
      <c r="J350" s="11">
        <f t="shared" ca="1" si="35"/>
        <v>0</v>
      </c>
    </row>
    <row r="351" spans="1:10" hidden="1" x14ac:dyDescent="0.35">
      <c r="A351" s="20">
        <f>INDEX(signals_2020_05!$A$2:$A$680, MATCH(B351, signals_2020_05!$B$2:$B$680, 0))</f>
        <v>3764</v>
      </c>
      <c r="B351" s="2" t="str">
        <f>signals_2020_05!B341</f>
        <v>Maximum possible power, Min</v>
      </c>
      <c r="C351" s="9" t="str">
        <f>INDEX(signals_2020_05!$C$2:$AJ$680, MATCH($B351, signals_2020_05!$B$2:$B$680, 0), MATCH(C$2, signals_2020_05!$C$1:$AJ$1, 0))</f>
        <v>NaT</v>
      </c>
      <c r="D351" s="14">
        <f t="shared" si="30"/>
        <v>0</v>
      </c>
      <c r="E351" s="11">
        <f t="shared" si="31"/>
        <v>0</v>
      </c>
      <c r="F351" s="11">
        <f t="shared" ca="1" si="32"/>
        <v>0</v>
      </c>
      <c r="G351" s="9" t="e">
        <f>INDEX(signals_2019_10!$C$2:$AJ$682, MATCH($B351, signals_2019_10!$B$2:$B$682, 0), MATCH(C$2, signals_2019_10!$C$1:$AJ$1, 0))</f>
        <v>#N/A</v>
      </c>
      <c r="H351" s="14">
        <f t="shared" si="33"/>
        <v>0</v>
      </c>
      <c r="I351" s="11">
        <f t="shared" si="34"/>
        <v>0</v>
      </c>
      <c r="J351" s="11">
        <f t="shared" ca="1" si="35"/>
        <v>0</v>
      </c>
    </row>
    <row r="352" spans="1:10" hidden="1" x14ac:dyDescent="0.35">
      <c r="A352" s="20">
        <f>INDEX(signals_2020_05!$A$2:$A$680, MATCH(B352, signals_2020_05!$B$2:$B$680, 0))</f>
        <v>3765</v>
      </c>
      <c r="B352" s="2" t="str">
        <f>signals_2020_05!B342</f>
        <v>Maximum possible power, Standard deviation</v>
      </c>
      <c r="C352" s="9" t="str">
        <f>INDEX(signals_2020_05!$C$2:$AJ$680, MATCH($B352, signals_2020_05!$B$2:$B$680, 0), MATCH(C$2, signals_2020_05!$C$1:$AJ$1, 0))</f>
        <v>NaT</v>
      </c>
      <c r="D352" s="14">
        <f t="shared" si="30"/>
        <v>0</v>
      </c>
      <c r="E352" s="11">
        <f t="shared" si="31"/>
        <v>0</v>
      </c>
      <c r="F352" s="11">
        <f t="shared" ca="1" si="32"/>
        <v>0</v>
      </c>
      <c r="G352" s="9" t="e">
        <f>INDEX(signals_2019_10!$C$2:$AJ$682, MATCH($B352, signals_2019_10!$B$2:$B$682, 0), MATCH(C$2, signals_2019_10!$C$1:$AJ$1, 0))</f>
        <v>#N/A</v>
      </c>
      <c r="H352" s="14">
        <f t="shared" si="33"/>
        <v>0</v>
      </c>
      <c r="I352" s="11">
        <f t="shared" si="34"/>
        <v>0</v>
      </c>
      <c r="J352" s="11">
        <f t="shared" ca="1" si="35"/>
        <v>0</v>
      </c>
    </row>
    <row r="353" spans="1:10" hidden="1" x14ac:dyDescent="0.35">
      <c r="A353" s="20">
        <f>INDEX(signals_2020_05!$A$2:$A$680, MATCH(B353, signals_2020_05!$B$2:$B$680, 0))</f>
        <v>517</v>
      </c>
      <c r="B353" s="2" t="str">
        <f>signals_2020_05!B343</f>
        <v>Met mast, Air pressure</v>
      </c>
      <c r="C353" s="9" t="str">
        <f>INDEX(signals_2020_05!$C$2:$AJ$680, MATCH($B353, signals_2020_05!$B$2:$B$680, 0), MATCH(C$2, signals_2020_05!$C$1:$AJ$1, 0))</f>
        <v>NaT</v>
      </c>
      <c r="D353" s="14">
        <f t="shared" si="30"/>
        <v>0</v>
      </c>
      <c r="E353" s="11">
        <f t="shared" si="31"/>
        <v>0</v>
      </c>
      <c r="F353" s="11">
        <f t="shared" ca="1" si="32"/>
        <v>0</v>
      </c>
      <c r="G353" s="9" t="str">
        <f>INDEX(signals_2019_10!$C$2:$AJ$682, MATCH($B353, signals_2019_10!$B$2:$B$682, 0), MATCH(C$2, signals_2019_10!$C$1:$AJ$1, 0))</f>
        <v>NaT</v>
      </c>
      <c r="H353" s="14">
        <f t="shared" si="33"/>
        <v>0</v>
      </c>
      <c r="I353" s="11">
        <f t="shared" si="34"/>
        <v>0</v>
      </c>
      <c r="J353" s="11">
        <f t="shared" ca="1" si="35"/>
        <v>0</v>
      </c>
    </row>
    <row r="354" spans="1:10" hidden="1" x14ac:dyDescent="0.35">
      <c r="A354" s="20">
        <f>INDEX(signals_2020_05!$A$2:$A$680, MATCH(B354, signals_2020_05!$B$2:$B$680, 0))</f>
        <v>1436</v>
      </c>
      <c r="B354" s="2" t="str">
        <f>signals_2020_05!B344</f>
        <v>Met mast, Air pressure (max)</v>
      </c>
      <c r="C354" s="9" t="str">
        <f>INDEX(signals_2020_05!$C$2:$AJ$680, MATCH($B354, signals_2020_05!$B$2:$B$680, 0), MATCH(C$2, signals_2020_05!$C$1:$AJ$1, 0))</f>
        <v>NaT</v>
      </c>
      <c r="D354" s="14">
        <f t="shared" si="30"/>
        <v>0</v>
      </c>
      <c r="E354" s="11">
        <f t="shared" si="31"/>
        <v>0</v>
      </c>
      <c r="F354" s="11">
        <f t="shared" ca="1" si="32"/>
        <v>0</v>
      </c>
      <c r="G354" s="9" t="str">
        <f>INDEX(signals_2019_10!$C$2:$AJ$682, MATCH($B354, signals_2019_10!$B$2:$B$682, 0), MATCH(C$2, signals_2019_10!$C$1:$AJ$1, 0))</f>
        <v>NaT</v>
      </c>
      <c r="H354" s="14">
        <f t="shared" si="33"/>
        <v>0</v>
      </c>
      <c r="I354" s="11">
        <f t="shared" si="34"/>
        <v>0</v>
      </c>
      <c r="J354" s="11">
        <f t="shared" ca="1" si="35"/>
        <v>0</v>
      </c>
    </row>
    <row r="355" spans="1:10" hidden="1" x14ac:dyDescent="0.35">
      <c r="A355" s="20">
        <f>INDEX(signals_2020_05!$A$2:$A$680, MATCH(B355, signals_2020_05!$B$2:$B$680, 0))</f>
        <v>1437</v>
      </c>
      <c r="B355" s="2" t="str">
        <f>signals_2020_05!B345</f>
        <v>Met mast, Air pressure (min)</v>
      </c>
      <c r="C355" s="9" t="str">
        <f>INDEX(signals_2020_05!$C$2:$AJ$680, MATCH($B355, signals_2020_05!$B$2:$B$680, 0), MATCH(C$2, signals_2020_05!$C$1:$AJ$1, 0))</f>
        <v>NaT</v>
      </c>
      <c r="D355" s="14">
        <f t="shared" si="30"/>
        <v>0</v>
      </c>
      <c r="E355" s="11">
        <f t="shared" si="31"/>
        <v>0</v>
      </c>
      <c r="F355" s="11">
        <f t="shared" ca="1" si="32"/>
        <v>0</v>
      </c>
      <c r="G355" s="9" t="str">
        <f>INDEX(signals_2019_10!$C$2:$AJ$682, MATCH($B355, signals_2019_10!$B$2:$B$682, 0), MATCH(C$2, signals_2019_10!$C$1:$AJ$1, 0))</f>
        <v>NaT</v>
      </c>
      <c r="H355" s="14">
        <f t="shared" si="33"/>
        <v>0</v>
      </c>
      <c r="I355" s="11">
        <f t="shared" si="34"/>
        <v>0</v>
      </c>
      <c r="J355" s="11">
        <f t="shared" ca="1" si="35"/>
        <v>0</v>
      </c>
    </row>
    <row r="356" spans="1:10" hidden="1" x14ac:dyDescent="0.35">
      <c r="A356" s="20">
        <f>INDEX(signals_2020_05!$A$2:$A$680, MATCH(B356, signals_2020_05!$B$2:$B$680, 0))</f>
        <v>1438</v>
      </c>
      <c r="B356" s="2" t="str">
        <f>signals_2020_05!B346</f>
        <v>Met mast, Air pressure (StdDev)</v>
      </c>
      <c r="C356" s="9" t="str">
        <f>INDEX(signals_2020_05!$C$2:$AJ$680, MATCH($B356, signals_2020_05!$B$2:$B$680, 0), MATCH(C$2, signals_2020_05!$C$1:$AJ$1, 0))</f>
        <v>NaT</v>
      </c>
      <c r="D356" s="14">
        <f t="shared" si="30"/>
        <v>0</v>
      </c>
      <c r="E356" s="11">
        <f t="shared" si="31"/>
        <v>0</v>
      </c>
      <c r="F356" s="11">
        <f t="shared" ca="1" si="32"/>
        <v>0</v>
      </c>
      <c r="G356" s="9" t="str">
        <f>INDEX(signals_2019_10!$C$2:$AJ$682, MATCH($B356, signals_2019_10!$B$2:$B$682, 0), MATCH(C$2, signals_2019_10!$C$1:$AJ$1, 0))</f>
        <v>NaT</v>
      </c>
      <c r="H356" s="14">
        <f t="shared" si="33"/>
        <v>0</v>
      </c>
      <c r="I356" s="11">
        <f t="shared" si="34"/>
        <v>0</v>
      </c>
      <c r="J356" s="11">
        <f t="shared" ca="1" si="35"/>
        <v>0</v>
      </c>
    </row>
    <row r="357" spans="1:10" hidden="1" x14ac:dyDescent="0.35">
      <c r="A357" s="20">
        <f>INDEX(signals_2020_05!$A$2:$A$680, MATCH(B357, signals_2020_05!$B$2:$B$680, 0))</f>
        <v>516</v>
      </c>
      <c r="B357" s="2" t="str">
        <f>signals_2020_05!B347</f>
        <v>Met mast, Ambient temperature</v>
      </c>
      <c r="C357" s="9" t="str">
        <f>INDEX(signals_2020_05!$C$2:$AJ$680, MATCH($B357, signals_2020_05!$B$2:$B$680, 0), MATCH(C$2, signals_2020_05!$C$1:$AJ$1, 0))</f>
        <v>NaT</v>
      </c>
      <c r="D357" s="14">
        <f t="shared" si="30"/>
        <v>0</v>
      </c>
      <c r="E357" s="11">
        <f t="shared" si="31"/>
        <v>0</v>
      </c>
      <c r="F357" s="11">
        <f t="shared" ca="1" si="32"/>
        <v>0</v>
      </c>
      <c r="G357" s="9" t="str">
        <f>INDEX(signals_2019_10!$C$2:$AJ$682, MATCH($B357, signals_2019_10!$B$2:$B$682, 0), MATCH(C$2, signals_2019_10!$C$1:$AJ$1, 0))</f>
        <v>NaT</v>
      </c>
      <c r="H357" s="14">
        <f t="shared" si="33"/>
        <v>0</v>
      </c>
      <c r="I357" s="11">
        <f t="shared" si="34"/>
        <v>0</v>
      </c>
      <c r="J357" s="11">
        <f t="shared" ca="1" si="35"/>
        <v>0</v>
      </c>
    </row>
    <row r="358" spans="1:10" hidden="1" x14ac:dyDescent="0.35">
      <c r="A358" s="20">
        <f>INDEX(signals_2020_05!$A$2:$A$680, MATCH(B358, signals_2020_05!$B$2:$B$680, 0))</f>
        <v>1433</v>
      </c>
      <c r="B358" s="2" t="str">
        <f>signals_2020_05!B348</f>
        <v>Met mast, Ambient temperature (max)</v>
      </c>
      <c r="C358" s="9" t="str">
        <f>INDEX(signals_2020_05!$C$2:$AJ$680, MATCH($B358, signals_2020_05!$B$2:$B$680, 0), MATCH(C$2, signals_2020_05!$C$1:$AJ$1, 0))</f>
        <v>NaT</v>
      </c>
      <c r="D358" s="14">
        <f t="shared" si="30"/>
        <v>0</v>
      </c>
      <c r="E358" s="11">
        <f t="shared" si="31"/>
        <v>0</v>
      </c>
      <c r="F358" s="11">
        <f t="shared" ca="1" si="32"/>
        <v>0</v>
      </c>
      <c r="G358" s="9" t="str">
        <f>INDEX(signals_2019_10!$C$2:$AJ$682, MATCH($B358, signals_2019_10!$B$2:$B$682, 0), MATCH(C$2, signals_2019_10!$C$1:$AJ$1, 0))</f>
        <v>NaT</v>
      </c>
      <c r="H358" s="14">
        <f t="shared" si="33"/>
        <v>0</v>
      </c>
      <c r="I358" s="11">
        <f t="shared" si="34"/>
        <v>0</v>
      </c>
      <c r="J358" s="11">
        <f t="shared" ca="1" si="35"/>
        <v>0</v>
      </c>
    </row>
    <row r="359" spans="1:10" hidden="1" x14ac:dyDescent="0.35">
      <c r="A359" s="20">
        <f>INDEX(signals_2020_05!$A$2:$A$680, MATCH(B359, signals_2020_05!$B$2:$B$680, 0))</f>
        <v>1434</v>
      </c>
      <c r="B359" s="2" t="str">
        <f>signals_2020_05!B349</f>
        <v>Met mast, Ambient temperature (min)</v>
      </c>
      <c r="C359" s="9" t="str">
        <f>INDEX(signals_2020_05!$C$2:$AJ$680, MATCH($B359, signals_2020_05!$B$2:$B$680, 0), MATCH(C$2, signals_2020_05!$C$1:$AJ$1, 0))</f>
        <v>NaT</v>
      </c>
      <c r="D359" s="14">
        <f t="shared" si="30"/>
        <v>0</v>
      </c>
      <c r="E359" s="11">
        <f t="shared" si="31"/>
        <v>0</v>
      </c>
      <c r="F359" s="11">
        <f t="shared" ca="1" si="32"/>
        <v>0</v>
      </c>
      <c r="G359" s="9" t="str">
        <f>INDEX(signals_2019_10!$C$2:$AJ$682, MATCH($B359, signals_2019_10!$B$2:$B$682, 0), MATCH(C$2, signals_2019_10!$C$1:$AJ$1, 0))</f>
        <v>NaT</v>
      </c>
      <c r="H359" s="14">
        <f t="shared" si="33"/>
        <v>0</v>
      </c>
      <c r="I359" s="11">
        <f t="shared" si="34"/>
        <v>0</v>
      </c>
      <c r="J359" s="11">
        <f t="shared" ca="1" si="35"/>
        <v>0</v>
      </c>
    </row>
    <row r="360" spans="1:10" hidden="1" x14ac:dyDescent="0.35">
      <c r="A360" s="20">
        <f>INDEX(signals_2020_05!$A$2:$A$680, MATCH(B360, signals_2020_05!$B$2:$B$680, 0))</f>
        <v>1435</v>
      </c>
      <c r="B360" s="2" t="str">
        <f>signals_2020_05!B350</f>
        <v>Met mast, Ambient temperature (StdDev)</v>
      </c>
      <c r="C360" s="9" t="str">
        <f>INDEX(signals_2020_05!$C$2:$AJ$680, MATCH($B360, signals_2020_05!$B$2:$B$680, 0), MATCH(C$2, signals_2020_05!$C$1:$AJ$1, 0))</f>
        <v>NaT</v>
      </c>
      <c r="D360" s="14">
        <f t="shared" si="30"/>
        <v>0</v>
      </c>
      <c r="E360" s="11">
        <f t="shared" si="31"/>
        <v>0</v>
      </c>
      <c r="F360" s="11">
        <f t="shared" ca="1" si="32"/>
        <v>0</v>
      </c>
      <c r="G360" s="9" t="str">
        <f>INDEX(signals_2019_10!$C$2:$AJ$682, MATCH($B360, signals_2019_10!$B$2:$B$682, 0), MATCH(C$2, signals_2019_10!$C$1:$AJ$1, 0))</f>
        <v>NaT</v>
      </c>
      <c r="H360" s="14">
        <f t="shared" si="33"/>
        <v>0</v>
      </c>
      <c r="I360" s="11">
        <f t="shared" si="34"/>
        <v>0</v>
      </c>
      <c r="J360" s="11">
        <f t="shared" ca="1" si="35"/>
        <v>0</v>
      </c>
    </row>
    <row r="361" spans="1:10" hidden="1" x14ac:dyDescent="0.35">
      <c r="A361" s="20">
        <f>INDEX(signals_2020_05!$A$2:$A$680, MATCH(B361, signals_2020_05!$B$2:$B$680, 0))</f>
        <v>538</v>
      </c>
      <c r="B361" s="2" t="str">
        <f>signals_2020_05!B351</f>
        <v>Met mast, Relative humidity</v>
      </c>
      <c r="C361" s="9" t="str">
        <f>INDEX(signals_2020_05!$C$2:$AJ$680, MATCH($B361, signals_2020_05!$B$2:$B$680, 0), MATCH(C$2, signals_2020_05!$C$1:$AJ$1, 0))</f>
        <v>NaT</v>
      </c>
      <c r="D361" s="14">
        <f t="shared" si="30"/>
        <v>0</v>
      </c>
      <c r="E361" s="11">
        <f t="shared" si="31"/>
        <v>0</v>
      </c>
      <c r="F361" s="11">
        <f t="shared" ca="1" si="32"/>
        <v>0</v>
      </c>
      <c r="G361" s="9" t="str">
        <f>INDEX(signals_2019_10!$C$2:$AJ$682, MATCH($B361, signals_2019_10!$B$2:$B$682, 0), MATCH(C$2, signals_2019_10!$C$1:$AJ$1, 0))</f>
        <v>NaT</v>
      </c>
      <c r="H361" s="14">
        <f t="shared" si="33"/>
        <v>0</v>
      </c>
      <c r="I361" s="11">
        <f t="shared" si="34"/>
        <v>0</v>
      </c>
      <c r="J361" s="11">
        <f t="shared" ca="1" si="35"/>
        <v>0</v>
      </c>
    </row>
    <row r="362" spans="1:10" hidden="1" x14ac:dyDescent="0.35">
      <c r="A362" s="20">
        <f>INDEX(signals_2020_05!$A$2:$A$680, MATCH(B362, signals_2020_05!$B$2:$B$680, 0))</f>
        <v>1445</v>
      </c>
      <c r="B362" s="2" t="str">
        <f>signals_2020_05!B352</f>
        <v>Met mast, Relative humidity (max)</v>
      </c>
      <c r="C362" s="9" t="str">
        <f>INDEX(signals_2020_05!$C$2:$AJ$680, MATCH($B362, signals_2020_05!$B$2:$B$680, 0), MATCH(C$2, signals_2020_05!$C$1:$AJ$1, 0))</f>
        <v>NaT</v>
      </c>
      <c r="D362" s="14">
        <f t="shared" si="30"/>
        <v>0</v>
      </c>
      <c r="E362" s="11">
        <f t="shared" si="31"/>
        <v>0</v>
      </c>
      <c r="F362" s="11">
        <f t="shared" ca="1" si="32"/>
        <v>0</v>
      </c>
      <c r="G362" s="9" t="str">
        <f>INDEX(signals_2019_10!$C$2:$AJ$682, MATCH($B362, signals_2019_10!$B$2:$B$682, 0), MATCH(C$2, signals_2019_10!$C$1:$AJ$1, 0))</f>
        <v>NaT</v>
      </c>
      <c r="H362" s="14">
        <f t="shared" si="33"/>
        <v>0</v>
      </c>
      <c r="I362" s="11">
        <f t="shared" si="34"/>
        <v>0</v>
      </c>
      <c r="J362" s="11">
        <f t="shared" ca="1" si="35"/>
        <v>0</v>
      </c>
    </row>
    <row r="363" spans="1:10" hidden="1" x14ac:dyDescent="0.35">
      <c r="A363" s="20">
        <f>INDEX(signals_2020_05!$A$2:$A$680, MATCH(B363, signals_2020_05!$B$2:$B$680, 0))</f>
        <v>1446</v>
      </c>
      <c r="B363" s="2" t="str">
        <f>signals_2020_05!B353</f>
        <v>Met mast, Relative humidity (min)</v>
      </c>
      <c r="C363" s="9" t="str">
        <f>INDEX(signals_2020_05!$C$2:$AJ$680, MATCH($B363, signals_2020_05!$B$2:$B$680, 0), MATCH(C$2, signals_2020_05!$C$1:$AJ$1, 0))</f>
        <v>NaT</v>
      </c>
      <c r="D363" s="14">
        <f t="shared" si="30"/>
        <v>0</v>
      </c>
      <c r="E363" s="11">
        <f t="shared" si="31"/>
        <v>0</v>
      </c>
      <c r="F363" s="11">
        <f t="shared" ca="1" si="32"/>
        <v>0</v>
      </c>
      <c r="G363" s="9" t="str">
        <f>INDEX(signals_2019_10!$C$2:$AJ$682, MATCH($B363, signals_2019_10!$B$2:$B$682, 0), MATCH(C$2, signals_2019_10!$C$1:$AJ$1, 0))</f>
        <v>NaT</v>
      </c>
      <c r="H363" s="14">
        <f t="shared" si="33"/>
        <v>0</v>
      </c>
      <c r="I363" s="11">
        <f t="shared" si="34"/>
        <v>0</v>
      </c>
      <c r="J363" s="11">
        <f t="shared" ca="1" si="35"/>
        <v>0</v>
      </c>
    </row>
    <row r="364" spans="1:10" hidden="1" x14ac:dyDescent="0.35">
      <c r="A364" s="20">
        <f>INDEX(signals_2020_05!$A$2:$A$680, MATCH(B364, signals_2020_05!$B$2:$B$680, 0))</f>
        <v>1447</v>
      </c>
      <c r="B364" s="2" t="str">
        <f>signals_2020_05!B354</f>
        <v>Met mast, Relative humidity (StdDev)</v>
      </c>
      <c r="C364" s="9" t="str">
        <f>INDEX(signals_2020_05!$C$2:$AJ$680, MATCH($B364, signals_2020_05!$B$2:$B$680, 0), MATCH(C$2, signals_2020_05!$C$1:$AJ$1, 0))</f>
        <v>NaT</v>
      </c>
      <c r="D364" s="14">
        <f t="shared" si="30"/>
        <v>0</v>
      </c>
      <c r="E364" s="11">
        <f t="shared" si="31"/>
        <v>0</v>
      </c>
      <c r="F364" s="11">
        <f t="shared" ca="1" si="32"/>
        <v>0</v>
      </c>
      <c r="G364" s="9" t="str">
        <f>INDEX(signals_2019_10!$C$2:$AJ$682, MATCH($B364, signals_2019_10!$B$2:$B$682, 0), MATCH(C$2, signals_2019_10!$C$1:$AJ$1, 0))</f>
        <v>NaT</v>
      </c>
      <c r="H364" s="14">
        <f t="shared" si="33"/>
        <v>0</v>
      </c>
      <c r="I364" s="11">
        <f t="shared" si="34"/>
        <v>0</v>
      </c>
      <c r="J364" s="11">
        <f t="shared" ca="1" si="35"/>
        <v>0</v>
      </c>
    </row>
    <row r="365" spans="1:10" hidden="1" x14ac:dyDescent="0.35">
      <c r="A365" s="20">
        <f>INDEX(signals_2020_05!$A$2:$A$680, MATCH(B365, signals_2020_05!$B$2:$B$680, 0))</f>
        <v>513</v>
      </c>
      <c r="B365" s="2" t="str">
        <f>signals_2020_05!B355</f>
        <v>Met mast, Wind direction 1</v>
      </c>
      <c r="C365" s="9" t="str">
        <f>INDEX(signals_2020_05!$C$2:$AJ$680, MATCH($B365, signals_2020_05!$B$2:$B$680, 0), MATCH(C$2, signals_2020_05!$C$1:$AJ$1, 0))</f>
        <v>NaT</v>
      </c>
      <c r="D365" s="14">
        <f t="shared" si="30"/>
        <v>0</v>
      </c>
      <c r="E365" s="11">
        <f t="shared" si="31"/>
        <v>0</v>
      </c>
      <c r="F365" s="11">
        <f t="shared" ca="1" si="32"/>
        <v>0</v>
      </c>
      <c r="G365" s="9" t="str">
        <f>INDEX(signals_2019_10!$C$2:$AJ$682, MATCH($B365, signals_2019_10!$B$2:$B$682, 0), MATCH(C$2, signals_2019_10!$C$1:$AJ$1, 0))</f>
        <v>NaT</v>
      </c>
      <c r="H365" s="14">
        <f t="shared" si="33"/>
        <v>0</v>
      </c>
      <c r="I365" s="11">
        <f t="shared" si="34"/>
        <v>0</v>
      </c>
      <c r="J365" s="11">
        <f t="shared" ca="1" si="35"/>
        <v>0</v>
      </c>
    </row>
    <row r="366" spans="1:10" hidden="1" x14ac:dyDescent="0.35">
      <c r="A366" s="20">
        <f>INDEX(signals_2020_05!$A$2:$A$680, MATCH(B366, signals_2020_05!$B$2:$B$680, 0))</f>
        <v>1439</v>
      </c>
      <c r="B366" s="2" t="str">
        <f>signals_2020_05!B356</f>
        <v>Met mast, Wind direction 1 (max)</v>
      </c>
      <c r="C366" s="9" t="str">
        <f>INDEX(signals_2020_05!$C$2:$AJ$680, MATCH($B366, signals_2020_05!$B$2:$B$680, 0), MATCH(C$2, signals_2020_05!$C$1:$AJ$1, 0))</f>
        <v>NaT</v>
      </c>
      <c r="D366" s="14">
        <f t="shared" si="30"/>
        <v>0</v>
      </c>
      <c r="E366" s="11">
        <f t="shared" si="31"/>
        <v>0</v>
      </c>
      <c r="F366" s="11">
        <f t="shared" ca="1" si="32"/>
        <v>0</v>
      </c>
      <c r="G366" s="9" t="str">
        <f>INDEX(signals_2019_10!$C$2:$AJ$682, MATCH($B366, signals_2019_10!$B$2:$B$682, 0), MATCH(C$2, signals_2019_10!$C$1:$AJ$1, 0))</f>
        <v>NaT</v>
      </c>
      <c r="H366" s="14">
        <f t="shared" si="33"/>
        <v>0</v>
      </c>
      <c r="I366" s="11">
        <f t="shared" si="34"/>
        <v>0</v>
      </c>
      <c r="J366" s="11">
        <f t="shared" ca="1" si="35"/>
        <v>0</v>
      </c>
    </row>
    <row r="367" spans="1:10" hidden="1" x14ac:dyDescent="0.35">
      <c r="A367" s="20">
        <f>INDEX(signals_2020_05!$A$2:$A$680, MATCH(B367, signals_2020_05!$B$2:$B$680, 0))</f>
        <v>1440</v>
      </c>
      <c r="B367" s="2" t="str">
        <f>signals_2020_05!B357</f>
        <v>Met mast, Wind direction 1 (min)</v>
      </c>
      <c r="C367" s="9" t="str">
        <f>INDEX(signals_2020_05!$C$2:$AJ$680, MATCH($B367, signals_2020_05!$B$2:$B$680, 0), MATCH(C$2, signals_2020_05!$C$1:$AJ$1, 0))</f>
        <v>NaT</v>
      </c>
      <c r="D367" s="14">
        <f t="shared" si="30"/>
        <v>0</v>
      </c>
      <c r="E367" s="11">
        <f t="shared" si="31"/>
        <v>0</v>
      </c>
      <c r="F367" s="11">
        <f t="shared" ca="1" si="32"/>
        <v>0</v>
      </c>
      <c r="G367" s="9" t="str">
        <f>INDEX(signals_2019_10!$C$2:$AJ$682, MATCH($B367, signals_2019_10!$B$2:$B$682, 0), MATCH(C$2, signals_2019_10!$C$1:$AJ$1, 0))</f>
        <v>NaT</v>
      </c>
      <c r="H367" s="14">
        <f t="shared" si="33"/>
        <v>0</v>
      </c>
      <c r="I367" s="11">
        <f t="shared" si="34"/>
        <v>0</v>
      </c>
      <c r="J367" s="11">
        <f t="shared" ca="1" si="35"/>
        <v>0</v>
      </c>
    </row>
    <row r="368" spans="1:10" hidden="1" x14ac:dyDescent="0.35">
      <c r="A368" s="20">
        <f>INDEX(signals_2020_05!$A$2:$A$680, MATCH(B368, signals_2020_05!$B$2:$B$680, 0))</f>
        <v>1441</v>
      </c>
      <c r="B368" s="2" t="str">
        <f>signals_2020_05!B358</f>
        <v>Met mast, Wind direction 1 (StdDev)</v>
      </c>
      <c r="C368" s="9" t="str">
        <f>INDEX(signals_2020_05!$C$2:$AJ$680, MATCH($B368, signals_2020_05!$B$2:$B$680, 0), MATCH(C$2, signals_2020_05!$C$1:$AJ$1, 0))</f>
        <v>NaT</v>
      </c>
      <c r="D368" s="14">
        <f t="shared" si="30"/>
        <v>0</v>
      </c>
      <c r="E368" s="11">
        <f t="shared" si="31"/>
        <v>0</v>
      </c>
      <c r="F368" s="11">
        <f t="shared" ca="1" si="32"/>
        <v>0</v>
      </c>
      <c r="G368" s="9" t="str">
        <f>INDEX(signals_2019_10!$C$2:$AJ$682, MATCH($B368, signals_2019_10!$B$2:$B$682, 0), MATCH(C$2, signals_2019_10!$C$1:$AJ$1, 0))</f>
        <v>NaT</v>
      </c>
      <c r="H368" s="14">
        <f t="shared" si="33"/>
        <v>0</v>
      </c>
      <c r="I368" s="11">
        <f t="shared" si="34"/>
        <v>0</v>
      </c>
      <c r="J368" s="11">
        <f t="shared" ca="1" si="35"/>
        <v>0</v>
      </c>
    </row>
    <row r="369" spans="1:10" hidden="1" x14ac:dyDescent="0.35">
      <c r="A369" s="20">
        <f>INDEX(signals_2020_05!$A$2:$A$680, MATCH(B369, signals_2020_05!$B$2:$B$680, 0))</f>
        <v>509</v>
      </c>
      <c r="B369" s="2" t="str">
        <f>signals_2020_05!B359</f>
        <v>Met mast, Wind speed 1</v>
      </c>
      <c r="C369" s="9" t="str">
        <f>INDEX(signals_2020_05!$C$2:$AJ$680, MATCH($B369, signals_2020_05!$B$2:$B$680, 0), MATCH(C$2, signals_2020_05!$C$1:$AJ$1, 0))</f>
        <v>NaT</v>
      </c>
      <c r="D369" s="14">
        <f t="shared" si="30"/>
        <v>0</v>
      </c>
      <c r="E369" s="11">
        <f t="shared" si="31"/>
        <v>0</v>
      </c>
      <c r="F369" s="11">
        <f t="shared" ca="1" si="32"/>
        <v>0</v>
      </c>
      <c r="G369" s="9" t="str">
        <f>INDEX(signals_2019_10!$C$2:$AJ$682, MATCH($B369, signals_2019_10!$B$2:$B$682, 0), MATCH(C$2, signals_2019_10!$C$1:$AJ$1, 0))</f>
        <v>NaT</v>
      </c>
      <c r="H369" s="14">
        <f t="shared" si="33"/>
        <v>0</v>
      </c>
      <c r="I369" s="11">
        <f t="shared" si="34"/>
        <v>0</v>
      </c>
      <c r="J369" s="11">
        <f t="shared" ca="1" si="35"/>
        <v>0</v>
      </c>
    </row>
    <row r="370" spans="1:10" hidden="1" x14ac:dyDescent="0.35">
      <c r="A370" s="20">
        <f>INDEX(signals_2020_05!$A$2:$A$680, MATCH(B370, signals_2020_05!$B$2:$B$680, 0))</f>
        <v>1427</v>
      </c>
      <c r="B370" s="2" t="str">
        <f>signals_2020_05!B360</f>
        <v>Met mast, Wind speed 1 (max)</v>
      </c>
      <c r="C370" s="9" t="str">
        <f>INDEX(signals_2020_05!$C$2:$AJ$680, MATCH($B370, signals_2020_05!$B$2:$B$680, 0), MATCH(C$2, signals_2020_05!$C$1:$AJ$1, 0))</f>
        <v>NaT</v>
      </c>
      <c r="D370" s="14">
        <f t="shared" si="30"/>
        <v>0</v>
      </c>
      <c r="E370" s="11">
        <f t="shared" si="31"/>
        <v>0</v>
      </c>
      <c r="F370" s="11">
        <f t="shared" ca="1" si="32"/>
        <v>0</v>
      </c>
      <c r="G370" s="9" t="str">
        <f>INDEX(signals_2019_10!$C$2:$AJ$682, MATCH($B370, signals_2019_10!$B$2:$B$682, 0), MATCH(C$2, signals_2019_10!$C$1:$AJ$1, 0))</f>
        <v>NaT</v>
      </c>
      <c r="H370" s="14">
        <f t="shared" si="33"/>
        <v>0</v>
      </c>
      <c r="I370" s="11">
        <f t="shared" si="34"/>
        <v>0</v>
      </c>
      <c r="J370" s="11">
        <f t="shared" ca="1" si="35"/>
        <v>0</v>
      </c>
    </row>
    <row r="371" spans="1:10" hidden="1" x14ac:dyDescent="0.35">
      <c r="A371" s="20">
        <f>INDEX(signals_2020_05!$A$2:$A$680, MATCH(B371, signals_2020_05!$B$2:$B$680, 0))</f>
        <v>1428</v>
      </c>
      <c r="B371" s="2" t="str">
        <f>signals_2020_05!B361</f>
        <v>Met mast, Wind speed 1 (min)</v>
      </c>
      <c r="C371" s="9" t="str">
        <f>INDEX(signals_2020_05!$C$2:$AJ$680, MATCH($B371, signals_2020_05!$B$2:$B$680, 0), MATCH(C$2, signals_2020_05!$C$1:$AJ$1, 0))</f>
        <v>NaT</v>
      </c>
      <c r="D371" s="14">
        <f t="shared" si="30"/>
        <v>0</v>
      </c>
      <c r="E371" s="11">
        <f t="shared" si="31"/>
        <v>0</v>
      </c>
      <c r="F371" s="11">
        <f t="shared" ca="1" si="32"/>
        <v>0</v>
      </c>
      <c r="G371" s="9" t="str">
        <f>INDEX(signals_2019_10!$C$2:$AJ$682, MATCH($B371, signals_2019_10!$B$2:$B$682, 0), MATCH(C$2, signals_2019_10!$C$1:$AJ$1, 0))</f>
        <v>NaT</v>
      </c>
      <c r="H371" s="14">
        <f t="shared" si="33"/>
        <v>0</v>
      </c>
      <c r="I371" s="11">
        <f t="shared" si="34"/>
        <v>0</v>
      </c>
      <c r="J371" s="11">
        <f t="shared" ca="1" si="35"/>
        <v>0</v>
      </c>
    </row>
    <row r="372" spans="1:10" hidden="1" x14ac:dyDescent="0.35">
      <c r="A372" s="20">
        <f>INDEX(signals_2020_05!$A$2:$A$680, MATCH(B372, signals_2020_05!$B$2:$B$680, 0))</f>
        <v>1429</v>
      </c>
      <c r="B372" s="2" t="str">
        <f>signals_2020_05!B362</f>
        <v>Met mast, Wind speed 1 (StdDev)</v>
      </c>
      <c r="C372" s="9" t="str">
        <f>INDEX(signals_2020_05!$C$2:$AJ$680, MATCH($B372, signals_2020_05!$B$2:$B$680, 0), MATCH(C$2, signals_2020_05!$C$1:$AJ$1, 0))</f>
        <v>NaT</v>
      </c>
      <c r="D372" s="14">
        <f t="shared" si="30"/>
        <v>0</v>
      </c>
      <c r="E372" s="11">
        <f t="shared" si="31"/>
        <v>0</v>
      </c>
      <c r="F372" s="11">
        <f t="shared" ca="1" si="32"/>
        <v>0</v>
      </c>
      <c r="G372" s="9" t="str">
        <f>INDEX(signals_2019_10!$C$2:$AJ$682, MATCH($B372, signals_2019_10!$B$2:$B$682, 0), MATCH(C$2, signals_2019_10!$C$1:$AJ$1, 0))</f>
        <v>NaT</v>
      </c>
      <c r="H372" s="14">
        <f t="shared" si="33"/>
        <v>0</v>
      </c>
      <c r="I372" s="11">
        <f t="shared" si="34"/>
        <v>0</v>
      </c>
      <c r="J372" s="11">
        <f t="shared" ca="1" si="35"/>
        <v>0</v>
      </c>
    </row>
    <row r="373" spans="1:10" hidden="1" x14ac:dyDescent="0.35">
      <c r="A373" s="20">
        <f>INDEX(signals_2020_05!$A$2:$A$680, MATCH(B373, signals_2020_05!$B$2:$B$680, 0))</f>
        <v>413</v>
      </c>
      <c r="B373" s="2" t="str">
        <f>signals_2020_05!B363</f>
        <v>Motor current axis 1</v>
      </c>
      <c r="C373" s="9" t="str">
        <f>INDEX(signals_2020_05!$C$2:$AJ$680, MATCH($B373, signals_2020_05!$B$2:$B$680, 0), MATCH(C$2, signals_2020_05!$C$1:$AJ$1, 0))</f>
        <v>NaT</v>
      </c>
      <c r="D373" s="14">
        <f t="shared" si="30"/>
        <v>0</v>
      </c>
      <c r="E373" s="11">
        <f t="shared" si="31"/>
        <v>0</v>
      </c>
      <c r="F373" s="11">
        <f t="shared" ca="1" si="32"/>
        <v>0</v>
      </c>
      <c r="G373" s="9" t="str">
        <f>INDEX(signals_2019_10!$C$2:$AJ$682, MATCH($B373, signals_2019_10!$B$2:$B$682, 0), MATCH(C$2, signals_2019_10!$C$1:$AJ$1, 0))</f>
        <v>NaT</v>
      </c>
      <c r="H373" s="14">
        <f t="shared" si="33"/>
        <v>0</v>
      </c>
      <c r="I373" s="11">
        <f t="shared" si="34"/>
        <v>0</v>
      </c>
      <c r="J373" s="11">
        <f t="shared" ca="1" si="35"/>
        <v>0</v>
      </c>
    </row>
    <row r="374" spans="1:10" hidden="1" x14ac:dyDescent="0.35">
      <c r="A374" s="20">
        <f>INDEX(signals_2020_05!$A$2:$A$680, MATCH(B374, signals_2020_05!$B$2:$B$680, 0))</f>
        <v>4230</v>
      </c>
      <c r="B374" s="2" t="str">
        <f>signals_2020_05!B364</f>
        <v>Motor current axis 1, Max</v>
      </c>
      <c r="C374" s="9" t="str">
        <f>INDEX(signals_2020_05!$C$2:$AJ$680, MATCH($B374, signals_2020_05!$B$2:$B$680, 0), MATCH(C$2, signals_2020_05!$C$1:$AJ$1, 0))</f>
        <v>NaT</v>
      </c>
      <c r="D374" s="14">
        <f t="shared" si="30"/>
        <v>0</v>
      </c>
      <c r="E374" s="11">
        <f t="shared" si="31"/>
        <v>0</v>
      </c>
      <c r="F374" s="11">
        <f t="shared" ca="1" si="32"/>
        <v>0</v>
      </c>
      <c r="G374" s="9" t="e">
        <f>INDEX(signals_2019_10!$C$2:$AJ$682, MATCH($B374, signals_2019_10!$B$2:$B$682, 0), MATCH(C$2, signals_2019_10!$C$1:$AJ$1, 0))</f>
        <v>#N/A</v>
      </c>
      <c r="H374" s="14">
        <f t="shared" si="33"/>
        <v>0</v>
      </c>
      <c r="I374" s="11">
        <f t="shared" si="34"/>
        <v>0</v>
      </c>
      <c r="J374" s="11">
        <f t="shared" ca="1" si="35"/>
        <v>0</v>
      </c>
    </row>
    <row r="375" spans="1:10" hidden="1" x14ac:dyDescent="0.35">
      <c r="A375" s="20">
        <f>INDEX(signals_2020_05!$A$2:$A$680, MATCH(B375, signals_2020_05!$B$2:$B$680, 0))</f>
        <v>4231</v>
      </c>
      <c r="B375" s="2" t="str">
        <f>signals_2020_05!B365</f>
        <v>Motor current axis 1, Min</v>
      </c>
      <c r="C375" s="9" t="str">
        <f>INDEX(signals_2020_05!$C$2:$AJ$680, MATCH($B375, signals_2020_05!$B$2:$B$680, 0), MATCH(C$2, signals_2020_05!$C$1:$AJ$1, 0))</f>
        <v>NaT</v>
      </c>
      <c r="D375" s="14">
        <f t="shared" si="30"/>
        <v>0</v>
      </c>
      <c r="E375" s="11">
        <f t="shared" si="31"/>
        <v>0</v>
      </c>
      <c r="F375" s="11">
        <f t="shared" ca="1" si="32"/>
        <v>0</v>
      </c>
      <c r="G375" s="9" t="e">
        <f>INDEX(signals_2019_10!$C$2:$AJ$682, MATCH($B375, signals_2019_10!$B$2:$B$682, 0), MATCH(C$2, signals_2019_10!$C$1:$AJ$1, 0))</f>
        <v>#N/A</v>
      </c>
      <c r="H375" s="14">
        <f t="shared" si="33"/>
        <v>0</v>
      </c>
      <c r="I375" s="11">
        <f t="shared" si="34"/>
        <v>0</v>
      </c>
      <c r="J375" s="11">
        <f t="shared" ca="1" si="35"/>
        <v>0</v>
      </c>
    </row>
    <row r="376" spans="1:10" hidden="1" x14ac:dyDescent="0.35">
      <c r="A376" s="20">
        <f>INDEX(signals_2020_05!$A$2:$A$680, MATCH(B376, signals_2020_05!$B$2:$B$680, 0))</f>
        <v>4232</v>
      </c>
      <c r="B376" s="2" t="str">
        <f>signals_2020_05!B366</f>
        <v>Motor current axis 1, StdDev</v>
      </c>
      <c r="C376" s="9" t="str">
        <f>INDEX(signals_2020_05!$C$2:$AJ$680, MATCH($B376, signals_2020_05!$B$2:$B$680, 0), MATCH(C$2, signals_2020_05!$C$1:$AJ$1, 0))</f>
        <v>NaT</v>
      </c>
      <c r="D376" s="14">
        <f t="shared" si="30"/>
        <v>0</v>
      </c>
      <c r="E376" s="11">
        <f t="shared" si="31"/>
        <v>0</v>
      </c>
      <c r="F376" s="11">
        <f t="shared" ca="1" si="32"/>
        <v>0</v>
      </c>
      <c r="G376" s="9" t="e">
        <f>INDEX(signals_2019_10!$C$2:$AJ$682, MATCH($B376, signals_2019_10!$B$2:$B$682, 0), MATCH(C$2, signals_2019_10!$C$1:$AJ$1, 0))</f>
        <v>#N/A</v>
      </c>
      <c r="H376" s="14">
        <f t="shared" si="33"/>
        <v>0</v>
      </c>
      <c r="I376" s="11">
        <f t="shared" si="34"/>
        <v>0</v>
      </c>
      <c r="J376" s="11">
        <f t="shared" ca="1" si="35"/>
        <v>0</v>
      </c>
    </row>
    <row r="377" spans="1:10" hidden="1" x14ac:dyDescent="0.35">
      <c r="A377" s="20">
        <f>INDEX(signals_2020_05!$A$2:$A$680, MATCH(B377, signals_2020_05!$B$2:$B$680, 0))</f>
        <v>414</v>
      </c>
      <c r="B377" s="2" t="str">
        <f>signals_2020_05!B367</f>
        <v>Motor current axis 2</v>
      </c>
      <c r="C377" s="9" t="str">
        <f>INDEX(signals_2020_05!$C$2:$AJ$680, MATCH($B377, signals_2020_05!$B$2:$B$680, 0), MATCH(C$2, signals_2020_05!$C$1:$AJ$1, 0))</f>
        <v>NaT</v>
      </c>
      <c r="D377" s="14">
        <f t="shared" si="30"/>
        <v>0</v>
      </c>
      <c r="E377" s="11">
        <f t="shared" si="31"/>
        <v>0</v>
      </c>
      <c r="F377" s="11">
        <f t="shared" ca="1" si="32"/>
        <v>0</v>
      </c>
      <c r="G377" s="9" t="str">
        <f>INDEX(signals_2019_10!$C$2:$AJ$682, MATCH($B377, signals_2019_10!$B$2:$B$682, 0), MATCH(C$2, signals_2019_10!$C$1:$AJ$1, 0))</f>
        <v>NaT</v>
      </c>
      <c r="H377" s="14">
        <f t="shared" si="33"/>
        <v>0</v>
      </c>
      <c r="I377" s="11">
        <f t="shared" si="34"/>
        <v>0</v>
      </c>
      <c r="J377" s="11">
        <f t="shared" ca="1" si="35"/>
        <v>0</v>
      </c>
    </row>
    <row r="378" spans="1:10" hidden="1" x14ac:dyDescent="0.35">
      <c r="A378" s="20">
        <f>INDEX(signals_2020_05!$A$2:$A$680, MATCH(B378, signals_2020_05!$B$2:$B$680, 0))</f>
        <v>4233</v>
      </c>
      <c r="B378" s="2" t="str">
        <f>signals_2020_05!B368</f>
        <v>Motor current axis 2, Max</v>
      </c>
      <c r="C378" s="9" t="str">
        <f>INDEX(signals_2020_05!$C$2:$AJ$680, MATCH($B378, signals_2020_05!$B$2:$B$680, 0), MATCH(C$2, signals_2020_05!$C$1:$AJ$1, 0))</f>
        <v>NaT</v>
      </c>
      <c r="D378" s="14">
        <f t="shared" si="30"/>
        <v>0</v>
      </c>
      <c r="E378" s="11">
        <f t="shared" si="31"/>
        <v>0</v>
      </c>
      <c r="F378" s="11">
        <f t="shared" ca="1" si="32"/>
        <v>0</v>
      </c>
      <c r="G378" s="9" t="e">
        <f>INDEX(signals_2019_10!$C$2:$AJ$682, MATCH($B378, signals_2019_10!$B$2:$B$682, 0), MATCH(C$2, signals_2019_10!$C$1:$AJ$1, 0))</f>
        <v>#N/A</v>
      </c>
      <c r="H378" s="14">
        <f t="shared" si="33"/>
        <v>0</v>
      </c>
      <c r="I378" s="11">
        <f t="shared" si="34"/>
        <v>0</v>
      </c>
      <c r="J378" s="11">
        <f t="shared" ca="1" si="35"/>
        <v>0</v>
      </c>
    </row>
    <row r="379" spans="1:10" hidden="1" x14ac:dyDescent="0.35">
      <c r="A379" s="20">
        <f>INDEX(signals_2020_05!$A$2:$A$680, MATCH(B379, signals_2020_05!$B$2:$B$680, 0))</f>
        <v>4234</v>
      </c>
      <c r="B379" s="2" t="str">
        <f>signals_2020_05!B369</f>
        <v>Motor current axis 2, Min</v>
      </c>
      <c r="C379" s="9" t="str">
        <f>INDEX(signals_2020_05!$C$2:$AJ$680, MATCH($B379, signals_2020_05!$B$2:$B$680, 0), MATCH(C$2, signals_2020_05!$C$1:$AJ$1, 0))</f>
        <v>NaT</v>
      </c>
      <c r="D379" s="14">
        <f t="shared" si="30"/>
        <v>0</v>
      </c>
      <c r="E379" s="11">
        <f t="shared" si="31"/>
        <v>0</v>
      </c>
      <c r="F379" s="11">
        <f t="shared" ca="1" si="32"/>
        <v>0</v>
      </c>
      <c r="G379" s="9" t="e">
        <f>INDEX(signals_2019_10!$C$2:$AJ$682, MATCH($B379, signals_2019_10!$B$2:$B$682, 0), MATCH(C$2, signals_2019_10!$C$1:$AJ$1, 0))</f>
        <v>#N/A</v>
      </c>
      <c r="H379" s="14">
        <f t="shared" si="33"/>
        <v>0</v>
      </c>
      <c r="I379" s="11">
        <f t="shared" si="34"/>
        <v>0</v>
      </c>
      <c r="J379" s="11">
        <f t="shared" ca="1" si="35"/>
        <v>0</v>
      </c>
    </row>
    <row r="380" spans="1:10" hidden="1" x14ac:dyDescent="0.35">
      <c r="A380" s="20">
        <f>INDEX(signals_2020_05!$A$2:$A$680, MATCH(B380, signals_2020_05!$B$2:$B$680, 0))</f>
        <v>4235</v>
      </c>
      <c r="B380" s="2" t="str">
        <f>signals_2020_05!B370</f>
        <v>Motor current axis 2, StdDev</v>
      </c>
      <c r="C380" s="9" t="str">
        <f>INDEX(signals_2020_05!$C$2:$AJ$680, MATCH($B380, signals_2020_05!$B$2:$B$680, 0), MATCH(C$2, signals_2020_05!$C$1:$AJ$1, 0))</f>
        <v>NaT</v>
      </c>
      <c r="D380" s="14">
        <f t="shared" si="30"/>
        <v>0</v>
      </c>
      <c r="E380" s="11">
        <f t="shared" si="31"/>
        <v>0</v>
      </c>
      <c r="F380" s="11">
        <f t="shared" ca="1" si="32"/>
        <v>0</v>
      </c>
      <c r="G380" s="9" t="e">
        <f>INDEX(signals_2019_10!$C$2:$AJ$682, MATCH($B380, signals_2019_10!$B$2:$B$682, 0), MATCH(C$2, signals_2019_10!$C$1:$AJ$1, 0))</f>
        <v>#N/A</v>
      </c>
      <c r="H380" s="14">
        <f t="shared" si="33"/>
        <v>0</v>
      </c>
      <c r="I380" s="11">
        <f t="shared" si="34"/>
        <v>0</v>
      </c>
      <c r="J380" s="11">
        <f t="shared" ca="1" si="35"/>
        <v>0</v>
      </c>
    </row>
    <row r="381" spans="1:10" hidden="1" x14ac:dyDescent="0.35">
      <c r="A381" s="20">
        <f>INDEX(signals_2020_05!$A$2:$A$680, MATCH(B381, signals_2020_05!$B$2:$B$680, 0))</f>
        <v>415</v>
      </c>
      <c r="B381" s="2" t="str">
        <f>signals_2020_05!B371</f>
        <v>Motor current axis 3</v>
      </c>
      <c r="C381" s="9" t="str">
        <f>INDEX(signals_2020_05!$C$2:$AJ$680, MATCH($B381, signals_2020_05!$B$2:$B$680, 0), MATCH(C$2, signals_2020_05!$C$1:$AJ$1, 0))</f>
        <v>NaT</v>
      </c>
      <c r="D381" s="14">
        <f t="shared" si="30"/>
        <v>0</v>
      </c>
      <c r="E381" s="11">
        <f t="shared" si="31"/>
        <v>0</v>
      </c>
      <c r="F381" s="11">
        <f t="shared" ca="1" si="32"/>
        <v>0</v>
      </c>
      <c r="G381" s="9" t="str">
        <f>INDEX(signals_2019_10!$C$2:$AJ$682, MATCH($B381, signals_2019_10!$B$2:$B$682, 0), MATCH(C$2, signals_2019_10!$C$1:$AJ$1, 0))</f>
        <v>NaT</v>
      </c>
      <c r="H381" s="14">
        <f t="shared" si="33"/>
        <v>0</v>
      </c>
      <c r="I381" s="11">
        <f t="shared" si="34"/>
        <v>0</v>
      </c>
      <c r="J381" s="11">
        <f t="shared" ca="1" si="35"/>
        <v>0</v>
      </c>
    </row>
    <row r="382" spans="1:10" hidden="1" x14ac:dyDescent="0.35">
      <c r="A382" s="20">
        <f>INDEX(signals_2020_05!$A$2:$A$680, MATCH(B382, signals_2020_05!$B$2:$B$680, 0))</f>
        <v>4236</v>
      </c>
      <c r="B382" s="2" t="str">
        <f>signals_2020_05!B372</f>
        <v>Motor current axis 3, Max</v>
      </c>
      <c r="C382" s="9" t="str">
        <f>INDEX(signals_2020_05!$C$2:$AJ$680, MATCH($B382, signals_2020_05!$B$2:$B$680, 0), MATCH(C$2, signals_2020_05!$C$1:$AJ$1, 0))</f>
        <v>NaT</v>
      </c>
      <c r="D382" s="14">
        <f t="shared" si="30"/>
        <v>0</v>
      </c>
      <c r="E382" s="11">
        <f t="shared" si="31"/>
        <v>0</v>
      </c>
      <c r="F382" s="11">
        <f t="shared" ca="1" si="32"/>
        <v>0</v>
      </c>
      <c r="G382" s="9" t="e">
        <f>INDEX(signals_2019_10!$C$2:$AJ$682, MATCH($B382, signals_2019_10!$B$2:$B$682, 0), MATCH(C$2, signals_2019_10!$C$1:$AJ$1, 0))</f>
        <v>#N/A</v>
      </c>
      <c r="H382" s="14">
        <f t="shared" si="33"/>
        <v>0</v>
      </c>
      <c r="I382" s="11">
        <f t="shared" si="34"/>
        <v>0</v>
      </c>
      <c r="J382" s="11">
        <f t="shared" ca="1" si="35"/>
        <v>0</v>
      </c>
    </row>
    <row r="383" spans="1:10" hidden="1" x14ac:dyDescent="0.35">
      <c r="A383" s="20">
        <f>INDEX(signals_2020_05!$A$2:$A$680, MATCH(B383, signals_2020_05!$B$2:$B$680, 0))</f>
        <v>4237</v>
      </c>
      <c r="B383" s="2" t="str">
        <f>signals_2020_05!B373</f>
        <v>Motor current axis 3, Min</v>
      </c>
      <c r="C383" s="9" t="str">
        <f>INDEX(signals_2020_05!$C$2:$AJ$680, MATCH($B383, signals_2020_05!$B$2:$B$680, 0), MATCH(C$2, signals_2020_05!$C$1:$AJ$1, 0))</f>
        <v>NaT</v>
      </c>
      <c r="D383" s="14">
        <f t="shared" si="30"/>
        <v>0</v>
      </c>
      <c r="E383" s="11">
        <f t="shared" si="31"/>
        <v>0</v>
      </c>
      <c r="F383" s="11">
        <f t="shared" ca="1" si="32"/>
        <v>0</v>
      </c>
      <c r="G383" s="9" t="e">
        <f>INDEX(signals_2019_10!$C$2:$AJ$682, MATCH($B383, signals_2019_10!$B$2:$B$682, 0), MATCH(C$2, signals_2019_10!$C$1:$AJ$1, 0))</f>
        <v>#N/A</v>
      </c>
      <c r="H383" s="14">
        <f t="shared" si="33"/>
        <v>0</v>
      </c>
      <c r="I383" s="11">
        <f t="shared" si="34"/>
        <v>0</v>
      </c>
      <c r="J383" s="11">
        <f t="shared" ca="1" si="35"/>
        <v>0</v>
      </c>
    </row>
    <row r="384" spans="1:10" hidden="1" x14ac:dyDescent="0.35">
      <c r="A384" s="20">
        <f>INDEX(signals_2020_05!$A$2:$A$680, MATCH(B384, signals_2020_05!$B$2:$B$680, 0))</f>
        <v>4238</v>
      </c>
      <c r="B384" s="2" t="str">
        <f>signals_2020_05!B374</f>
        <v>Motor current axis 3, StdDev</v>
      </c>
      <c r="C384" s="9" t="str">
        <f>INDEX(signals_2020_05!$C$2:$AJ$680, MATCH($B384, signals_2020_05!$B$2:$B$680, 0), MATCH(C$2, signals_2020_05!$C$1:$AJ$1, 0))</f>
        <v>NaT</v>
      </c>
      <c r="D384" s="14">
        <f t="shared" si="30"/>
        <v>0</v>
      </c>
      <c r="E384" s="11">
        <f t="shared" si="31"/>
        <v>0</v>
      </c>
      <c r="F384" s="11">
        <f t="shared" ca="1" si="32"/>
        <v>0</v>
      </c>
      <c r="G384" s="9" t="e">
        <f>INDEX(signals_2019_10!$C$2:$AJ$682, MATCH($B384, signals_2019_10!$B$2:$B$682, 0), MATCH(C$2, signals_2019_10!$C$1:$AJ$1, 0))</f>
        <v>#N/A</v>
      </c>
      <c r="H384" s="14">
        <f t="shared" si="33"/>
        <v>0</v>
      </c>
      <c r="I384" s="11">
        <f t="shared" si="34"/>
        <v>0</v>
      </c>
      <c r="J384" s="11">
        <f t="shared" ca="1" si="35"/>
        <v>0</v>
      </c>
    </row>
    <row r="385" spans="1:10" hidden="1" x14ac:dyDescent="0.35">
      <c r="A385" s="20">
        <f>INDEX(signals_2020_05!$A$2:$A$680, MATCH(B385, signals_2020_05!$B$2:$B$680, 0))</f>
        <v>410</v>
      </c>
      <c r="B385" s="2" t="str">
        <f>signals_2020_05!B375</f>
        <v>Motor speed 1</v>
      </c>
      <c r="C385" s="9" t="str">
        <f>INDEX(signals_2020_05!$C$2:$AJ$680, MATCH($B385, signals_2020_05!$B$2:$B$680, 0), MATCH(C$2, signals_2020_05!$C$1:$AJ$1, 0))</f>
        <v>NaT</v>
      </c>
      <c r="D385" s="14">
        <f t="shared" si="30"/>
        <v>0</v>
      </c>
      <c r="E385" s="11">
        <f t="shared" si="31"/>
        <v>0</v>
      </c>
      <c r="F385" s="11">
        <f t="shared" ca="1" si="32"/>
        <v>0</v>
      </c>
      <c r="G385" s="9" t="str">
        <f>INDEX(signals_2019_10!$C$2:$AJ$682, MATCH($B385, signals_2019_10!$B$2:$B$682, 0), MATCH(C$2, signals_2019_10!$C$1:$AJ$1, 0))</f>
        <v>NaT</v>
      </c>
      <c r="H385" s="14">
        <f t="shared" si="33"/>
        <v>0</v>
      </c>
      <c r="I385" s="11">
        <f t="shared" si="34"/>
        <v>0</v>
      </c>
      <c r="J385" s="11">
        <f t="shared" ca="1" si="35"/>
        <v>0</v>
      </c>
    </row>
    <row r="386" spans="1:10" hidden="1" x14ac:dyDescent="0.35">
      <c r="A386" s="20">
        <f>INDEX(signals_2020_05!$A$2:$A$680, MATCH(B386, signals_2020_05!$B$2:$B$680, 0))</f>
        <v>4239</v>
      </c>
      <c r="B386" s="2" t="str">
        <f>signals_2020_05!B376</f>
        <v>Motor speed 1, Max</v>
      </c>
      <c r="C386" s="9" t="str">
        <f>INDEX(signals_2020_05!$C$2:$AJ$680, MATCH($B386, signals_2020_05!$B$2:$B$680, 0), MATCH(C$2, signals_2020_05!$C$1:$AJ$1, 0))</f>
        <v>NaT</v>
      </c>
      <c r="D386" s="14">
        <f t="shared" si="30"/>
        <v>0</v>
      </c>
      <c r="E386" s="11">
        <f t="shared" si="31"/>
        <v>0</v>
      </c>
      <c r="F386" s="11">
        <f t="shared" ca="1" si="32"/>
        <v>0</v>
      </c>
      <c r="G386" s="9" t="e">
        <f>INDEX(signals_2019_10!$C$2:$AJ$682, MATCH($B386, signals_2019_10!$B$2:$B$682, 0), MATCH(C$2, signals_2019_10!$C$1:$AJ$1, 0))</f>
        <v>#N/A</v>
      </c>
      <c r="H386" s="14">
        <f t="shared" si="33"/>
        <v>0</v>
      </c>
      <c r="I386" s="11">
        <f t="shared" si="34"/>
        <v>0</v>
      </c>
      <c r="J386" s="11">
        <f t="shared" ca="1" si="35"/>
        <v>0</v>
      </c>
    </row>
    <row r="387" spans="1:10" hidden="1" x14ac:dyDescent="0.35">
      <c r="A387" s="20">
        <f>INDEX(signals_2020_05!$A$2:$A$680, MATCH(B387, signals_2020_05!$B$2:$B$680, 0))</f>
        <v>4240</v>
      </c>
      <c r="B387" s="2" t="str">
        <f>signals_2020_05!B377</f>
        <v>Motor speed 1, Min</v>
      </c>
      <c r="C387" s="9" t="str">
        <f>INDEX(signals_2020_05!$C$2:$AJ$680, MATCH($B387, signals_2020_05!$B$2:$B$680, 0), MATCH(C$2, signals_2020_05!$C$1:$AJ$1, 0))</f>
        <v>NaT</v>
      </c>
      <c r="D387" s="14">
        <f t="shared" si="30"/>
        <v>0</v>
      </c>
      <c r="E387" s="11">
        <f t="shared" si="31"/>
        <v>0</v>
      </c>
      <c r="F387" s="11">
        <f t="shared" ca="1" si="32"/>
        <v>0</v>
      </c>
      <c r="G387" s="9" t="e">
        <f>INDEX(signals_2019_10!$C$2:$AJ$682, MATCH($B387, signals_2019_10!$B$2:$B$682, 0), MATCH(C$2, signals_2019_10!$C$1:$AJ$1, 0))</f>
        <v>#N/A</v>
      </c>
      <c r="H387" s="14">
        <f t="shared" si="33"/>
        <v>0</v>
      </c>
      <c r="I387" s="11">
        <f t="shared" si="34"/>
        <v>0</v>
      </c>
      <c r="J387" s="11">
        <f t="shared" ca="1" si="35"/>
        <v>0</v>
      </c>
    </row>
    <row r="388" spans="1:10" hidden="1" x14ac:dyDescent="0.35">
      <c r="A388" s="20">
        <f>INDEX(signals_2020_05!$A$2:$A$680, MATCH(B388, signals_2020_05!$B$2:$B$680, 0))</f>
        <v>4241</v>
      </c>
      <c r="B388" s="2" t="str">
        <f>signals_2020_05!B378</f>
        <v>Motor speed 1, StdDev</v>
      </c>
      <c r="C388" s="9" t="str">
        <f>INDEX(signals_2020_05!$C$2:$AJ$680, MATCH($B388, signals_2020_05!$B$2:$B$680, 0), MATCH(C$2, signals_2020_05!$C$1:$AJ$1, 0))</f>
        <v>NaT</v>
      </c>
      <c r="D388" s="14">
        <f t="shared" si="30"/>
        <v>0</v>
      </c>
      <c r="E388" s="11">
        <f t="shared" si="31"/>
        <v>0</v>
      </c>
      <c r="F388" s="11">
        <f t="shared" ca="1" si="32"/>
        <v>0</v>
      </c>
      <c r="G388" s="9" t="e">
        <f>INDEX(signals_2019_10!$C$2:$AJ$682, MATCH($B388, signals_2019_10!$B$2:$B$682, 0), MATCH(C$2, signals_2019_10!$C$1:$AJ$1, 0))</f>
        <v>#N/A</v>
      </c>
      <c r="H388" s="14">
        <f t="shared" si="33"/>
        <v>0</v>
      </c>
      <c r="I388" s="11">
        <f t="shared" si="34"/>
        <v>0</v>
      </c>
      <c r="J388" s="11">
        <f t="shared" ca="1" si="35"/>
        <v>0</v>
      </c>
    </row>
    <row r="389" spans="1:10" hidden="1" x14ac:dyDescent="0.35">
      <c r="A389" s="20">
        <f>INDEX(signals_2020_05!$A$2:$A$680, MATCH(B389, signals_2020_05!$B$2:$B$680, 0))</f>
        <v>411</v>
      </c>
      <c r="B389" s="2" t="str">
        <f>signals_2020_05!B379</f>
        <v>Motor speed 2</v>
      </c>
      <c r="C389" s="9" t="str">
        <f>INDEX(signals_2020_05!$C$2:$AJ$680, MATCH($B389, signals_2020_05!$B$2:$B$680, 0), MATCH(C$2, signals_2020_05!$C$1:$AJ$1, 0))</f>
        <v>NaT</v>
      </c>
      <c r="D389" s="14">
        <f t="shared" si="30"/>
        <v>0</v>
      </c>
      <c r="E389" s="11">
        <f t="shared" si="31"/>
        <v>0</v>
      </c>
      <c r="F389" s="11">
        <f t="shared" ca="1" si="32"/>
        <v>0</v>
      </c>
      <c r="G389" s="9" t="str">
        <f>INDEX(signals_2019_10!$C$2:$AJ$682, MATCH($B389, signals_2019_10!$B$2:$B$682, 0), MATCH(C$2, signals_2019_10!$C$1:$AJ$1, 0))</f>
        <v>NaT</v>
      </c>
      <c r="H389" s="14">
        <f t="shared" si="33"/>
        <v>0</v>
      </c>
      <c r="I389" s="11">
        <f t="shared" si="34"/>
        <v>0</v>
      </c>
      <c r="J389" s="11">
        <f t="shared" ca="1" si="35"/>
        <v>0</v>
      </c>
    </row>
    <row r="390" spans="1:10" hidden="1" x14ac:dyDescent="0.35">
      <c r="A390" s="20">
        <f>INDEX(signals_2020_05!$A$2:$A$680, MATCH(B390, signals_2020_05!$B$2:$B$680, 0))</f>
        <v>4242</v>
      </c>
      <c r="B390" s="2" t="str">
        <f>signals_2020_05!B380</f>
        <v>Motor speed 2, Max</v>
      </c>
      <c r="C390" s="9" t="str">
        <f>INDEX(signals_2020_05!$C$2:$AJ$680, MATCH($B390, signals_2020_05!$B$2:$B$680, 0), MATCH(C$2, signals_2020_05!$C$1:$AJ$1, 0))</f>
        <v>NaT</v>
      </c>
      <c r="D390" s="14">
        <f t="shared" si="30"/>
        <v>0</v>
      </c>
      <c r="E390" s="11">
        <f t="shared" si="31"/>
        <v>0</v>
      </c>
      <c r="F390" s="11">
        <f t="shared" ca="1" si="32"/>
        <v>0</v>
      </c>
      <c r="G390" s="9" t="e">
        <f>INDEX(signals_2019_10!$C$2:$AJ$682, MATCH($B390, signals_2019_10!$B$2:$B$682, 0), MATCH(C$2, signals_2019_10!$C$1:$AJ$1, 0))</f>
        <v>#N/A</v>
      </c>
      <c r="H390" s="14">
        <f t="shared" si="33"/>
        <v>0</v>
      </c>
      <c r="I390" s="11">
        <f t="shared" si="34"/>
        <v>0</v>
      </c>
      <c r="J390" s="11">
        <f t="shared" ca="1" si="35"/>
        <v>0</v>
      </c>
    </row>
    <row r="391" spans="1:10" hidden="1" x14ac:dyDescent="0.35">
      <c r="A391" s="20">
        <f>INDEX(signals_2020_05!$A$2:$A$680, MATCH(B391, signals_2020_05!$B$2:$B$680, 0))</f>
        <v>4243</v>
      </c>
      <c r="B391" s="2" t="str">
        <f>signals_2020_05!B381</f>
        <v>Motor speed 2, Min</v>
      </c>
      <c r="C391" s="9" t="str">
        <f>INDEX(signals_2020_05!$C$2:$AJ$680, MATCH($B391, signals_2020_05!$B$2:$B$680, 0), MATCH(C$2, signals_2020_05!$C$1:$AJ$1, 0))</f>
        <v>NaT</v>
      </c>
      <c r="D391" s="14">
        <f t="shared" si="30"/>
        <v>0</v>
      </c>
      <c r="E391" s="11">
        <f t="shared" si="31"/>
        <v>0</v>
      </c>
      <c r="F391" s="11">
        <f t="shared" ca="1" si="32"/>
        <v>0</v>
      </c>
      <c r="G391" s="9" t="e">
        <f>INDEX(signals_2019_10!$C$2:$AJ$682, MATCH($B391, signals_2019_10!$B$2:$B$682, 0), MATCH(C$2, signals_2019_10!$C$1:$AJ$1, 0))</f>
        <v>#N/A</v>
      </c>
      <c r="H391" s="14">
        <f t="shared" si="33"/>
        <v>0</v>
      </c>
      <c r="I391" s="11">
        <f t="shared" si="34"/>
        <v>0</v>
      </c>
      <c r="J391" s="11">
        <f t="shared" ca="1" si="35"/>
        <v>0</v>
      </c>
    </row>
    <row r="392" spans="1:10" hidden="1" x14ac:dyDescent="0.35">
      <c r="A392" s="20">
        <f>INDEX(signals_2020_05!$A$2:$A$680, MATCH(B392, signals_2020_05!$B$2:$B$680, 0))</f>
        <v>4244</v>
      </c>
      <c r="B392" s="2" t="str">
        <f>signals_2020_05!B382</f>
        <v>Motor speed 2, StdDev</v>
      </c>
      <c r="C392" s="9" t="str">
        <f>INDEX(signals_2020_05!$C$2:$AJ$680, MATCH($B392, signals_2020_05!$B$2:$B$680, 0), MATCH(C$2, signals_2020_05!$C$1:$AJ$1, 0))</f>
        <v>NaT</v>
      </c>
      <c r="D392" s="14">
        <f t="shared" si="30"/>
        <v>0</v>
      </c>
      <c r="E392" s="11">
        <f t="shared" si="31"/>
        <v>0</v>
      </c>
      <c r="F392" s="11">
        <f t="shared" ca="1" si="32"/>
        <v>0</v>
      </c>
      <c r="G392" s="9" t="e">
        <f>INDEX(signals_2019_10!$C$2:$AJ$682, MATCH($B392, signals_2019_10!$B$2:$B$682, 0), MATCH(C$2, signals_2019_10!$C$1:$AJ$1, 0))</f>
        <v>#N/A</v>
      </c>
      <c r="H392" s="14">
        <f t="shared" si="33"/>
        <v>0</v>
      </c>
      <c r="I392" s="11">
        <f t="shared" si="34"/>
        <v>0</v>
      </c>
      <c r="J392" s="11">
        <f t="shared" ca="1" si="35"/>
        <v>0</v>
      </c>
    </row>
    <row r="393" spans="1:10" hidden="1" x14ac:dyDescent="0.35">
      <c r="A393" s="20">
        <f>INDEX(signals_2020_05!$A$2:$A$680, MATCH(B393, signals_2020_05!$B$2:$B$680, 0))</f>
        <v>412</v>
      </c>
      <c r="B393" s="2" t="str">
        <f>signals_2020_05!B383</f>
        <v>Motor speed 3</v>
      </c>
      <c r="C393" s="9" t="str">
        <f>INDEX(signals_2020_05!$C$2:$AJ$680, MATCH($B393, signals_2020_05!$B$2:$B$680, 0), MATCH(C$2, signals_2020_05!$C$1:$AJ$1, 0))</f>
        <v>NaT</v>
      </c>
      <c r="D393" s="14">
        <f t="shared" si="30"/>
        <v>0</v>
      </c>
      <c r="E393" s="11">
        <f t="shared" si="31"/>
        <v>0</v>
      </c>
      <c r="F393" s="11">
        <f t="shared" ca="1" si="32"/>
        <v>0</v>
      </c>
      <c r="G393" s="9" t="str">
        <f>INDEX(signals_2019_10!$C$2:$AJ$682, MATCH($B393, signals_2019_10!$B$2:$B$682, 0), MATCH(C$2, signals_2019_10!$C$1:$AJ$1, 0))</f>
        <v>NaT</v>
      </c>
      <c r="H393" s="14">
        <f t="shared" si="33"/>
        <v>0</v>
      </c>
      <c r="I393" s="11">
        <f t="shared" si="34"/>
        <v>0</v>
      </c>
      <c r="J393" s="11">
        <f t="shared" ca="1" si="35"/>
        <v>0</v>
      </c>
    </row>
    <row r="394" spans="1:10" hidden="1" x14ac:dyDescent="0.35">
      <c r="A394" s="20">
        <f>INDEX(signals_2020_05!$A$2:$A$680, MATCH(B394, signals_2020_05!$B$2:$B$680, 0))</f>
        <v>4245</v>
      </c>
      <c r="B394" s="2" t="str">
        <f>signals_2020_05!B384</f>
        <v>Motor speed 3, Max</v>
      </c>
      <c r="C394" s="9" t="str">
        <f>INDEX(signals_2020_05!$C$2:$AJ$680, MATCH($B394, signals_2020_05!$B$2:$B$680, 0), MATCH(C$2, signals_2020_05!$C$1:$AJ$1, 0))</f>
        <v>NaT</v>
      </c>
      <c r="D394" s="14">
        <f t="shared" si="30"/>
        <v>0</v>
      </c>
      <c r="E394" s="11">
        <f t="shared" si="31"/>
        <v>0</v>
      </c>
      <c r="F394" s="11">
        <f t="shared" ca="1" si="32"/>
        <v>0</v>
      </c>
      <c r="G394" s="9" t="e">
        <f>INDEX(signals_2019_10!$C$2:$AJ$682, MATCH($B394, signals_2019_10!$B$2:$B$682, 0), MATCH(C$2, signals_2019_10!$C$1:$AJ$1, 0))</f>
        <v>#N/A</v>
      </c>
      <c r="H394" s="14">
        <f t="shared" si="33"/>
        <v>0</v>
      </c>
      <c r="I394" s="11">
        <f t="shared" si="34"/>
        <v>0</v>
      </c>
      <c r="J394" s="11">
        <f t="shared" ca="1" si="35"/>
        <v>0</v>
      </c>
    </row>
    <row r="395" spans="1:10" hidden="1" x14ac:dyDescent="0.35">
      <c r="A395" s="20">
        <f>INDEX(signals_2020_05!$A$2:$A$680, MATCH(B395, signals_2020_05!$B$2:$B$680, 0))</f>
        <v>4246</v>
      </c>
      <c r="B395" s="2" t="str">
        <f>signals_2020_05!B385</f>
        <v>Motor speed 3, Min</v>
      </c>
      <c r="C395" s="9" t="str">
        <f>INDEX(signals_2020_05!$C$2:$AJ$680, MATCH($B395, signals_2020_05!$B$2:$B$680, 0), MATCH(C$2, signals_2020_05!$C$1:$AJ$1, 0))</f>
        <v>NaT</v>
      </c>
      <c r="D395" s="14">
        <f t="shared" si="30"/>
        <v>0</v>
      </c>
      <c r="E395" s="11">
        <f t="shared" si="31"/>
        <v>0</v>
      </c>
      <c r="F395" s="11">
        <f t="shared" ca="1" si="32"/>
        <v>0</v>
      </c>
      <c r="G395" s="9" t="e">
        <f>INDEX(signals_2019_10!$C$2:$AJ$682, MATCH($B395, signals_2019_10!$B$2:$B$682, 0), MATCH(C$2, signals_2019_10!$C$1:$AJ$1, 0))</f>
        <v>#N/A</v>
      </c>
      <c r="H395" s="14">
        <f t="shared" si="33"/>
        <v>0</v>
      </c>
      <c r="I395" s="11">
        <f t="shared" si="34"/>
        <v>0</v>
      </c>
      <c r="J395" s="11">
        <f t="shared" ca="1" si="35"/>
        <v>0</v>
      </c>
    </row>
    <row r="396" spans="1:10" hidden="1" x14ac:dyDescent="0.35">
      <c r="A396" s="20">
        <f>INDEX(signals_2020_05!$A$2:$A$680, MATCH(B396, signals_2020_05!$B$2:$B$680, 0))</f>
        <v>4247</v>
      </c>
      <c r="B396" s="2" t="str">
        <f>signals_2020_05!B386</f>
        <v>Motor speed 3, StdDev</v>
      </c>
      <c r="C396" s="9" t="str">
        <f>INDEX(signals_2020_05!$C$2:$AJ$680, MATCH($B396, signals_2020_05!$B$2:$B$680, 0), MATCH(C$2, signals_2020_05!$C$1:$AJ$1, 0))</f>
        <v>NaT</v>
      </c>
      <c r="D396" s="14">
        <f t="shared" si="30"/>
        <v>0</v>
      </c>
      <c r="E396" s="11">
        <f t="shared" si="31"/>
        <v>0</v>
      </c>
      <c r="F396" s="11">
        <f t="shared" ca="1" si="32"/>
        <v>0</v>
      </c>
      <c r="G396" s="9" t="e">
        <f>INDEX(signals_2019_10!$C$2:$AJ$682, MATCH($B396, signals_2019_10!$B$2:$B$682, 0), MATCH(C$2, signals_2019_10!$C$1:$AJ$1, 0))</f>
        <v>#N/A</v>
      </c>
      <c r="H396" s="14">
        <f t="shared" si="33"/>
        <v>0</v>
      </c>
      <c r="I396" s="11">
        <f t="shared" si="34"/>
        <v>0</v>
      </c>
      <c r="J396" s="11">
        <f t="shared" ca="1" si="35"/>
        <v>0</v>
      </c>
    </row>
    <row r="397" spans="1:10" hidden="1" x14ac:dyDescent="0.35">
      <c r="A397" s="20">
        <f>INDEX(signals_2020_05!$A$2:$A$680, MATCH(B397, signals_2020_05!$B$2:$B$680, 0))</f>
        <v>24</v>
      </c>
      <c r="B397" s="2" t="str">
        <f>signals_2020_05!B387</f>
        <v>Nacelle ambient temperature</v>
      </c>
      <c r="C397" s="9" t="str">
        <f>INDEX(signals_2020_05!$C$2:$AJ$680, MATCH($B397, signals_2020_05!$B$2:$B$680, 0), MATCH(C$2, signals_2020_05!$C$1:$AJ$1, 0))</f>
        <v>NaT</v>
      </c>
      <c r="D397" s="14">
        <f t="shared" ref="D397:D460" si="36">IF(ISERROR(C397), 0, IF(C397="NaT", 0, 1))</f>
        <v>0</v>
      </c>
      <c r="E397" s="11">
        <f t="shared" ref="E397:E460" si="37">IF(D397, IF(FLOOR($C397, 1) = FLOOR($C$5, 1), 1, 0), 0)</f>
        <v>0</v>
      </c>
      <c r="F397" s="11">
        <f t="shared" ref="F397:F460" ca="1" si="38">IF(ISERROR(C397), 0, IF(C397="NaT", 0,ROUND(((NOW()-C397)/365.25)*10, 0)/10))</f>
        <v>0</v>
      </c>
      <c r="G397" s="9" t="str">
        <f>INDEX(signals_2019_10!$C$2:$AJ$682, MATCH($B397, signals_2019_10!$B$2:$B$682, 0), MATCH(C$2, signals_2019_10!$C$1:$AJ$1, 0))</f>
        <v>NaT</v>
      </c>
      <c r="H397" s="14">
        <f t="shared" ref="H397:H460" si="39">IF(ISERROR(G397), 0, IF(G397="NaT", 0, 1))</f>
        <v>0</v>
      </c>
      <c r="I397" s="11">
        <f t="shared" ref="I397:I460" si="40">IF(H397, IF(FLOOR($C397, 1) = FLOOR($C$5, 1), 1, 0), 0)</f>
        <v>0</v>
      </c>
      <c r="J397" s="11">
        <f t="shared" ref="J397:J460" ca="1" si="41">IF(ISERROR(G397), 0, IF(G397="NaT", 0,ROUND(((NOW()-G397)/365.25)*10, 0)/10))</f>
        <v>0</v>
      </c>
    </row>
    <row r="398" spans="1:10" hidden="1" x14ac:dyDescent="0.35">
      <c r="A398" s="20">
        <f>INDEX(signals_2020_05!$A$2:$A$680, MATCH(B398, signals_2020_05!$B$2:$B$680, 0))</f>
        <v>4154</v>
      </c>
      <c r="B398" s="2" t="str">
        <f>signals_2020_05!B388</f>
        <v>Nacelle ambient temperature, Max</v>
      </c>
      <c r="C398" s="9" t="str">
        <f>INDEX(signals_2020_05!$C$2:$AJ$680, MATCH($B398, signals_2020_05!$B$2:$B$680, 0), MATCH(C$2, signals_2020_05!$C$1:$AJ$1, 0))</f>
        <v>NaT</v>
      </c>
      <c r="D398" s="14">
        <f t="shared" si="36"/>
        <v>0</v>
      </c>
      <c r="E398" s="11">
        <f t="shared" si="37"/>
        <v>0</v>
      </c>
      <c r="F398" s="11">
        <f t="shared" ca="1" si="38"/>
        <v>0</v>
      </c>
      <c r="G398" s="9" t="e">
        <f>INDEX(signals_2019_10!$C$2:$AJ$682, MATCH($B398, signals_2019_10!$B$2:$B$682, 0), MATCH(C$2, signals_2019_10!$C$1:$AJ$1, 0))</f>
        <v>#N/A</v>
      </c>
      <c r="H398" s="14">
        <f t="shared" si="39"/>
        <v>0</v>
      </c>
      <c r="I398" s="11">
        <f t="shared" si="40"/>
        <v>0</v>
      </c>
      <c r="J398" s="11">
        <f t="shared" ca="1" si="41"/>
        <v>0</v>
      </c>
    </row>
    <row r="399" spans="1:10" hidden="1" x14ac:dyDescent="0.35">
      <c r="A399" s="20">
        <f>INDEX(signals_2020_05!$A$2:$A$680, MATCH(B399, signals_2020_05!$B$2:$B$680, 0))</f>
        <v>4155</v>
      </c>
      <c r="B399" s="2" t="str">
        <f>signals_2020_05!B389</f>
        <v>Nacelle ambient temperature, Min</v>
      </c>
      <c r="C399" s="9" t="str">
        <f>INDEX(signals_2020_05!$C$2:$AJ$680, MATCH($B399, signals_2020_05!$B$2:$B$680, 0), MATCH(C$2, signals_2020_05!$C$1:$AJ$1, 0))</f>
        <v>NaT</v>
      </c>
      <c r="D399" s="14">
        <f t="shared" si="36"/>
        <v>0</v>
      </c>
      <c r="E399" s="11">
        <f t="shared" si="37"/>
        <v>0</v>
      </c>
      <c r="F399" s="11">
        <f t="shared" ca="1" si="38"/>
        <v>0</v>
      </c>
      <c r="G399" s="9" t="e">
        <f>INDEX(signals_2019_10!$C$2:$AJ$682, MATCH($B399, signals_2019_10!$B$2:$B$682, 0), MATCH(C$2, signals_2019_10!$C$1:$AJ$1, 0))</f>
        <v>#N/A</v>
      </c>
      <c r="H399" s="14">
        <f t="shared" si="39"/>
        <v>0</v>
      </c>
      <c r="I399" s="11">
        <f t="shared" si="40"/>
        <v>0</v>
      </c>
      <c r="J399" s="11">
        <f t="shared" ca="1" si="41"/>
        <v>0</v>
      </c>
    </row>
    <row r="400" spans="1:10" hidden="1" x14ac:dyDescent="0.35">
      <c r="A400" s="20">
        <f>INDEX(signals_2020_05!$A$2:$A$680, MATCH(B400, signals_2020_05!$B$2:$B$680, 0))</f>
        <v>4156</v>
      </c>
      <c r="B400" s="2" t="str">
        <f>signals_2020_05!B390</f>
        <v>Nacelle ambient temperature, StdDev</v>
      </c>
      <c r="C400" s="9" t="str">
        <f>INDEX(signals_2020_05!$C$2:$AJ$680, MATCH($B400, signals_2020_05!$B$2:$B$680, 0), MATCH(C$2, signals_2020_05!$C$1:$AJ$1, 0))</f>
        <v>NaT</v>
      </c>
      <c r="D400" s="14">
        <f t="shared" si="36"/>
        <v>0</v>
      </c>
      <c r="E400" s="11">
        <f t="shared" si="37"/>
        <v>0</v>
      </c>
      <c r="F400" s="11">
        <f t="shared" ca="1" si="38"/>
        <v>0</v>
      </c>
      <c r="G400" s="9" t="e">
        <f>INDEX(signals_2019_10!$C$2:$AJ$682, MATCH($B400, signals_2019_10!$B$2:$B$682, 0), MATCH(C$2, signals_2019_10!$C$1:$AJ$1, 0))</f>
        <v>#N/A</v>
      </c>
      <c r="H400" s="14">
        <f t="shared" si="39"/>
        <v>0</v>
      </c>
      <c r="I400" s="11">
        <f t="shared" si="40"/>
        <v>0</v>
      </c>
      <c r="J400" s="11">
        <f t="shared" ca="1" si="41"/>
        <v>0</v>
      </c>
    </row>
    <row r="401" spans="1:10" hidden="1" x14ac:dyDescent="0.35">
      <c r="A401" s="20">
        <f>INDEX(signals_2020_05!$A$2:$A$680, MATCH(B401, signals_2020_05!$B$2:$B$680, 0))</f>
        <v>26</v>
      </c>
      <c r="B401" s="2" t="str">
        <f>signals_2020_05!B391</f>
        <v>Nacelle control cabinet temperature</v>
      </c>
      <c r="C401" s="9" t="str">
        <f>INDEX(signals_2020_05!$C$2:$AJ$680, MATCH($B401, signals_2020_05!$B$2:$B$680, 0), MATCH(C$2, signals_2020_05!$C$1:$AJ$1, 0))</f>
        <v>NaT</v>
      </c>
      <c r="D401" s="14">
        <f t="shared" si="36"/>
        <v>0</v>
      </c>
      <c r="E401" s="11">
        <f t="shared" si="37"/>
        <v>0</v>
      </c>
      <c r="F401" s="11">
        <f t="shared" ca="1" si="38"/>
        <v>0</v>
      </c>
      <c r="G401" s="9" t="str">
        <f>INDEX(signals_2019_10!$C$2:$AJ$682, MATCH($B401, signals_2019_10!$B$2:$B$682, 0), MATCH(C$2, signals_2019_10!$C$1:$AJ$1, 0))</f>
        <v>NaT</v>
      </c>
      <c r="H401" s="14">
        <f t="shared" si="39"/>
        <v>0</v>
      </c>
      <c r="I401" s="11">
        <f t="shared" si="40"/>
        <v>0</v>
      </c>
      <c r="J401" s="11">
        <f t="shared" ca="1" si="41"/>
        <v>0</v>
      </c>
    </row>
    <row r="402" spans="1:10" hidden="1" x14ac:dyDescent="0.35">
      <c r="A402" s="20">
        <f>INDEX(signals_2020_05!$A$2:$A$680, MATCH(B402, signals_2020_05!$B$2:$B$680, 0))</f>
        <v>3855</v>
      </c>
      <c r="B402" s="2" t="str">
        <f>signals_2020_05!B392</f>
        <v>Nacelle control cabinet temperature, Max</v>
      </c>
      <c r="C402" s="9" t="str">
        <f>INDEX(signals_2020_05!$C$2:$AJ$680, MATCH($B402, signals_2020_05!$B$2:$B$680, 0), MATCH(C$2, signals_2020_05!$C$1:$AJ$1, 0))</f>
        <v>NaT</v>
      </c>
      <c r="D402" s="14">
        <f t="shared" si="36"/>
        <v>0</v>
      </c>
      <c r="E402" s="11">
        <f t="shared" si="37"/>
        <v>0</v>
      </c>
      <c r="F402" s="11">
        <f t="shared" ca="1" si="38"/>
        <v>0</v>
      </c>
      <c r="G402" s="9" t="e">
        <f>INDEX(signals_2019_10!$C$2:$AJ$682, MATCH($B402, signals_2019_10!$B$2:$B$682, 0), MATCH(C$2, signals_2019_10!$C$1:$AJ$1, 0))</f>
        <v>#N/A</v>
      </c>
      <c r="H402" s="14">
        <f t="shared" si="39"/>
        <v>0</v>
      </c>
      <c r="I402" s="11">
        <f t="shared" si="40"/>
        <v>0</v>
      </c>
      <c r="J402" s="11">
        <f t="shared" ca="1" si="41"/>
        <v>0</v>
      </c>
    </row>
    <row r="403" spans="1:10" hidden="1" x14ac:dyDescent="0.35">
      <c r="A403" s="20">
        <f>INDEX(signals_2020_05!$A$2:$A$680, MATCH(B403, signals_2020_05!$B$2:$B$680, 0))</f>
        <v>3856</v>
      </c>
      <c r="B403" s="2" t="str">
        <f>signals_2020_05!B393</f>
        <v>Nacelle control cabinet temperature, Min</v>
      </c>
      <c r="C403" s="9" t="str">
        <f>INDEX(signals_2020_05!$C$2:$AJ$680, MATCH($B403, signals_2020_05!$B$2:$B$680, 0), MATCH(C$2, signals_2020_05!$C$1:$AJ$1, 0))</f>
        <v>NaT</v>
      </c>
      <c r="D403" s="14">
        <f t="shared" si="36"/>
        <v>0</v>
      </c>
      <c r="E403" s="11">
        <f t="shared" si="37"/>
        <v>0</v>
      </c>
      <c r="F403" s="11">
        <f t="shared" ca="1" si="38"/>
        <v>0</v>
      </c>
      <c r="G403" s="9" t="e">
        <f>INDEX(signals_2019_10!$C$2:$AJ$682, MATCH($B403, signals_2019_10!$B$2:$B$682, 0), MATCH(C$2, signals_2019_10!$C$1:$AJ$1, 0))</f>
        <v>#N/A</v>
      </c>
      <c r="H403" s="14">
        <f t="shared" si="39"/>
        <v>0</v>
      </c>
      <c r="I403" s="11">
        <f t="shared" si="40"/>
        <v>0</v>
      </c>
      <c r="J403" s="11">
        <f t="shared" ca="1" si="41"/>
        <v>0</v>
      </c>
    </row>
    <row r="404" spans="1:10" hidden="1" x14ac:dyDescent="0.35">
      <c r="A404" s="20">
        <f>INDEX(signals_2020_05!$A$2:$A$680, MATCH(B404, signals_2020_05!$B$2:$B$680, 0))</f>
        <v>3857</v>
      </c>
      <c r="B404" s="2" t="str">
        <f>signals_2020_05!B394</f>
        <v>Nacelle control cabinet temperature, Std</v>
      </c>
      <c r="C404" s="9" t="str">
        <f>INDEX(signals_2020_05!$C$2:$AJ$680, MATCH($B404, signals_2020_05!$B$2:$B$680, 0), MATCH(C$2, signals_2020_05!$C$1:$AJ$1, 0))</f>
        <v>NaT</v>
      </c>
      <c r="D404" s="14">
        <f t="shared" si="36"/>
        <v>0</v>
      </c>
      <c r="E404" s="11">
        <f t="shared" si="37"/>
        <v>0</v>
      </c>
      <c r="F404" s="11">
        <f t="shared" ca="1" si="38"/>
        <v>0</v>
      </c>
      <c r="G404" s="9" t="e">
        <f>INDEX(signals_2019_10!$C$2:$AJ$682, MATCH($B404, signals_2019_10!$B$2:$B$682, 0), MATCH(C$2, signals_2019_10!$C$1:$AJ$1, 0))</f>
        <v>#N/A</v>
      </c>
      <c r="H404" s="14">
        <f t="shared" si="39"/>
        <v>0</v>
      </c>
      <c r="I404" s="11">
        <f t="shared" si="40"/>
        <v>0</v>
      </c>
      <c r="J404" s="11">
        <f t="shared" ca="1" si="41"/>
        <v>0</v>
      </c>
    </row>
    <row r="405" spans="1:10" x14ac:dyDescent="0.35">
      <c r="A405" s="20">
        <f>INDEX(signals_2020_05!$A$2:$A$680, MATCH(B405, signals_2020_05!$B$2:$B$680, 0))</f>
        <v>3</v>
      </c>
      <c r="B405" s="2" t="str">
        <f>signals_2020_05!B395</f>
        <v>Nacelle position</v>
      </c>
      <c r="C405" s="9">
        <f>INDEX(signals_2020_05!$C$2:$AJ$680, MATCH($B405, signals_2020_05!$B$2:$B$680, 0), MATCH(C$2, signals_2020_05!$C$1:$AJ$1, 0))</f>
        <v>43054.631944444445</v>
      </c>
      <c r="D405" s="14">
        <f t="shared" si="36"/>
        <v>1</v>
      </c>
      <c r="E405" s="11">
        <f t="shared" si="37"/>
        <v>1</v>
      </c>
      <c r="F405" s="11">
        <f t="shared" ca="1" si="38"/>
        <v>2.7</v>
      </c>
      <c r="G405" s="9">
        <f>INDEX(signals_2019_10!$C$2:$AJ$682, MATCH($B405, signals_2019_10!$B$2:$B$682, 0), MATCH(C$2, signals_2019_10!$C$1:$AJ$1, 0))</f>
        <v>43054.631944444445</v>
      </c>
      <c r="H405" s="14">
        <f t="shared" si="39"/>
        <v>1</v>
      </c>
      <c r="I405" s="11">
        <f t="shared" si="40"/>
        <v>1</v>
      </c>
      <c r="J405" s="11">
        <f t="shared" ca="1" si="41"/>
        <v>2.7</v>
      </c>
    </row>
    <row r="406" spans="1:10" x14ac:dyDescent="0.35">
      <c r="A406" s="20">
        <f>INDEX(signals_2020_05!$A$2:$A$680, MATCH(B406, signals_2020_05!$B$2:$B$680, 0))</f>
        <v>73</v>
      </c>
      <c r="B406" s="2" t="str">
        <f>signals_2020_05!B396</f>
        <v>Nacelle position, Maximum</v>
      </c>
      <c r="C406" s="9">
        <f>INDEX(signals_2020_05!$C$2:$AJ$680, MATCH($B406, signals_2020_05!$B$2:$B$680, 0), MATCH(C$2, signals_2020_05!$C$1:$AJ$1, 0))</f>
        <v>43618.270833333336</v>
      </c>
      <c r="D406" s="14">
        <f t="shared" si="36"/>
        <v>1</v>
      </c>
      <c r="E406" s="11">
        <f t="shared" si="37"/>
        <v>0</v>
      </c>
      <c r="F406" s="11">
        <f t="shared" ca="1" si="38"/>
        <v>1.2</v>
      </c>
      <c r="G406" s="9">
        <f>INDEX(signals_2019_10!$C$2:$AJ$682, MATCH($B406, signals_2019_10!$B$2:$B$682, 0), MATCH(C$2, signals_2019_10!$C$1:$AJ$1, 0))</f>
        <v>43618.270833333336</v>
      </c>
      <c r="H406" s="14">
        <f t="shared" si="39"/>
        <v>1</v>
      </c>
      <c r="I406" s="11">
        <f t="shared" si="40"/>
        <v>0</v>
      </c>
      <c r="J406" s="11">
        <f t="shared" ca="1" si="41"/>
        <v>1.2</v>
      </c>
    </row>
    <row r="407" spans="1:10" x14ac:dyDescent="0.35">
      <c r="A407" s="20">
        <f>INDEX(signals_2020_05!$A$2:$A$680, MATCH(B407, signals_2020_05!$B$2:$B$680, 0))</f>
        <v>72</v>
      </c>
      <c r="B407" s="2" t="str">
        <f>signals_2020_05!B397</f>
        <v>Nacelle position, Minimum</v>
      </c>
      <c r="C407" s="9">
        <f>INDEX(signals_2020_05!$C$2:$AJ$680, MATCH($B407, signals_2020_05!$B$2:$B$680, 0), MATCH(C$2, signals_2020_05!$C$1:$AJ$1, 0))</f>
        <v>43618.270833333336</v>
      </c>
      <c r="D407" s="14">
        <f t="shared" si="36"/>
        <v>1</v>
      </c>
      <c r="E407" s="11">
        <f t="shared" si="37"/>
        <v>0</v>
      </c>
      <c r="F407" s="11">
        <f t="shared" ca="1" si="38"/>
        <v>1.2</v>
      </c>
      <c r="G407" s="9">
        <f>INDEX(signals_2019_10!$C$2:$AJ$682, MATCH($B407, signals_2019_10!$B$2:$B$682, 0), MATCH(C$2, signals_2019_10!$C$1:$AJ$1, 0))</f>
        <v>43618.270833333336</v>
      </c>
      <c r="H407" s="14">
        <f t="shared" si="39"/>
        <v>1</v>
      </c>
      <c r="I407" s="11">
        <f t="shared" si="40"/>
        <v>0</v>
      </c>
      <c r="J407" s="11">
        <f t="shared" ca="1" si="41"/>
        <v>1.2</v>
      </c>
    </row>
    <row r="408" spans="1:10" x14ac:dyDescent="0.35">
      <c r="A408" s="20">
        <f>INDEX(signals_2020_05!$A$2:$A$680, MATCH(B408, signals_2020_05!$B$2:$B$680, 0))</f>
        <v>71</v>
      </c>
      <c r="B408" s="2" t="str">
        <f>signals_2020_05!B398</f>
        <v>Nacelle position, Standard deviation</v>
      </c>
      <c r="C408" s="9">
        <f>INDEX(signals_2020_05!$C$2:$AJ$680, MATCH($B408, signals_2020_05!$B$2:$B$680, 0), MATCH(C$2, signals_2020_05!$C$1:$AJ$1, 0))</f>
        <v>43618.270833333336</v>
      </c>
      <c r="D408" s="14">
        <f t="shared" si="36"/>
        <v>1</v>
      </c>
      <c r="E408" s="11">
        <f t="shared" si="37"/>
        <v>0</v>
      </c>
      <c r="F408" s="11">
        <f t="shared" ca="1" si="38"/>
        <v>1.2</v>
      </c>
      <c r="G408" s="9">
        <f>INDEX(signals_2019_10!$C$2:$AJ$682, MATCH($B408, signals_2019_10!$B$2:$B$682, 0), MATCH(C$2, signals_2019_10!$C$1:$AJ$1, 0))</f>
        <v>43618.270833333336</v>
      </c>
      <c r="H408" s="14">
        <f t="shared" si="39"/>
        <v>1</v>
      </c>
      <c r="I408" s="11">
        <f t="shared" si="40"/>
        <v>0</v>
      </c>
      <c r="J408" s="11">
        <f t="shared" ca="1" si="41"/>
        <v>1.2</v>
      </c>
    </row>
    <row r="409" spans="1:10" hidden="1" x14ac:dyDescent="0.35">
      <c r="A409" s="20">
        <f>INDEX(signals_2020_05!$A$2:$A$680, MATCH(B409, signals_2020_05!$B$2:$B$680, 0))</f>
        <v>25</v>
      </c>
      <c r="B409" s="2" t="str">
        <f>signals_2020_05!B399</f>
        <v>Nacelle temperature</v>
      </c>
      <c r="C409" s="9" t="str">
        <f>INDEX(signals_2020_05!$C$2:$AJ$680, MATCH($B409, signals_2020_05!$B$2:$B$680, 0), MATCH(C$2, signals_2020_05!$C$1:$AJ$1, 0))</f>
        <v>NaT</v>
      </c>
      <c r="D409" s="14">
        <f t="shared" si="36"/>
        <v>0</v>
      </c>
      <c r="E409" s="11">
        <f t="shared" si="37"/>
        <v>0</v>
      </c>
      <c r="F409" s="11">
        <f t="shared" ca="1" si="38"/>
        <v>0</v>
      </c>
      <c r="G409" s="9" t="str">
        <f>INDEX(signals_2019_10!$C$2:$AJ$682, MATCH($B409, signals_2019_10!$B$2:$B$682, 0), MATCH(C$2, signals_2019_10!$C$1:$AJ$1, 0))</f>
        <v>NaT</v>
      </c>
      <c r="H409" s="14">
        <f t="shared" si="39"/>
        <v>0</v>
      </c>
      <c r="I409" s="11">
        <f t="shared" si="40"/>
        <v>0</v>
      </c>
      <c r="J409" s="11">
        <f t="shared" ca="1" si="41"/>
        <v>0</v>
      </c>
    </row>
    <row r="410" spans="1:10" hidden="1" x14ac:dyDescent="0.35">
      <c r="A410" s="20">
        <f>INDEX(signals_2020_05!$A$2:$A$680, MATCH(B410, signals_2020_05!$B$2:$B$680, 0))</f>
        <v>2833</v>
      </c>
      <c r="B410" s="2" t="str">
        <f>signals_2020_05!B400</f>
        <v>Nacelle temperature, Max</v>
      </c>
      <c r="C410" s="9" t="str">
        <f>INDEX(signals_2020_05!$C$2:$AJ$680, MATCH($B410, signals_2020_05!$B$2:$B$680, 0), MATCH(C$2, signals_2020_05!$C$1:$AJ$1, 0))</f>
        <v>NaT</v>
      </c>
      <c r="D410" s="14">
        <f t="shared" si="36"/>
        <v>0</v>
      </c>
      <c r="E410" s="11">
        <f t="shared" si="37"/>
        <v>0</v>
      </c>
      <c r="F410" s="11">
        <f t="shared" ca="1" si="38"/>
        <v>0</v>
      </c>
      <c r="G410" s="9" t="e">
        <f>INDEX(signals_2019_10!$C$2:$AJ$682, MATCH($B410, signals_2019_10!$B$2:$B$682, 0), MATCH(C$2, signals_2019_10!$C$1:$AJ$1, 0))</f>
        <v>#N/A</v>
      </c>
      <c r="H410" s="14">
        <f t="shared" si="39"/>
        <v>0</v>
      </c>
      <c r="I410" s="11">
        <f t="shared" si="40"/>
        <v>0</v>
      </c>
      <c r="J410" s="11">
        <f t="shared" ca="1" si="41"/>
        <v>0</v>
      </c>
    </row>
    <row r="411" spans="1:10" hidden="1" x14ac:dyDescent="0.35">
      <c r="A411" s="20">
        <f>INDEX(signals_2020_05!$A$2:$A$680, MATCH(B411, signals_2020_05!$B$2:$B$680, 0))</f>
        <v>2834</v>
      </c>
      <c r="B411" s="2" t="str">
        <f>signals_2020_05!B401</f>
        <v>Nacelle temperature, Min</v>
      </c>
      <c r="C411" s="9" t="str">
        <f>INDEX(signals_2020_05!$C$2:$AJ$680, MATCH($B411, signals_2020_05!$B$2:$B$680, 0), MATCH(C$2, signals_2020_05!$C$1:$AJ$1, 0))</f>
        <v>NaT</v>
      </c>
      <c r="D411" s="14">
        <f t="shared" si="36"/>
        <v>0</v>
      </c>
      <c r="E411" s="11">
        <f t="shared" si="37"/>
        <v>0</v>
      </c>
      <c r="F411" s="11">
        <f t="shared" ca="1" si="38"/>
        <v>0</v>
      </c>
      <c r="G411" s="9" t="e">
        <f>INDEX(signals_2019_10!$C$2:$AJ$682, MATCH($B411, signals_2019_10!$B$2:$B$682, 0), MATCH(C$2, signals_2019_10!$C$1:$AJ$1, 0))</f>
        <v>#N/A</v>
      </c>
      <c r="H411" s="14">
        <f t="shared" si="39"/>
        <v>0</v>
      </c>
      <c r="I411" s="11">
        <f t="shared" si="40"/>
        <v>0</v>
      </c>
      <c r="J411" s="11">
        <f t="shared" ca="1" si="41"/>
        <v>0</v>
      </c>
    </row>
    <row r="412" spans="1:10" hidden="1" x14ac:dyDescent="0.35">
      <c r="A412" s="20">
        <f>INDEX(signals_2020_05!$A$2:$A$680, MATCH(B412, signals_2020_05!$B$2:$B$680, 0))</f>
        <v>3729</v>
      </c>
      <c r="B412" s="2" t="str">
        <f>signals_2020_05!B402</f>
        <v>Nacelle temperature, Standard deviation</v>
      </c>
      <c r="C412" s="9" t="str">
        <f>INDEX(signals_2020_05!$C$2:$AJ$680, MATCH($B412, signals_2020_05!$B$2:$B$680, 0), MATCH(C$2, signals_2020_05!$C$1:$AJ$1, 0))</f>
        <v>NaT</v>
      </c>
      <c r="D412" s="14">
        <f t="shared" si="36"/>
        <v>0</v>
      </c>
      <c r="E412" s="11">
        <f t="shared" si="37"/>
        <v>0</v>
      </c>
      <c r="F412" s="11">
        <f t="shared" ca="1" si="38"/>
        <v>0</v>
      </c>
      <c r="G412" s="9" t="e">
        <f>INDEX(signals_2019_10!$C$2:$AJ$682, MATCH($B412, signals_2019_10!$B$2:$B$682, 0), MATCH(C$2, signals_2019_10!$C$1:$AJ$1, 0))</f>
        <v>#N/A</v>
      </c>
      <c r="H412" s="14">
        <f t="shared" si="39"/>
        <v>0</v>
      </c>
      <c r="I412" s="11">
        <f t="shared" si="40"/>
        <v>0</v>
      </c>
      <c r="J412" s="11">
        <f t="shared" ca="1" si="41"/>
        <v>0</v>
      </c>
    </row>
    <row r="413" spans="1:10" hidden="1" x14ac:dyDescent="0.35">
      <c r="A413" s="20">
        <f>INDEX(signals_2020_05!$A$2:$A$680, MATCH(B413, signals_2020_05!$B$2:$B$680, 0))</f>
        <v>328</v>
      </c>
      <c r="B413" s="2" t="str">
        <f>signals_2020_05!B403</f>
        <v>Not Released To Operation Time</v>
      </c>
      <c r="C413" s="9" t="str">
        <f>INDEX(signals_2020_05!$C$2:$AJ$680, MATCH($B413, signals_2020_05!$B$2:$B$680, 0), MATCH(C$2, signals_2020_05!$C$1:$AJ$1, 0))</f>
        <v>NaT</v>
      </c>
      <c r="D413" s="14">
        <f t="shared" si="36"/>
        <v>0</v>
      </c>
      <c r="E413" s="11">
        <f t="shared" si="37"/>
        <v>0</v>
      </c>
      <c r="F413" s="11">
        <f t="shared" ca="1" si="38"/>
        <v>0</v>
      </c>
      <c r="G413" s="9" t="str">
        <f>INDEX(signals_2019_10!$C$2:$AJ$682, MATCH($B413, signals_2019_10!$B$2:$B$682, 0), MATCH(C$2, signals_2019_10!$C$1:$AJ$1, 0))</f>
        <v>NaT</v>
      </c>
      <c r="H413" s="14">
        <f t="shared" si="39"/>
        <v>0</v>
      </c>
      <c r="I413" s="11">
        <f t="shared" si="40"/>
        <v>0</v>
      </c>
      <c r="J413" s="11">
        <f t="shared" ca="1" si="41"/>
        <v>0</v>
      </c>
    </row>
    <row r="414" spans="1:10" hidden="1" x14ac:dyDescent="0.35">
      <c r="A414" s="20">
        <f>INDEX(signals_2020_05!$A$2:$A$680, MATCH(B414, signals_2020_05!$B$2:$B$680, 0))</f>
        <v>322</v>
      </c>
      <c r="B414" s="2" t="str">
        <f>signals_2020_05!B404</f>
        <v>Oil sump temperature</v>
      </c>
      <c r="C414" s="9" t="str">
        <f>INDEX(signals_2020_05!$C$2:$AJ$680, MATCH($B414, signals_2020_05!$B$2:$B$680, 0), MATCH(C$2, signals_2020_05!$C$1:$AJ$1, 0))</f>
        <v>NaT</v>
      </c>
      <c r="D414" s="14">
        <f t="shared" si="36"/>
        <v>0</v>
      </c>
      <c r="E414" s="11">
        <f t="shared" si="37"/>
        <v>0</v>
      </c>
      <c r="F414" s="11">
        <f t="shared" ca="1" si="38"/>
        <v>0</v>
      </c>
      <c r="G414" s="9" t="str">
        <f>INDEX(signals_2019_10!$C$2:$AJ$682, MATCH($B414, signals_2019_10!$B$2:$B$682, 0), MATCH(C$2, signals_2019_10!$C$1:$AJ$1, 0))</f>
        <v>NaT</v>
      </c>
      <c r="H414" s="14">
        <f t="shared" si="39"/>
        <v>0</v>
      </c>
      <c r="I414" s="11">
        <f t="shared" si="40"/>
        <v>0</v>
      </c>
      <c r="J414" s="11">
        <f t="shared" ca="1" si="41"/>
        <v>0</v>
      </c>
    </row>
    <row r="415" spans="1:10" hidden="1" x14ac:dyDescent="0.35">
      <c r="A415" s="20">
        <f>INDEX(signals_2020_05!$A$2:$A$680, MATCH(B415, signals_2020_05!$B$2:$B$680, 0))</f>
        <v>4186</v>
      </c>
      <c r="B415" s="2" t="str">
        <f>signals_2020_05!B405</f>
        <v>Oil sump temperature, Max</v>
      </c>
      <c r="C415" s="9" t="str">
        <f>INDEX(signals_2020_05!$C$2:$AJ$680, MATCH($B415, signals_2020_05!$B$2:$B$680, 0), MATCH(C$2, signals_2020_05!$C$1:$AJ$1, 0))</f>
        <v>NaT</v>
      </c>
      <c r="D415" s="14">
        <f t="shared" si="36"/>
        <v>0</v>
      </c>
      <c r="E415" s="11">
        <f t="shared" si="37"/>
        <v>0</v>
      </c>
      <c r="F415" s="11">
        <f t="shared" ca="1" si="38"/>
        <v>0</v>
      </c>
      <c r="G415" s="9" t="e">
        <f>INDEX(signals_2019_10!$C$2:$AJ$682, MATCH($B415, signals_2019_10!$B$2:$B$682, 0), MATCH(C$2, signals_2019_10!$C$1:$AJ$1, 0))</f>
        <v>#N/A</v>
      </c>
      <c r="H415" s="14">
        <f t="shared" si="39"/>
        <v>0</v>
      </c>
      <c r="I415" s="11">
        <f t="shared" si="40"/>
        <v>0</v>
      </c>
      <c r="J415" s="11">
        <f t="shared" ca="1" si="41"/>
        <v>0</v>
      </c>
    </row>
    <row r="416" spans="1:10" hidden="1" x14ac:dyDescent="0.35">
      <c r="A416" s="20">
        <f>INDEX(signals_2020_05!$A$2:$A$680, MATCH(B416, signals_2020_05!$B$2:$B$680, 0))</f>
        <v>4187</v>
      </c>
      <c r="B416" s="2" t="str">
        <f>signals_2020_05!B406</f>
        <v>Oil sump temperature, Min</v>
      </c>
      <c r="C416" s="9" t="str">
        <f>INDEX(signals_2020_05!$C$2:$AJ$680, MATCH($B416, signals_2020_05!$B$2:$B$680, 0), MATCH(C$2, signals_2020_05!$C$1:$AJ$1, 0))</f>
        <v>NaT</v>
      </c>
      <c r="D416" s="14">
        <f t="shared" si="36"/>
        <v>0</v>
      </c>
      <c r="E416" s="11">
        <f t="shared" si="37"/>
        <v>0</v>
      </c>
      <c r="F416" s="11">
        <f t="shared" ca="1" si="38"/>
        <v>0</v>
      </c>
      <c r="G416" s="9" t="e">
        <f>INDEX(signals_2019_10!$C$2:$AJ$682, MATCH($B416, signals_2019_10!$B$2:$B$682, 0), MATCH(C$2, signals_2019_10!$C$1:$AJ$1, 0))</f>
        <v>#N/A</v>
      </c>
      <c r="H416" s="14">
        <f t="shared" si="39"/>
        <v>0</v>
      </c>
      <c r="I416" s="11">
        <f t="shared" si="40"/>
        <v>0</v>
      </c>
      <c r="J416" s="11">
        <f t="shared" ca="1" si="41"/>
        <v>0</v>
      </c>
    </row>
    <row r="417" spans="1:10" hidden="1" x14ac:dyDescent="0.35">
      <c r="A417" s="20">
        <f>INDEX(signals_2020_05!$A$2:$A$680, MATCH(B417, signals_2020_05!$B$2:$B$680, 0))</f>
        <v>4188</v>
      </c>
      <c r="B417" s="2" t="str">
        <f>signals_2020_05!B407</f>
        <v>Oil sump temperature, StdDev</v>
      </c>
      <c r="C417" s="9" t="str">
        <f>INDEX(signals_2020_05!$C$2:$AJ$680, MATCH($B417, signals_2020_05!$B$2:$B$680, 0), MATCH(C$2, signals_2020_05!$C$1:$AJ$1, 0))</f>
        <v>NaT</v>
      </c>
      <c r="D417" s="14">
        <f t="shared" si="36"/>
        <v>0</v>
      </c>
      <c r="E417" s="11">
        <f t="shared" si="37"/>
        <v>0</v>
      </c>
      <c r="F417" s="11">
        <f t="shared" ca="1" si="38"/>
        <v>0</v>
      </c>
      <c r="G417" s="9" t="e">
        <f>INDEX(signals_2019_10!$C$2:$AJ$682, MATCH($B417, signals_2019_10!$B$2:$B$682, 0), MATCH(C$2, signals_2019_10!$C$1:$AJ$1, 0))</f>
        <v>#N/A</v>
      </c>
      <c r="H417" s="14">
        <f t="shared" si="39"/>
        <v>0</v>
      </c>
      <c r="I417" s="11">
        <f t="shared" si="40"/>
        <v>0</v>
      </c>
      <c r="J417" s="11">
        <f t="shared" ca="1" si="41"/>
        <v>0</v>
      </c>
    </row>
    <row r="418" spans="1:10" hidden="1" x14ac:dyDescent="0.35">
      <c r="A418" s="20">
        <f>INDEX(signals_2020_05!$A$2:$A$680, MATCH(B418, signals_2020_05!$B$2:$B$680, 0))</f>
        <v>278</v>
      </c>
      <c r="B418" s="2" t="str">
        <f>signals_2020_05!B408</f>
        <v>Operating state</v>
      </c>
      <c r="C418" s="9" t="str">
        <f>INDEX(signals_2020_05!$C$2:$AJ$680, MATCH($B418, signals_2020_05!$B$2:$B$680, 0), MATCH(C$2, signals_2020_05!$C$1:$AJ$1, 0))</f>
        <v>NaT</v>
      </c>
      <c r="D418" s="14">
        <f t="shared" si="36"/>
        <v>0</v>
      </c>
      <c r="E418" s="11">
        <f t="shared" si="37"/>
        <v>0</v>
      </c>
      <c r="F418" s="11">
        <f t="shared" ca="1" si="38"/>
        <v>0</v>
      </c>
      <c r="G418" s="9" t="str">
        <f>INDEX(signals_2019_10!$C$2:$AJ$682, MATCH($B418, signals_2019_10!$B$2:$B$682, 0), MATCH(C$2, signals_2019_10!$C$1:$AJ$1, 0))</f>
        <v>NaT</v>
      </c>
      <c r="H418" s="14">
        <f t="shared" si="39"/>
        <v>0</v>
      </c>
      <c r="I418" s="11">
        <f t="shared" si="40"/>
        <v>0</v>
      </c>
      <c r="J418" s="11">
        <f t="shared" ca="1" si="41"/>
        <v>0</v>
      </c>
    </row>
    <row r="419" spans="1:10" hidden="1" x14ac:dyDescent="0.35">
      <c r="A419" s="20">
        <f>INDEX(signals_2020_05!$A$2:$A$680, MATCH(B419, signals_2020_05!$B$2:$B$680, 0))</f>
        <v>308</v>
      </c>
      <c r="B419" s="2" t="str">
        <f>signals_2020_05!B409</f>
        <v>Operating sub state</v>
      </c>
      <c r="C419" s="9" t="str">
        <f>INDEX(signals_2020_05!$C$2:$AJ$680, MATCH($B419, signals_2020_05!$B$2:$B$680, 0), MATCH(C$2, signals_2020_05!$C$1:$AJ$1, 0))</f>
        <v>NaT</v>
      </c>
      <c r="D419" s="14">
        <f t="shared" si="36"/>
        <v>0</v>
      </c>
      <c r="E419" s="11">
        <f t="shared" si="37"/>
        <v>0</v>
      </c>
      <c r="F419" s="11">
        <f t="shared" ca="1" si="38"/>
        <v>0</v>
      </c>
      <c r="G419" s="9" t="str">
        <f>INDEX(signals_2019_10!$C$2:$AJ$682, MATCH($B419, signals_2019_10!$B$2:$B$682, 0), MATCH(C$2, signals_2019_10!$C$1:$AJ$1, 0))</f>
        <v>NaT</v>
      </c>
      <c r="H419" s="14">
        <f t="shared" si="39"/>
        <v>0</v>
      </c>
      <c r="I419" s="11">
        <f t="shared" si="40"/>
        <v>0</v>
      </c>
      <c r="J419" s="11">
        <f t="shared" ca="1" si="41"/>
        <v>0</v>
      </c>
    </row>
    <row r="420" spans="1:10" hidden="1" x14ac:dyDescent="0.35">
      <c r="A420" s="20">
        <f>INDEX(signals_2020_05!$A$2:$A$680, MATCH(B420, signals_2020_05!$B$2:$B$680, 0))</f>
        <v>52</v>
      </c>
      <c r="B420" s="2" t="str">
        <f>signals_2020_05!B410</f>
        <v>Operating Time</v>
      </c>
      <c r="C420" s="9" t="str">
        <f>INDEX(signals_2020_05!$C$2:$AJ$680, MATCH($B420, signals_2020_05!$B$2:$B$680, 0), MATCH(C$2, signals_2020_05!$C$1:$AJ$1, 0))</f>
        <v>NaT</v>
      </c>
      <c r="D420" s="14">
        <f t="shared" si="36"/>
        <v>0</v>
      </c>
      <c r="E420" s="11">
        <f t="shared" si="37"/>
        <v>0</v>
      </c>
      <c r="F420" s="11">
        <f t="shared" ca="1" si="38"/>
        <v>0</v>
      </c>
      <c r="G420" s="9" t="str">
        <f>INDEX(signals_2019_10!$C$2:$AJ$682, MATCH($B420, signals_2019_10!$B$2:$B$682, 0), MATCH(C$2, signals_2019_10!$C$1:$AJ$1, 0))</f>
        <v>NaT</v>
      </c>
      <c r="H420" s="14">
        <f t="shared" si="39"/>
        <v>0</v>
      </c>
      <c r="I420" s="11">
        <f t="shared" si="40"/>
        <v>0</v>
      </c>
      <c r="J420" s="11">
        <f t="shared" ca="1" si="41"/>
        <v>0</v>
      </c>
    </row>
    <row r="421" spans="1:10" hidden="1" x14ac:dyDescent="0.35">
      <c r="A421" s="20">
        <f>INDEX(signals_2020_05!$A$2:$A$680, MATCH(B421, signals_2020_05!$B$2:$B$680, 0))</f>
        <v>403</v>
      </c>
      <c r="B421" s="2" t="str">
        <f>signals_2020_05!B411</f>
        <v>Operating time - emergency brake</v>
      </c>
      <c r="C421" s="9" t="str">
        <f>INDEX(signals_2020_05!$C$2:$AJ$680, MATCH($B421, signals_2020_05!$B$2:$B$680, 0), MATCH(C$2, signals_2020_05!$C$1:$AJ$1, 0))</f>
        <v>NaT</v>
      </c>
      <c r="D421" s="14">
        <f t="shared" si="36"/>
        <v>0</v>
      </c>
      <c r="E421" s="11">
        <f t="shared" si="37"/>
        <v>0</v>
      </c>
      <c r="F421" s="11">
        <f t="shared" ca="1" si="38"/>
        <v>0</v>
      </c>
      <c r="G421" s="9" t="str">
        <f>INDEX(signals_2019_10!$C$2:$AJ$682, MATCH($B421, signals_2019_10!$B$2:$B$682, 0), MATCH(C$2, signals_2019_10!$C$1:$AJ$1, 0))</f>
        <v>NaT</v>
      </c>
      <c r="H421" s="14">
        <f t="shared" si="39"/>
        <v>0</v>
      </c>
      <c r="I421" s="11">
        <f t="shared" si="40"/>
        <v>0</v>
      </c>
      <c r="J421" s="11">
        <f t="shared" ca="1" si="41"/>
        <v>0</v>
      </c>
    </row>
    <row r="422" spans="1:10" hidden="1" x14ac:dyDescent="0.35">
      <c r="A422" s="20">
        <f>INDEX(signals_2020_05!$A$2:$A$680, MATCH(B422, signals_2020_05!$B$2:$B$680, 0))</f>
        <v>402</v>
      </c>
      <c r="B422" s="2" t="str">
        <f>signals_2020_05!B412</f>
        <v>Operating time - fast brake</v>
      </c>
      <c r="C422" s="9" t="str">
        <f>INDEX(signals_2020_05!$C$2:$AJ$680, MATCH($B422, signals_2020_05!$B$2:$B$680, 0), MATCH(C$2, signals_2020_05!$C$1:$AJ$1, 0))</f>
        <v>NaT</v>
      </c>
      <c r="D422" s="14">
        <f t="shared" si="36"/>
        <v>0</v>
      </c>
      <c r="E422" s="11">
        <f t="shared" si="37"/>
        <v>0</v>
      </c>
      <c r="F422" s="11">
        <f t="shared" ca="1" si="38"/>
        <v>0</v>
      </c>
      <c r="G422" s="9" t="str">
        <f>INDEX(signals_2019_10!$C$2:$AJ$682, MATCH($B422, signals_2019_10!$B$2:$B$682, 0), MATCH(C$2, signals_2019_10!$C$1:$AJ$1, 0))</f>
        <v>NaT</v>
      </c>
      <c r="H422" s="14">
        <f t="shared" si="39"/>
        <v>0</v>
      </c>
      <c r="I422" s="11">
        <f t="shared" si="40"/>
        <v>0</v>
      </c>
      <c r="J422" s="11">
        <f t="shared" ca="1" si="41"/>
        <v>0</v>
      </c>
    </row>
    <row r="423" spans="1:10" hidden="1" x14ac:dyDescent="0.35">
      <c r="A423" s="20">
        <f>INDEX(signals_2020_05!$A$2:$A$680, MATCH(B423, signals_2020_05!$B$2:$B$680, 0))</f>
        <v>400</v>
      </c>
      <c r="B423" s="2" t="str">
        <f>signals_2020_05!B413</f>
        <v>Operating time - soft brake step 1</v>
      </c>
      <c r="C423" s="9" t="str">
        <f>INDEX(signals_2020_05!$C$2:$AJ$680, MATCH($B423, signals_2020_05!$B$2:$B$680, 0), MATCH(C$2, signals_2020_05!$C$1:$AJ$1, 0))</f>
        <v>NaT</v>
      </c>
      <c r="D423" s="14">
        <f t="shared" si="36"/>
        <v>0</v>
      </c>
      <c r="E423" s="11">
        <f t="shared" si="37"/>
        <v>0</v>
      </c>
      <c r="F423" s="11">
        <f t="shared" ca="1" si="38"/>
        <v>0</v>
      </c>
      <c r="G423" s="9" t="str">
        <f>INDEX(signals_2019_10!$C$2:$AJ$682, MATCH($B423, signals_2019_10!$B$2:$B$682, 0), MATCH(C$2, signals_2019_10!$C$1:$AJ$1, 0))</f>
        <v>NaT</v>
      </c>
      <c r="H423" s="14">
        <f t="shared" si="39"/>
        <v>0</v>
      </c>
      <c r="I423" s="11">
        <f t="shared" si="40"/>
        <v>0</v>
      </c>
      <c r="J423" s="11">
        <f t="shared" ca="1" si="41"/>
        <v>0</v>
      </c>
    </row>
    <row r="424" spans="1:10" hidden="1" x14ac:dyDescent="0.35">
      <c r="A424" s="20">
        <f>INDEX(signals_2020_05!$A$2:$A$680, MATCH(B424, signals_2020_05!$B$2:$B$680, 0))</f>
        <v>401</v>
      </c>
      <c r="B424" s="2" t="str">
        <f>signals_2020_05!B414</f>
        <v>Operating time - soft brake step 2</v>
      </c>
      <c r="C424" s="9" t="str">
        <f>INDEX(signals_2020_05!$C$2:$AJ$680, MATCH($B424, signals_2020_05!$B$2:$B$680, 0), MATCH(C$2, signals_2020_05!$C$1:$AJ$1, 0))</f>
        <v>NaT</v>
      </c>
      <c r="D424" s="14">
        <f t="shared" si="36"/>
        <v>0</v>
      </c>
      <c r="E424" s="11">
        <f t="shared" si="37"/>
        <v>0</v>
      </c>
      <c r="F424" s="11">
        <f t="shared" ca="1" si="38"/>
        <v>0</v>
      </c>
      <c r="G424" s="9" t="str">
        <f>INDEX(signals_2019_10!$C$2:$AJ$682, MATCH($B424, signals_2019_10!$B$2:$B$682, 0), MATCH(C$2, signals_2019_10!$C$1:$AJ$1, 0))</f>
        <v>NaT</v>
      </c>
      <c r="H424" s="14">
        <f t="shared" si="39"/>
        <v>0</v>
      </c>
      <c r="I424" s="11">
        <f t="shared" si="40"/>
        <v>0</v>
      </c>
      <c r="J424" s="11">
        <f t="shared" ca="1" si="41"/>
        <v>0</v>
      </c>
    </row>
    <row r="425" spans="1:10" hidden="1" x14ac:dyDescent="0.35">
      <c r="A425" s="20">
        <f>INDEX(signals_2020_05!$A$2:$A$680, MATCH(B425, signals_2020_05!$B$2:$B$680, 0))</f>
        <v>1676</v>
      </c>
      <c r="B425" s="2" t="str">
        <f>signals_2020_05!B415</f>
        <v>Pending Operating State</v>
      </c>
      <c r="C425" s="9" t="str">
        <f>INDEX(signals_2020_05!$C$2:$AJ$680, MATCH($B425, signals_2020_05!$B$2:$B$680, 0), MATCH(C$2, signals_2020_05!$C$1:$AJ$1, 0))</f>
        <v>NaT</v>
      </c>
      <c r="D425" s="14">
        <f t="shared" si="36"/>
        <v>0</v>
      </c>
      <c r="E425" s="11">
        <f t="shared" si="37"/>
        <v>0</v>
      </c>
      <c r="F425" s="11">
        <f t="shared" ca="1" si="38"/>
        <v>0</v>
      </c>
      <c r="G425" s="9" t="str">
        <f>INDEX(signals_2019_10!$C$2:$AJ$682, MATCH($B425, signals_2019_10!$B$2:$B$682, 0), MATCH(C$2, signals_2019_10!$C$1:$AJ$1, 0))</f>
        <v>NaT</v>
      </c>
      <c r="H425" s="14">
        <f t="shared" si="39"/>
        <v>0</v>
      </c>
      <c r="I425" s="11">
        <f t="shared" si="40"/>
        <v>0</v>
      </c>
      <c r="J425" s="11">
        <f t="shared" ca="1" si="41"/>
        <v>0</v>
      </c>
    </row>
    <row r="426" spans="1:10" hidden="1" x14ac:dyDescent="0.35">
      <c r="A426" s="20">
        <f>INDEX(signals_2020_05!$A$2:$A$680, MATCH(B426, signals_2020_05!$B$2:$B$680, 0))</f>
        <v>126</v>
      </c>
      <c r="B426" s="2" t="str">
        <f>signals_2020_05!B416</f>
        <v>Phase 1 temperature</v>
      </c>
      <c r="C426" s="9" t="str">
        <f>INDEX(signals_2020_05!$C$2:$AJ$680, MATCH($B426, signals_2020_05!$B$2:$B$680, 0), MATCH(C$2, signals_2020_05!$C$1:$AJ$1, 0))</f>
        <v>NaT</v>
      </c>
      <c r="D426" s="14">
        <f t="shared" si="36"/>
        <v>0</v>
      </c>
      <c r="E426" s="11">
        <f t="shared" si="37"/>
        <v>0</v>
      </c>
      <c r="F426" s="11">
        <f t="shared" ca="1" si="38"/>
        <v>0</v>
      </c>
      <c r="G426" s="9" t="str">
        <f>INDEX(signals_2019_10!$C$2:$AJ$682, MATCH($B426, signals_2019_10!$B$2:$B$682, 0), MATCH(C$2, signals_2019_10!$C$1:$AJ$1, 0))</f>
        <v>NaT</v>
      </c>
      <c r="H426" s="14">
        <f t="shared" si="39"/>
        <v>0</v>
      </c>
      <c r="I426" s="11">
        <f t="shared" si="40"/>
        <v>0</v>
      </c>
      <c r="J426" s="11">
        <f t="shared" ca="1" si="41"/>
        <v>0</v>
      </c>
    </row>
    <row r="427" spans="1:10" hidden="1" x14ac:dyDescent="0.35">
      <c r="A427" s="20">
        <f>INDEX(signals_2020_05!$A$2:$A$680, MATCH(B427, signals_2020_05!$B$2:$B$680, 0))</f>
        <v>4296</v>
      </c>
      <c r="B427" s="2" t="str">
        <f>signals_2020_05!B417</f>
        <v>Phase 1 temperature, Max</v>
      </c>
      <c r="C427" s="9" t="str">
        <f>INDEX(signals_2020_05!$C$2:$AJ$680, MATCH($B427, signals_2020_05!$B$2:$B$680, 0), MATCH(C$2, signals_2020_05!$C$1:$AJ$1, 0))</f>
        <v>NaT</v>
      </c>
      <c r="D427" s="14">
        <f t="shared" si="36"/>
        <v>0</v>
      </c>
      <c r="E427" s="11">
        <f t="shared" si="37"/>
        <v>0</v>
      </c>
      <c r="F427" s="11">
        <f t="shared" ca="1" si="38"/>
        <v>0</v>
      </c>
      <c r="G427" s="9" t="e">
        <f>INDEX(signals_2019_10!$C$2:$AJ$682, MATCH($B427, signals_2019_10!$B$2:$B$682, 0), MATCH(C$2, signals_2019_10!$C$1:$AJ$1, 0))</f>
        <v>#N/A</v>
      </c>
      <c r="H427" s="14">
        <f t="shared" si="39"/>
        <v>0</v>
      </c>
      <c r="I427" s="11">
        <f t="shared" si="40"/>
        <v>0</v>
      </c>
      <c r="J427" s="11">
        <f t="shared" ca="1" si="41"/>
        <v>0</v>
      </c>
    </row>
    <row r="428" spans="1:10" hidden="1" x14ac:dyDescent="0.35">
      <c r="A428" s="20">
        <f>INDEX(signals_2020_05!$A$2:$A$680, MATCH(B428, signals_2020_05!$B$2:$B$680, 0))</f>
        <v>4297</v>
      </c>
      <c r="B428" s="2" t="str">
        <f>signals_2020_05!B418</f>
        <v>Phase 1 temperature, Min</v>
      </c>
      <c r="C428" s="9" t="str">
        <f>INDEX(signals_2020_05!$C$2:$AJ$680, MATCH($B428, signals_2020_05!$B$2:$B$680, 0), MATCH(C$2, signals_2020_05!$C$1:$AJ$1, 0))</f>
        <v>NaT</v>
      </c>
      <c r="D428" s="14">
        <f t="shared" si="36"/>
        <v>0</v>
      </c>
      <c r="E428" s="11">
        <f t="shared" si="37"/>
        <v>0</v>
      </c>
      <c r="F428" s="11">
        <f t="shared" ca="1" si="38"/>
        <v>0</v>
      </c>
      <c r="G428" s="9" t="e">
        <f>INDEX(signals_2019_10!$C$2:$AJ$682, MATCH($B428, signals_2019_10!$B$2:$B$682, 0), MATCH(C$2, signals_2019_10!$C$1:$AJ$1, 0))</f>
        <v>#N/A</v>
      </c>
      <c r="H428" s="14">
        <f t="shared" si="39"/>
        <v>0</v>
      </c>
      <c r="I428" s="11">
        <f t="shared" si="40"/>
        <v>0</v>
      </c>
      <c r="J428" s="11">
        <f t="shared" ca="1" si="41"/>
        <v>0</v>
      </c>
    </row>
    <row r="429" spans="1:10" hidden="1" x14ac:dyDescent="0.35">
      <c r="A429" s="20">
        <f>INDEX(signals_2020_05!$A$2:$A$680, MATCH(B429, signals_2020_05!$B$2:$B$680, 0))</f>
        <v>4298</v>
      </c>
      <c r="B429" s="2" t="str">
        <f>signals_2020_05!B419</f>
        <v>Phase 1 temperature, StdDev</v>
      </c>
      <c r="C429" s="9" t="str">
        <f>INDEX(signals_2020_05!$C$2:$AJ$680, MATCH($B429, signals_2020_05!$B$2:$B$680, 0), MATCH(C$2, signals_2020_05!$C$1:$AJ$1, 0))</f>
        <v>NaT</v>
      </c>
      <c r="D429" s="14">
        <f t="shared" si="36"/>
        <v>0</v>
      </c>
      <c r="E429" s="11">
        <f t="shared" si="37"/>
        <v>0</v>
      </c>
      <c r="F429" s="11">
        <f t="shared" ca="1" si="38"/>
        <v>0</v>
      </c>
      <c r="G429" s="9" t="e">
        <f>INDEX(signals_2019_10!$C$2:$AJ$682, MATCH($B429, signals_2019_10!$B$2:$B$682, 0), MATCH(C$2, signals_2019_10!$C$1:$AJ$1, 0))</f>
        <v>#N/A</v>
      </c>
      <c r="H429" s="14">
        <f t="shared" si="39"/>
        <v>0</v>
      </c>
      <c r="I429" s="11">
        <f t="shared" si="40"/>
        <v>0</v>
      </c>
      <c r="J429" s="11">
        <f t="shared" ca="1" si="41"/>
        <v>0</v>
      </c>
    </row>
    <row r="430" spans="1:10" hidden="1" x14ac:dyDescent="0.35">
      <c r="A430" s="20">
        <f>INDEX(signals_2020_05!$A$2:$A$680, MATCH(B430, signals_2020_05!$B$2:$B$680, 0))</f>
        <v>127</v>
      </c>
      <c r="B430" s="2" t="str">
        <f>signals_2020_05!B420</f>
        <v>Phase 2 temperature</v>
      </c>
      <c r="C430" s="9" t="str">
        <f>INDEX(signals_2020_05!$C$2:$AJ$680, MATCH($B430, signals_2020_05!$B$2:$B$680, 0), MATCH(C$2, signals_2020_05!$C$1:$AJ$1, 0))</f>
        <v>NaT</v>
      </c>
      <c r="D430" s="14">
        <f t="shared" si="36"/>
        <v>0</v>
      </c>
      <c r="E430" s="11">
        <f t="shared" si="37"/>
        <v>0</v>
      </c>
      <c r="F430" s="11">
        <f t="shared" ca="1" si="38"/>
        <v>0</v>
      </c>
      <c r="G430" s="9" t="str">
        <f>INDEX(signals_2019_10!$C$2:$AJ$682, MATCH($B430, signals_2019_10!$B$2:$B$682, 0), MATCH(C$2, signals_2019_10!$C$1:$AJ$1, 0))</f>
        <v>NaT</v>
      </c>
      <c r="H430" s="14">
        <f t="shared" si="39"/>
        <v>0</v>
      </c>
      <c r="I430" s="11">
        <f t="shared" si="40"/>
        <v>0</v>
      </c>
      <c r="J430" s="11">
        <f t="shared" ca="1" si="41"/>
        <v>0</v>
      </c>
    </row>
    <row r="431" spans="1:10" hidden="1" x14ac:dyDescent="0.35">
      <c r="A431" s="20">
        <f>INDEX(signals_2020_05!$A$2:$A$680, MATCH(B431, signals_2020_05!$B$2:$B$680, 0))</f>
        <v>4299</v>
      </c>
      <c r="B431" s="2" t="str">
        <f>signals_2020_05!B421</f>
        <v>Phase 2 temperature, Max</v>
      </c>
      <c r="C431" s="9" t="str">
        <f>INDEX(signals_2020_05!$C$2:$AJ$680, MATCH($B431, signals_2020_05!$B$2:$B$680, 0), MATCH(C$2, signals_2020_05!$C$1:$AJ$1, 0))</f>
        <v>NaT</v>
      </c>
      <c r="D431" s="14">
        <f t="shared" si="36"/>
        <v>0</v>
      </c>
      <c r="E431" s="11">
        <f t="shared" si="37"/>
        <v>0</v>
      </c>
      <c r="F431" s="11">
        <f t="shared" ca="1" si="38"/>
        <v>0</v>
      </c>
      <c r="G431" s="9" t="e">
        <f>INDEX(signals_2019_10!$C$2:$AJ$682, MATCH($B431, signals_2019_10!$B$2:$B$682, 0), MATCH(C$2, signals_2019_10!$C$1:$AJ$1, 0))</f>
        <v>#N/A</v>
      </c>
      <c r="H431" s="14">
        <f t="shared" si="39"/>
        <v>0</v>
      </c>
      <c r="I431" s="11">
        <f t="shared" si="40"/>
        <v>0</v>
      </c>
      <c r="J431" s="11">
        <f t="shared" ca="1" si="41"/>
        <v>0</v>
      </c>
    </row>
    <row r="432" spans="1:10" hidden="1" x14ac:dyDescent="0.35">
      <c r="A432" s="20">
        <f>INDEX(signals_2020_05!$A$2:$A$680, MATCH(B432, signals_2020_05!$B$2:$B$680, 0))</f>
        <v>4300</v>
      </c>
      <c r="B432" s="2" t="str">
        <f>signals_2020_05!B422</f>
        <v>Phase 2 temperature, Min</v>
      </c>
      <c r="C432" s="9" t="str">
        <f>INDEX(signals_2020_05!$C$2:$AJ$680, MATCH($B432, signals_2020_05!$B$2:$B$680, 0), MATCH(C$2, signals_2020_05!$C$1:$AJ$1, 0))</f>
        <v>NaT</v>
      </c>
      <c r="D432" s="14">
        <f t="shared" si="36"/>
        <v>0</v>
      </c>
      <c r="E432" s="11">
        <f t="shared" si="37"/>
        <v>0</v>
      </c>
      <c r="F432" s="11">
        <f t="shared" ca="1" si="38"/>
        <v>0</v>
      </c>
      <c r="G432" s="9" t="e">
        <f>INDEX(signals_2019_10!$C$2:$AJ$682, MATCH($B432, signals_2019_10!$B$2:$B$682, 0), MATCH(C$2, signals_2019_10!$C$1:$AJ$1, 0))</f>
        <v>#N/A</v>
      </c>
      <c r="H432" s="14">
        <f t="shared" si="39"/>
        <v>0</v>
      </c>
      <c r="I432" s="11">
        <f t="shared" si="40"/>
        <v>0</v>
      </c>
      <c r="J432" s="11">
        <f t="shared" ca="1" si="41"/>
        <v>0</v>
      </c>
    </row>
    <row r="433" spans="1:10" hidden="1" x14ac:dyDescent="0.35">
      <c r="A433" s="20">
        <f>INDEX(signals_2020_05!$A$2:$A$680, MATCH(B433, signals_2020_05!$B$2:$B$680, 0))</f>
        <v>4301</v>
      </c>
      <c r="B433" s="2" t="str">
        <f>signals_2020_05!B423</f>
        <v>Phase 2 temperature, StdDev</v>
      </c>
      <c r="C433" s="9" t="str">
        <f>INDEX(signals_2020_05!$C$2:$AJ$680, MATCH($B433, signals_2020_05!$B$2:$B$680, 0), MATCH(C$2, signals_2020_05!$C$1:$AJ$1, 0))</f>
        <v>NaT</v>
      </c>
      <c r="D433" s="14">
        <f t="shared" si="36"/>
        <v>0</v>
      </c>
      <c r="E433" s="11">
        <f t="shared" si="37"/>
        <v>0</v>
      </c>
      <c r="F433" s="11">
        <f t="shared" ca="1" si="38"/>
        <v>0</v>
      </c>
      <c r="G433" s="9" t="e">
        <f>INDEX(signals_2019_10!$C$2:$AJ$682, MATCH($B433, signals_2019_10!$B$2:$B$682, 0), MATCH(C$2, signals_2019_10!$C$1:$AJ$1, 0))</f>
        <v>#N/A</v>
      </c>
      <c r="H433" s="14">
        <f t="shared" si="39"/>
        <v>0</v>
      </c>
      <c r="I433" s="11">
        <f t="shared" si="40"/>
        <v>0</v>
      </c>
      <c r="J433" s="11">
        <f t="shared" ca="1" si="41"/>
        <v>0</v>
      </c>
    </row>
    <row r="434" spans="1:10" hidden="1" x14ac:dyDescent="0.35">
      <c r="A434" s="20">
        <f>INDEX(signals_2020_05!$A$2:$A$680, MATCH(B434, signals_2020_05!$B$2:$B$680, 0))</f>
        <v>128</v>
      </c>
      <c r="B434" s="2" t="str">
        <f>signals_2020_05!B424</f>
        <v>Phase 3 temperature</v>
      </c>
      <c r="C434" s="9" t="str">
        <f>INDEX(signals_2020_05!$C$2:$AJ$680, MATCH($B434, signals_2020_05!$B$2:$B$680, 0), MATCH(C$2, signals_2020_05!$C$1:$AJ$1, 0))</f>
        <v>NaT</v>
      </c>
      <c r="D434" s="14">
        <f t="shared" si="36"/>
        <v>0</v>
      </c>
      <c r="E434" s="11">
        <f t="shared" si="37"/>
        <v>0</v>
      </c>
      <c r="F434" s="11">
        <f t="shared" ca="1" si="38"/>
        <v>0</v>
      </c>
      <c r="G434" s="9" t="str">
        <f>INDEX(signals_2019_10!$C$2:$AJ$682, MATCH($B434, signals_2019_10!$B$2:$B$682, 0), MATCH(C$2, signals_2019_10!$C$1:$AJ$1, 0))</f>
        <v>NaT</v>
      </c>
      <c r="H434" s="14">
        <f t="shared" si="39"/>
        <v>0</v>
      </c>
      <c r="I434" s="11">
        <f t="shared" si="40"/>
        <v>0</v>
      </c>
      <c r="J434" s="11">
        <f t="shared" ca="1" si="41"/>
        <v>0</v>
      </c>
    </row>
    <row r="435" spans="1:10" hidden="1" x14ac:dyDescent="0.35">
      <c r="A435" s="20">
        <f>INDEX(signals_2020_05!$A$2:$A$680, MATCH(B435, signals_2020_05!$B$2:$B$680, 0))</f>
        <v>4302</v>
      </c>
      <c r="B435" s="2" t="str">
        <f>signals_2020_05!B425</f>
        <v>Phase 3 temperature, Max</v>
      </c>
      <c r="C435" s="9" t="str">
        <f>INDEX(signals_2020_05!$C$2:$AJ$680, MATCH($B435, signals_2020_05!$B$2:$B$680, 0), MATCH(C$2, signals_2020_05!$C$1:$AJ$1, 0))</f>
        <v>NaT</v>
      </c>
      <c r="D435" s="14">
        <f t="shared" si="36"/>
        <v>0</v>
      </c>
      <c r="E435" s="11">
        <f t="shared" si="37"/>
        <v>0</v>
      </c>
      <c r="F435" s="11">
        <f t="shared" ca="1" si="38"/>
        <v>0</v>
      </c>
      <c r="G435" s="9" t="e">
        <f>INDEX(signals_2019_10!$C$2:$AJ$682, MATCH($B435, signals_2019_10!$B$2:$B$682, 0), MATCH(C$2, signals_2019_10!$C$1:$AJ$1, 0))</f>
        <v>#N/A</v>
      </c>
      <c r="H435" s="14">
        <f t="shared" si="39"/>
        <v>0</v>
      </c>
      <c r="I435" s="11">
        <f t="shared" si="40"/>
        <v>0</v>
      </c>
      <c r="J435" s="11">
        <f t="shared" ca="1" si="41"/>
        <v>0</v>
      </c>
    </row>
    <row r="436" spans="1:10" hidden="1" x14ac:dyDescent="0.35">
      <c r="A436" s="20">
        <f>INDEX(signals_2020_05!$A$2:$A$680, MATCH(B436, signals_2020_05!$B$2:$B$680, 0))</f>
        <v>4303</v>
      </c>
      <c r="B436" s="2" t="str">
        <f>signals_2020_05!B426</f>
        <v>Phase 3 temperature, Min</v>
      </c>
      <c r="C436" s="9" t="str">
        <f>INDEX(signals_2020_05!$C$2:$AJ$680, MATCH($B436, signals_2020_05!$B$2:$B$680, 0), MATCH(C$2, signals_2020_05!$C$1:$AJ$1, 0))</f>
        <v>NaT</v>
      </c>
      <c r="D436" s="14">
        <f t="shared" si="36"/>
        <v>0</v>
      </c>
      <c r="E436" s="11">
        <f t="shared" si="37"/>
        <v>0</v>
      </c>
      <c r="F436" s="11">
        <f t="shared" ca="1" si="38"/>
        <v>0</v>
      </c>
      <c r="G436" s="9" t="e">
        <f>INDEX(signals_2019_10!$C$2:$AJ$682, MATCH($B436, signals_2019_10!$B$2:$B$682, 0), MATCH(C$2, signals_2019_10!$C$1:$AJ$1, 0))</f>
        <v>#N/A</v>
      </c>
      <c r="H436" s="14">
        <f t="shared" si="39"/>
        <v>0</v>
      </c>
      <c r="I436" s="11">
        <f t="shared" si="40"/>
        <v>0</v>
      </c>
      <c r="J436" s="11">
        <f t="shared" ca="1" si="41"/>
        <v>0</v>
      </c>
    </row>
    <row r="437" spans="1:10" hidden="1" x14ac:dyDescent="0.35">
      <c r="A437" s="20">
        <f>INDEX(signals_2020_05!$A$2:$A$680, MATCH(B437, signals_2020_05!$B$2:$B$680, 0))</f>
        <v>4304</v>
      </c>
      <c r="B437" s="2" t="str">
        <f>signals_2020_05!B427</f>
        <v>Phase 3 temperature, StdDev</v>
      </c>
      <c r="C437" s="9" t="str">
        <f>INDEX(signals_2020_05!$C$2:$AJ$680, MATCH($B437, signals_2020_05!$B$2:$B$680, 0), MATCH(C$2, signals_2020_05!$C$1:$AJ$1, 0))</f>
        <v>NaT</v>
      </c>
      <c r="D437" s="14">
        <f t="shared" si="36"/>
        <v>0</v>
      </c>
      <c r="E437" s="11">
        <f t="shared" si="37"/>
        <v>0</v>
      </c>
      <c r="F437" s="11">
        <f t="shared" ca="1" si="38"/>
        <v>0</v>
      </c>
      <c r="G437" s="9" t="e">
        <f>INDEX(signals_2019_10!$C$2:$AJ$682, MATCH($B437, signals_2019_10!$B$2:$B$682, 0), MATCH(C$2, signals_2019_10!$C$1:$AJ$1, 0))</f>
        <v>#N/A</v>
      </c>
      <c r="H437" s="14">
        <f t="shared" si="39"/>
        <v>0</v>
      </c>
      <c r="I437" s="11">
        <f t="shared" si="40"/>
        <v>0</v>
      </c>
      <c r="J437" s="11">
        <f t="shared" ca="1" si="41"/>
        <v>0</v>
      </c>
    </row>
    <row r="438" spans="1:10" hidden="1" x14ac:dyDescent="0.35">
      <c r="A438" s="20">
        <f>INDEX(signals_2020_05!$A$2:$A$680, MATCH(B438, signals_2020_05!$B$2:$B$680, 0))</f>
        <v>452</v>
      </c>
      <c r="B438" s="2" t="str">
        <f>signals_2020_05!B428</f>
        <v>Pitch 1 output temp</v>
      </c>
      <c r="C438" s="9" t="str">
        <f>INDEX(signals_2020_05!$C$2:$AJ$680, MATCH($B438, signals_2020_05!$B$2:$B$680, 0), MATCH(C$2, signals_2020_05!$C$1:$AJ$1, 0))</f>
        <v>NaT</v>
      </c>
      <c r="D438" s="14">
        <f t="shared" si="36"/>
        <v>0</v>
      </c>
      <c r="E438" s="11">
        <f t="shared" si="37"/>
        <v>0</v>
      </c>
      <c r="F438" s="11">
        <f t="shared" ca="1" si="38"/>
        <v>0</v>
      </c>
      <c r="G438" s="9" t="str">
        <f>INDEX(signals_2019_10!$C$2:$AJ$682, MATCH($B438, signals_2019_10!$B$2:$B$682, 0), MATCH(C$2, signals_2019_10!$C$1:$AJ$1, 0))</f>
        <v>NaT</v>
      </c>
      <c r="H438" s="14">
        <f t="shared" si="39"/>
        <v>0</v>
      </c>
      <c r="I438" s="11">
        <f t="shared" si="40"/>
        <v>0</v>
      </c>
      <c r="J438" s="11">
        <f t="shared" ca="1" si="41"/>
        <v>0</v>
      </c>
    </row>
    <row r="439" spans="1:10" hidden="1" x14ac:dyDescent="0.35">
      <c r="A439" s="20">
        <f>INDEX(signals_2020_05!$A$2:$A$680, MATCH(B439, signals_2020_05!$B$2:$B$680, 0))</f>
        <v>4272</v>
      </c>
      <c r="B439" s="2" t="str">
        <f>signals_2020_05!B429</f>
        <v>Pitch 1 output temp, Max</v>
      </c>
      <c r="C439" s="9" t="str">
        <f>INDEX(signals_2020_05!$C$2:$AJ$680, MATCH($B439, signals_2020_05!$B$2:$B$680, 0), MATCH(C$2, signals_2020_05!$C$1:$AJ$1, 0))</f>
        <v>NaT</v>
      </c>
      <c r="D439" s="14">
        <f t="shared" si="36"/>
        <v>0</v>
      </c>
      <c r="E439" s="11">
        <f t="shared" si="37"/>
        <v>0</v>
      </c>
      <c r="F439" s="11">
        <f t="shared" ca="1" si="38"/>
        <v>0</v>
      </c>
      <c r="G439" s="9" t="e">
        <f>INDEX(signals_2019_10!$C$2:$AJ$682, MATCH($B439, signals_2019_10!$B$2:$B$682, 0), MATCH(C$2, signals_2019_10!$C$1:$AJ$1, 0))</f>
        <v>#N/A</v>
      </c>
      <c r="H439" s="14">
        <f t="shared" si="39"/>
        <v>0</v>
      </c>
      <c r="I439" s="11">
        <f t="shared" si="40"/>
        <v>0</v>
      </c>
      <c r="J439" s="11">
        <f t="shared" ca="1" si="41"/>
        <v>0</v>
      </c>
    </row>
    <row r="440" spans="1:10" hidden="1" x14ac:dyDescent="0.35">
      <c r="A440" s="20">
        <f>INDEX(signals_2020_05!$A$2:$A$680, MATCH(B440, signals_2020_05!$B$2:$B$680, 0))</f>
        <v>4273</v>
      </c>
      <c r="B440" s="2" t="str">
        <f>signals_2020_05!B430</f>
        <v>Pitch 1 output temp, Min</v>
      </c>
      <c r="C440" s="9" t="str">
        <f>INDEX(signals_2020_05!$C$2:$AJ$680, MATCH($B440, signals_2020_05!$B$2:$B$680, 0), MATCH(C$2, signals_2020_05!$C$1:$AJ$1, 0))</f>
        <v>NaT</v>
      </c>
      <c r="D440" s="14">
        <f t="shared" si="36"/>
        <v>0</v>
      </c>
      <c r="E440" s="11">
        <f t="shared" si="37"/>
        <v>0</v>
      </c>
      <c r="F440" s="11">
        <f t="shared" ca="1" si="38"/>
        <v>0</v>
      </c>
      <c r="G440" s="9" t="e">
        <f>INDEX(signals_2019_10!$C$2:$AJ$682, MATCH($B440, signals_2019_10!$B$2:$B$682, 0), MATCH(C$2, signals_2019_10!$C$1:$AJ$1, 0))</f>
        <v>#N/A</v>
      </c>
      <c r="H440" s="14">
        <f t="shared" si="39"/>
        <v>0</v>
      </c>
      <c r="I440" s="11">
        <f t="shared" si="40"/>
        <v>0</v>
      </c>
      <c r="J440" s="11">
        <f t="shared" ca="1" si="41"/>
        <v>0</v>
      </c>
    </row>
    <row r="441" spans="1:10" hidden="1" x14ac:dyDescent="0.35">
      <c r="A441" s="20">
        <f>INDEX(signals_2020_05!$A$2:$A$680, MATCH(B441, signals_2020_05!$B$2:$B$680, 0))</f>
        <v>4274</v>
      </c>
      <c r="B441" s="2" t="str">
        <f>signals_2020_05!B431</f>
        <v>Pitch 1 output temp, StdDev</v>
      </c>
      <c r="C441" s="9" t="str">
        <f>INDEX(signals_2020_05!$C$2:$AJ$680, MATCH($B441, signals_2020_05!$B$2:$B$680, 0), MATCH(C$2, signals_2020_05!$C$1:$AJ$1, 0))</f>
        <v>NaT</v>
      </c>
      <c r="D441" s="14">
        <f t="shared" si="36"/>
        <v>0</v>
      </c>
      <c r="E441" s="11">
        <f t="shared" si="37"/>
        <v>0</v>
      </c>
      <c r="F441" s="11">
        <f t="shared" ca="1" si="38"/>
        <v>0</v>
      </c>
      <c r="G441" s="9" t="e">
        <f>INDEX(signals_2019_10!$C$2:$AJ$682, MATCH($B441, signals_2019_10!$B$2:$B$682, 0), MATCH(C$2, signals_2019_10!$C$1:$AJ$1, 0))</f>
        <v>#N/A</v>
      </c>
      <c r="H441" s="14">
        <f t="shared" si="39"/>
        <v>0</v>
      </c>
      <c r="I441" s="11">
        <f t="shared" si="40"/>
        <v>0</v>
      </c>
      <c r="J441" s="11">
        <f t="shared" ca="1" si="41"/>
        <v>0</v>
      </c>
    </row>
    <row r="442" spans="1:10" hidden="1" x14ac:dyDescent="0.35">
      <c r="A442" s="20">
        <f>INDEX(signals_2020_05!$A$2:$A$680, MATCH(B442, signals_2020_05!$B$2:$B$680, 0))</f>
        <v>453</v>
      </c>
      <c r="B442" s="2" t="str">
        <f>signals_2020_05!B432</f>
        <v>Pitch 2 output temp</v>
      </c>
      <c r="C442" s="9" t="str">
        <f>INDEX(signals_2020_05!$C$2:$AJ$680, MATCH($B442, signals_2020_05!$B$2:$B$680, 0), MATCH(C$2, signals_2020_05!$C$1:$AJ$1, 0))</f>
        <v>NaT</v>
      </c>
      <c r="D442" s="14">
        <f t="shared" si="36"/>
        <v>0</v>
      </c>
      <c r="E442" s="11">
        <f t="shared" si="37"/>
        <v>0</v>
      </c>
      <c r="F442" s="11">
        <f t="shared" ca="1" si="38"/>
        <v>0</v>
      </c>
      <c r="G442" s="9" t="str">
        <f>INDEX(signals_2019_10!$C$2:$AJ$682, MATCH($B442, signals_2019_10!$B$2:$B$682, 0), MATCH(C$2, signals_2019_10!$C$1:$AJ$1, 0))</f>
        <v>NaT</v>
      </c>
      <c r="H442" s="14">
        <f t="shared" si="39"/>
        <v>0</v>
      </c>
      <c r="I442" s="11">
        <f t="shared" si="40"/>
        <v>0</v>
      </c>
      <c r="J442" s="11">
        <f t="shared" ca="1" si="41"/>
        <v>0</v>
      </c>
    </row>
    <row r="443" spans="1:10" hidden="1" x14ac:dyDescent="0.35">
      <c r="A443" s="20">
        <f>INDEX(signals_2020_05!$A$2:$A$680, MATCH(B443, signals_2020_05!$B$2:$B$680, 0))</f>
        <v>4275</v>
      </c>
      <c r="B443" s="2" t="str">
        <f>signals_2020_05!B433</f>
        <v>Pitch 2 output temp, Max</v>
      </c>
      <c r="C443" s="9" t="str">
        <f>INDEX(signals_2020_05!$C$2:$AJ$680, MATCH($B443, signals_2020_05!$B$2:$B$680, 0), MATCH(C$2, signals_2020_05!$C$1:$AJ$1, 0))</f>
        <v>NaT</v>
      </c>
      <c r="D443" s="14">
        <f t="shared" si="36"/>
        <v>0</v>
      </c>
      <c r="E443" s="11">
        <f t="shared" si="37"/>
        <v>0</v>
      </c>
      <c r="F443" s="11">
        <f t="shared" ca="1" si="38"/>
        <v>0</v>
      </c>
      <c r="G443" s="9" t="e">
        <f>INDEX(signals_2019_10!$C$2:$AJ$682, MATCH($B443, signals_2019_10!$B$2:$B$682, 0), MATCH(C$2, signals_2019_10!$C$1:$AJ$1, 0))</f>
        <v>#N/A</v>
      </c>
      <c r="H443" s="14">
        <f t="shared" si="39"/>
        <v>0</v>
      </c>
      <c r="I443" s="11">
        <f t="shared" si="40"/>
        <v>0</v>
      </c>
      <c r="J443" s="11">
        <f t="shared" ca="1" si="41"/>
        <v>0</v>
      </c>
    </row>
    <row r="444" spans="1:10" hidden="1" x14ac:dyDescent="0.35">
      <c r="A444" s="20">
        <f>INDEX(signals_2020_05!$A$2:$A$680, MATCH(B444, signals_2020_05!$B$2:$B$680, 0))</f>
        <v>4276</v>
      </c>
      <c r="B444" s="2" t="str">
        <f>signals_2020_05!B434</f>
        <v>Pitch 2 output temp, Min</v>
      </c>
      <c r="C444" s="9" t="str">
        <f>INDEX(signals_2020_05!$C$2:$AJ$680, MATCH($B444, signals_2020_05!$B$2:$B$680, 0), MATCH(C$2, signals_2020_05!$C$1:$AJ$1, 0))</f>
        <v>NaT</v>
      </c>
      <c r="D444" s="14">
        <f t="shared" si="36"/>
        <v>0</v>
      </c>
      <c r="E444" s="11">
        <f t="shared" si="37"/>
        <v>0</v>
      </c>
      <c r="F444" s="11">
        <f t="shared" ca="1" si="38"/>
        <v>0</v>
      </c>
      <c r="G444" s="9" t="e">
        <f>INDEX(signals_2019_10!$C$2:$AJ$682, MATCH($B444, signals_2019_10!$B$2:$B$682, 0), MATCH(C$2, signals_2019_10!$C$1:$AJ$1, 0))</f>
        <v>#N/A</v>
      </c>
      <c r="H444" s="14">
        <f t="shared" si="39"/>
        <v>0</v>
      </c>
      <c r="I444" s="11">
        <f t="shared" si="40"/>
        <v>0</v>
      </c>
      <c r="J444" s="11">
        <f t="shared" ca="1" si="41"/>
        <v>0</v>
      </c>
    </row>
    <row r="445" spans="1:10" hidden="1" x14ac:dyDescent="0.35">
      <c r="A445" s="20">
        <f>INDEX(signals_2020_05!$A$2:$A$680, MATCH(B445, signals_2020_05!$B$2:$B$680, 0))</f>
        <v>4277</v>
      </c>
      <c r="B445" s="2" t="str">
        <f>signals_2020_05!B435</f>
        <v>Pitch 2 output temp, StdDev</v>
      </c>
      <c r="C445" s="9" t="str">
        <f>INDEX(signals_2020_05!$C$2:$AJ$680, MATCH($B445, signals_2020_05!$B$2:$B$680, 0), MATCH(C$2, signals_2020_05!$C$1:$AJ$1, 0))</f>
        <v>NaT</v>
      </c>
      <c r="D445" s="14">
        <f t="shared" si="36"/>
        <v>0</v>
      </c>
      <c r="E445" s="11">
        <f t="shared" si="37"/>
        <v>0</v>
      </c>
      <c r="F445" s="11">
        <f t="shared" ca="1" si="38"/>
        <v>0</v>
      </c>
      <c r="G445" s="9" t="e">
        <f>INDEX(signals_2019_10!$C$2:$AJ$682, MATCH($B445, signals_2019_10!$B$2:$B$682, 0), MATCH(C$2, signals_2019_10!$C$1:$AJ$1, 0))</f>
        <v>#N/A</v>
      </c>
      <c r="H445" s="14">
        <f t="shared" si="39"/>
        <v>0</v>
      </c>
      <c r="I445" s="11">
        <f t="shared" si="40"/>
        <v>0</v>
      </c>
      <c r="J445" s="11">
        <f t="shared" ca="1" si="41"/>
        <v>0</v>
      </c>
    </row>
    <row r="446" spans="1:10" hidden="1" x14ac:dyDescent="0.35">
      <c r="A446" s="20">
        <f>INDEX(signals_2020_05!$A$2:$A$680, MATCH(B446, signals_2020_05!$B$2:$B$680, 0))</f>
        <v>454</v>
      </c>
      <c r="B446" s="2" t="str">
        <f>signals_2020_05!B436</f>
        <v>Pitch 3 output temp</v>
      </c>
      <c r="C446" s="9" t="str">
        <f>INDEX(signals_2020_05!$C$2:$AJ$680, MATCH($B446, signals_2020_05!$B$2:$B$680, 0), MATCH(C$2, signals_2020_05!$C$1:$AJ$1, 0))</f>
        <v>NaT</v>
      </c>
      <c r="D446" s="14">
        <f t="shared" si="36"/>
        <v>0</v>
      </c>
      <c r="E446" s="11">
        <f t="shared" si="37"/>
        <v>0</v>
      </c>
      <c r="F446" s="11">
        <f t="shared" ca="1" si="38"/>
        <v>0</v>
      </c>
      <c r="G446" s="9" t="str">
        <f>INDEX(signals_2019_10!$C$2:$AJ$682, MATCH($B446, signals_2019_10!$B$2:$B$682, 0), MATCH(C$2, signals_2019_10!$C$1:$AJ$1, 0))</f>
        <v>NaT</v>
      </c>
      <c r="H446" s="14">
        <f t="shared" si="39"/>
        <v>0</v>
      </c>
      <c r="I446" s="11">
        <f t="shared" si="40"/>
        <v>0</v>
      </c>
      <c r="J446" s="11">
        <f t="shared" ca="1" si="41"/>
        <v>0</v>
      </c>
    </row>
    <row r="447" spans="1:10" hidden="1" x14ac:dyDescent="0.35">
      <c r="A447" s="20">
        <f>INDEX(signals_2020_05!$A$2:$A$680, MATCH(B447, signals_2020_05!$B$2:$B$680, 0))</f>
        <v>4278</v>
      </c>
      <c r="B447" s="2" t="str">
        <f>signals_2020_05!B437</f>
        <v>Pitch 3 output temp, Max</v>
      </c>
      <c r="C447" s="9" t="str">
        <f>INDEX(signals_2020_05!$C$2:$AJ$680, MATCH($B447, signals_2020_05!$B$2:$B$680, 0), MATCH(C$2, signals_2020_05!$C$1:$AJ$1, 0))</f>
        <v>NaT</v>
      </c>
      <c r="D447" s="14">
        <f t="shared" si="36"/>
        <v>0</v>
      </c>
      <c r="E447" s="11">
        <f t="shared" si="37"/>
        <v>0</v>
      </c>
      <c r="F447" s="11">
        <f t="shared" ca="1" si="38"/>
        <v>0</v>
      </c>
      <c r="G447" s="9" t="e">
        <f>INDEX(signals_2019_10!$C$2:$AJ$682, MATCH($B447, signals_2019_10!$B$2:$B$682, 0), MATCH(C$2, signals_2019_10!$C$1:$AJ$1, 0))</f>
        <v>#N/A</v>
      </c>
      <c r="H447" s="14">
        <f t="shared" si="39"/>
        <v>0</v>
      </c>
      <c r="I447" s="11">
        <f t="shared" si="40"/>
        <v>0</v>
      </c>
      <c r="J447" s="11">
        <f t="shared" ca="1" si="41"/>
        <v>0</v>
      </c>
    </row>
    <row r="448" spans="1:10" hidden="1" x14ac:dyDescent="0.35">
      <c r="A448" s="20">
        <f>INDEX(signals_2020_05!$A$2:$A$680, MATCH(B448, signals_2020_05!$B$2:$B$680, 0))</f>
        <v>4279</v>
      </c>
      <c r="B448" s="2" t="str">
        <f>signals_2020_05!B438</f>
        <v>Pitch 3 output temp, Min</v>
      </c>
      <c r="C448" s="9" t="str">
        <f>INDEX(signals_2020_05!$C$2:$AJ$680, MATCH($B448, signals_2020_05!$B$2:$B$680, 0), MATCH(C$2, signals_2020_05!$C$1:$AJ$1, 0))</f>
        <v>NaT</v>
      </c>
      <c r="D448" s="14">
        <f t="shared" si="36"/>
        <v>0</v>
      </c>
      <c r="E448" s="11">
        <f t="shared" si="37"/>
        <v>0</v>
      </c>
      <c r="F448" s="11">
        <f t="shared" ca="1" si="38"/>
        <v>0</v>
      </c>
      <c r="G448" s="9" t="e">
        <f>INDEX(signals_2019_10!$C$2:$AJ$682, MATCH($B448, signals_2019_10!$B$2:$B$682, 0), MATCH(C$2, signals_2019_10!$C$1:$AJ$1, 0))</f>
        <v>#N/A</v>
      </c>
      <c r="H448" s="14">
        <f t="shared" si="39"/>
        <v>0</v>
      </c>
      <c r="I448" s="11">
        <f t="shared" si="40"/>
        <v>0</v>
      </c>
      <c r="J448" s="11">
        <f t="shared" ca="1" si="41"/>
        <v>0</v>
      </c>
    </row>
    <row r="449" spans="1:10" hidden="1" x14ac:dyDescent="0.35">
      <c r="A449" s="20">
        <f>INDEX(signals_2020_05!$A$2:$A$680, MATCH(B449, signals_2020_05!$B$2:$B$680, 0))</f>
        <v>4280</v>
      </c>
      <c r="B449" s="2" t="str">
        <f>signals_2020_05!B439</f>
        <v>Pitch 3 output temp, StdDev</v>
      </c>
      <c r="C449" s="9" t="str">
        <f>INDEX(signals_2020_05!$C$2:$AJ$680, MATCH($B449, signals_2020_05!$B$2:$B$680, 0), MATCH(C$2, signals_2020_05!$C$1:$AJ$1, 0))</f>
        <v>NaT</v>
      </c>
      <c r="D449" s="14">
        <f t="shared" si="36"/>
        <v>0</v>
      </c>
      <c r="E449" s="11">
        <f t="shared" si="37"/>
        <v>0</v>
      </c>
      <c r="F449" s="11">
        <f t="shared" ca="1" si="38"/>
        <v>0</v>
      </c>
      <c r="G449" s="9" t="e">
        <f>INDEX(signals_2019_10!$C$2:$AJ$682, MATCH($B449, signals_2019_10!$B$2:$B$682, 0), MATCH(C$2, signals_2019_10!$C$1:$AJ$1, 0))</f>
        <v>#N/A</v>
      </c>
      <c r="H449" s="14">
        <f t="shared" si="39"/>
        <v>0</v>
      </c>
      <c r="I449" s="11">
        <f t="shared" si="40"/>
        <v>0</v>
      </c>
      <c r="J449" s="11">
        <f t="shared" ca="1" si="41"/>
        <v>0</v>
      </c>
    </row>
    <row r="450" spans="1:10" hidden="1" x14ac:dyDescent="0.35">
      <c r="A450" s="20">
        <f>INDEX(signals_2020_05!$A$2:$A$680, MATCH(B450, signals_2020_05!$B$2:$B$680, 0))</f>
        <v>3779</v>
      </c>
      <c r="B450" s="2" t="str">
        <f>signals_2020_05!B440</f>
        <v>Pitch angle reference</v>
      </c>
      <c r="C450" s="9" t="str">
        <f>INDEX(signals_2020_05!$C$2:$AJ$680, MATCH($B450, signals_2020_05!$B$2:$B$680, 0), MATCH(C$2, signals_2020_05!$C$1:$AJ$1, 0))</f>
        <v>NaT</v>
      </c>
      <c r="D450" s="14">
        <f t="shared" si="36"/>
        <v>0</v>
      </c>
      <c r="E450" s="11">
        <f t="shared" si="37"/>
        <v>0</v>
      </c>
      <c r="F450" s="11">
        <f t="shared" ca="1" si="38"/>
        <v>0</v>
      </c>
      <c r="G450" s="9" t="str">
        <f>INDEX(signals_2019_10!$C$2:$AJ$682, MATCH($B450, signals_2019_10!$B$2:$B$682, 0), MATCH(C$2, signals_2019_10!$C$1:$AJ$1, 0))</f>
        <v>NaT</v>
      </c>
      <c r="H450" s="14">
        <f t="shared" si="39"/>
        <v>0</v>
      </c>
      <c r="I450" s="11">
        <f t="shared" si="40"/>
        <v>0</v>
      </c>
      <c r="J450" s="11">
        <f t="shared" ca="1" si="41"/>
        <v>0</v>
      </c>
    </row>
    <row r="451" spans="1:10" hidden="1" x14ac:dyDescent="0.35">
      <c r="A451" s="20">
        <f>INDEX(signals_2020_05!$A$2:$A$680, MATCH(B451, signals_2020_05!$B$2:$B$680, 0))</f>
        <v>3781</v>
      </c>
      <c r="B451" s="2" t="str">
        <f>signals_2020_05!B441</f>
        <v>Pitch angle reference, Max</v>
      </c>
      <c r="C451" s="9" t="str">
        <f>INDEX(signals_2020_05!$C$2:$AJ$680, MATCH($B451, signals_2020_05!$B$2:$B$680, 0), MATCH(C$2, signals_2020_05!$C$1:$AJ$1, 0))</f>
        <v>NaT</v>
      </c>
      <c r="D451" s="14">
        <f t="shared" si="36"/>
        <v>0</v>
      </c>
      <c r="E451" s="11">
        <f t="shared" si="37"/>
        <v>0</v>
      </c>
      <c r="F451" s="11">
        <f t="shared" ca="1" si="38"/>
        <v>0</v>
      </c>
      <c r="G451" s="9" t="str">
        <f>INDEX(signals_2019_10!$C$2:$AJ$682, MATCH($B451, signals_2019_10!$B$2:$B$682, 0), MATCH(C$2, signals_2019_10!$C$1:$AJ$1, 0))</f>
        <v>NaT</v>
      </c>
      <c r="H451" s="14">
        <f t="shared" si="39"/>
        <v>0</v>
      </c>
      <c r="I451" s="11">
        <f t="shared" si="40"/>
        <v>0</v>
      </c>
      <c r="J451" s="11">
        <f t="shared" ca="1" si="41"/>
        <v>0</v>
      </c>
    </row>
    <row r="452" spans="1:10" hidden="1" x14ac:dyDescent="0.35">
      <c r="A452" s="20">
        <f>INDEX(signals_2020_05!$A$2:$A$680, MATCH(B452, signals_2020_05!$B$2:$B$680, 0))</f>
        <v>3780</v>
      </c>
      <c r="B452" s="2" t="str">
        <f>signals_2020_05!B442</f>
        <v>Pitch angle reference, Min</v>
      </c>
      <c r="C452" s="9" t="str">
        <f>INDEX(signals_2020_05!$C$2:$AJ$680, MATCH($B452, signals_2020_05!$B$2:$B$680, 0), MATCH(C$2, signals_2020_05!$C$1:$AJ$1, 0))</f>
        <v>NaT</v>
      </c>
      <c r="D452" s="14">
        <f t="shared" si="36"/>
        <v>0</v>
      </c>
      <c r="E452" s="11">
        <f t="shared" si="37"/>
        <v>0</v>
      </c>
      <c r="F452" s="11">
        <f t="shared" ca="1" si="38"/>
        <v>0</v>
      </c>
      <c r="G452" s="9" t="str">
        <f>INDEX(signals_2019_10!$C$2:$AJ$682, MATCH($B452, signals_2019_10!$B$2:$B$682, 0), MATCH(C$2, signals_2019_10!$C$1:$AJ$1, 0))</f>
        <v>NaT</v>
      </c>
      <c r="H452" s="14">
        <f t="shared" si="39"/>
        <v>0</v>
      </c>
      <c r="I452" s="11">
        <f t="shared" si="40"/>
        <v>0</v>
      </c>
      <c r="J452" s="11">
        <f t="shared" ca="1" si="41"/>
        <v>0</v>
      </c>
    </row>
    <row r="453" spans="1:10" hidden="1" x14ac:dyDescent="0.35">
      <c r="A453" s="20">
        <f>INDEX(signals_2020_05!$A$2:$A$680, MATCH(B453, signals_2020_05!$B$2:$B$680, 0))</f>
        <v>3782</v>
      </c>
      <c r="B453" s="2" t="str">
        <f>signals_2020_05!B443</f>
        <v>Pitch angle reference, StdDev</v>
      </c>
      <c r="C453" s="9" t="str">
        <f>INDEX(signals_2020_05!$C$2:$AJ$680, MATCH($B453, signals_2020_05!$B$2:$B$680, 0), MATCH(C$2, signals_2020_05!$C$1:$AJ$1, 0))</f>
        <v>NaT</v>
      </c>
      <c r="D453" s="14">
        <f t="shared" si="36"/>
        <v>0</v>
      </c>
      <c r="E453" s="11">
        <f t="shared" si="37"/>
        <v>0</v>
      </c>
      <c r="F453" s="11">
        <f t="shared" ca="1" si="38"/>
        <v>0</v>
      </c>
      <c r="G453" s="9" t="e">
        <f>INDEX(signals_2019_10!$C$2:$AJ$682, MATCH($B453, signals_2019_10!$B$2:$B$682, 0), MATCH(C$2, signals_2019_10!$C$1:$AJ$1, 0))</f>
        <v>#N/A</v>
      </c>
      <c r="H453" s="14">
        <f t="shared" si="39"/>
        <v>0</v>
      </c>
      <c r="I453" s="11">
        <f t="shared" si="40"/>
        <v>0</v>
      </c>
      <c r="J453" s="11">
        <f t="shared" ca="1" si="41"/>
        <v>0</v>
      </c>
    </row>
    <row r="454" spans="1:10" hidden="1" x14ac:dyDescent="0.35">
      <c r="A454" s="20">
        <f>INDEX(signals_2020_05!$A$2:$A$680, MATCH(B454, signals_2020_05!$B$2:$B$680, 0))</f>
        <v>4098</v>
      </c>
      <c r="B454" s="2" t="str">
        <f>signals_2020_05!B444</f>
        <v>Pitch angle set point, Max</v>
      </c>
      <c r="C454" s="9" t="str">
        <f>INDEX(signals_2020_05!$C$2:$AJ$680, MATCH($B454, signals_2020_05!$B$2:$B$680, 0), MATCH(C$2, signals_2020_05!$C$1:$AJ$1, 0))</f>
        <v>NaT</v>
      </c>
      <c r="D454" s="14">
        <f t="shared" si="36"/>
        <v>0</v>
      </c>
      <c r="E454" s="11">
        <f t="shared" si="37"/>
        <v>0</v>
      </c>
      <c r="F454" s="11">
        <f t="shared" ca="1" si="38"/>
        <v>0</v>
      </c>
      <c r="G454" s="9" t="e">
        <f>INDEX(signals_2019_10!$C$2:$AJ$682, MATCH($B454, signals_2019_10!$B$2:$B$682, 0), MATCH(C$2, signals_2019_10!$C$1:$AJ$1, 0))</f>
        <v>#N/A</v>
      </c>
      <c r="H454" s="14">
        <f t="shared" si="39"/>
        <v>0</v>
      </c>
      <c r="I454" s="11">
        <f t="shared" si="40"/>
        <v>0</v>
      </c>
      <c r="J454" s="11">
        <f t="shared" ca="1" si="41"/>
        <v>0</v>
      </c>
    </row>
    <row r="455" spans="1:10" hidden="1" x14ac:dyDescent="0.35">
      <c r="A455" s="20">
        <f>INDEX(signals_2020_05!$A$2:$A$680, MATCH(B455, signals_2020_05!$B$2:$B$680, 0))</f>
        <v>4097</v>
      </c>
      <c r="B455" s="2" t="str">
        <f>signals_2020_05!B445</f>
        <v>Pitch angle set point, Min</v>
      </c>
      <c r="C455" s="9" t="str">
        <f>INDEX(signals_2020_05!$C$2:$AJ$680, MATCH($B455, signals_2020_05!$B$2:$B$680, 0), MATCH(C$2, signals_2020_05!$C$1:$AJ$1, 0))</f>
        <v>NaT</v>
      </c>
      <c r="D455" s="14">
        <f t="shared" si="36"/>
        <v>0</v>
      </c>
      <c r="E455" s="11">
        <f t="shared" si="37"/>
        <v>0</v>
      </c>
      <c r="F455" s="11">
        <f t="shared" ca="1" si="38"/>
        <v>0</v>
      </c>
      <c r="G455" s="9" t="e">
        <f>INDEX(signals_2019_10!$C$2:$AJ$682, MATCH($B455, signals_2019_10!$B$2:$B$682, 0), MATCH(C$2, signals_2019_10!$C$1:$AJ$1, 0))</f>
        <v>#N/A</v>
      </c>
      <c r="H455" s="14">
        <f t="shared" si="39"/>
        <v>0</v>
      </c>
      <c r="I455" s="11">
        <f t="shared" si="40"/>
        <v>0</v>
      </c>
      <c r="J455" s="11">
        <f t="shared" ca="1" si="41"/>
        <v>0</v>
      </c>
    </row>
    <row r="456" spans="1:10" hidden="1" x14ac:dyDescent="0.35">
      <c r="A456" s="20">
        <f>INDEX(signals_2020_05!$A$2:$A$680, MATCH(B456, signals_2020_05!$B$2:$B$680, 0))</f>
        <v>4099</v>
      </c>
      <c r="B456" s="2" t="str">
        <f>signals_2020_05!B446</f>
        <v>Pitch angle set point, StdDev</v>
      </c>
      <c r="C456" s="9" t="str">
        <f>INDEX(signals_2020_05!$C$2:$AJ$680, MATCH($B456, signals_2020_05!$B$2:$B$680, 0), MATCH(C$2, signals_2020_05!$C$1:$AJ$1, 0))</f>
        <v>NaT</v>
      </c>
      <c r="D456" s="14">
        <f t="shared" si="36"/>
        <v>0</v>
      </c>
      <c r="E456" s="11">
        <f t="shared" si="37"/>
        <v>0</v>
      </c>
      <c r="F456" s="11">
        <f t="shared" ca="1" si="38"/>
        <v>0</v>
      </c>
      <c r="G456" s="9" t="e">
        <f>INDEX(signals_2019_10!$C$2:$AJ$682, MATCH($B456, signals_2019_10!$B$2:$B$682, 0), MATCH(C$2, signals_2019_10!$C$1:$AJ$1, 0))</f>
        <v>#N/A</v>
      </c>
      <c r="H456" s="14">
        <f t="shared" si="39"/>
        <v>0</v>
      </c>
      <c r="I456" s="11">
        <f t="shared" si="40"/>
        <v>0</v>
      </c>
      <c r="J456" s="11">
        <f t="shared" ca="1" si="41"/>
        <v>0</v>
      </c>
    </row>
    <row r="457" spans="1:10" hidden="1" x14ac:dyDescent="0.35">
      <c r="A457" s="20">
        <f>INDEX(signals_2020_05!$A$2:$A$680, MATCH(B457, signals_2020_05!$B$2:$B$680, 0))</f>
        <v>810</v>
      </c>
      <c r="B457" s="2" t="str">
        <f>signals_2020_05!B447</f>
        <v>Pitch angle setpoint</v>
      </c>
      <c r="C457" s="9" t="str">
        <f>INDEX(signals_2020_05!$C$2:$AJ$680, MATCH($B457, signals_2020_05!$B$2:$B$680, 0), MATCH(C$2, signals_2020_05!$C$1:$AJ$1, 0))</f>
        <v>NaT</v>
      </c>
      <c r="D457" s="14">
        <f t="shared" si="36"/>
        <v>0</v>
      </c>
      <c r="E457" s="11">
        <f t="shared" si="37"/>
        <v>0</v>
      </c>
      <c r="F457" s="11">
        <f t="shared" ca="1" si="38"/>
        <v>0</v>
      </c>
      <c r="G457" s="9" t="str">
        <f>INDEX(signals_2019_10!$C$2:$AJ$682, MATCH($B457, signals_2019_10!$B$2:$B$682, 0), MATCH(C$2, signals_2019_10!$C$1:$AJ$1, 0))</f>
        <v>NaT</v>
      </c>
      <c r="H457" s="14">
        <f t="shared" si="39"/>
        <v>0</v>
      </c>
      <c r="I457" s="11">
        <f t="shared" si="40"/>
        <v>0</v>
      </c>
      <c r="J457" s="11">
        <f t="shared" ca="1" si="41"/>
        <v>0</v>
      </c>
    </row>
    <row r="458" spans="1:10" x14ac:dyDescent="0.35">
      <c r="A458" s="20">
        <f>INDEX(signals_2020_05!$A$2:$A$680, MATCH(B458, signals_2020_05!$B$2:$B$680, 0))</f>
        <v>5</v>
      </c>
      <c r="B458" s="2" t="str">
        <f>signals_2020_05!B448</f>
        <v>Power</v>
      </c>
      <c r="C458" s="9">
        <f>INDEX(signals_2020_05!$C$2:$AJ$680, MATCH($B458, signals_2020_05!$B$2:$B$680, 0), MATCH(C$2, signals_2020_05!$C$1:$AJ$1, 0))</f>
        <v>43054.631944444445</v>
      </c>
      <c r="D458" s="14">
        <f t="shared" si="36"/>
        <v>1</v>
      </c>
      <c r="E458" s="11">
        <f t="shared" si="37"/>
        <v>1</v>
      </c>
      <c r="F458" s="11">
        <f t="shared" ca="1" si="38"/>
        <v>2.7</v>
      </c>
      <c r="G458" s="9">
        <f>INDEX(signals_2019_10!$C$2:$AJ$682, MATCH($B458, signals_2019_10!$B$2:$B$682, 0), MATCH(C$2, signals_2019_10!$C$1:$AJ$1, 0))</f>
        <v>43054.631944444445</v>
      </c>
      <c r="H458" s="14">
        <f t="shared" si="39"/>
        <v>1</v>
      </c>
      <c r="I458" s="11">
        <f t="shared" si="40"/>
        <v>1</v>
      </c>
      <c r="J458" s="11">
        <f t="shared" ca="1" si="41"/>
        <v>2.7</v>
      </c>
    </row>
    <row r="459" spans="1:10" hidden="1" x14ac:dyDescent="0.35">
      <c r="A459" s="20">
        <f>INDEX(signals_2020_05!$A$2:$A$680, MATCH(B459, signals_2020_05!$B$2:$B$680, 0))</f>
        <v>6</v>
      </c>
      <c r="B459" s="2" t="str">
        <f>signals_2020_05!B449</f>
        <v>Power factor (cosphi)</v>
      </c>
      <c r="C459" s="9" t="str">
        <f>INDEX(signals_2020_05!$C$2:$AJ$680, MATCH($B459, signals_2020_05!$B$2:$B$680, 0), MATCH(C$2, signals_2020_05!$C$1:$AJ$1, 0))</f>
        <v>NaT</v>
      </c>
      <c r="D459" s="14">
        <f t="shared" si="36"/>
        <v>0</v>
      </c>
      <c r="E459" s="11">
        <f t="shared" si="37"/>
        <v>0</v>
      </c>
      <c r="F459" s="11">
        <f t="shared" ca="1" si="38"/>
        <v>0</v>
      </c>
      <c r="G459" s="9" t="str">
        <f>INDEX(signals_2019_10!$C$2:$AJ$682, MATCH($B459, signals_2019_10!$B$2:$B$682, 0), MATCH(C$2, signals_2019_10!$C$1:$AJ$1, 0))</f>
        <v>NaT</v>
      </c>
      <c r="H459" s="14">
        <f t="shared" si="39"/>
        <v>0</v>
      </c>
      <c r="I459" s="11">
        <f t="shared" si="40"/>
        <v>0</v>
      </c>
      <c r="J459" s="11">
        <f t="shared" ca="1" si="41"/>
        <v>0</v>
      </c>
    </row>
    <row r="460" spans="1:10" hidden="1" x14ac:dyDescent="0.35">
      <c r="A460" s="20">
        <f>INDEX(signals_2020_05!$A$2:$A$680, MATCH(B460, signals_2020_05!$B$2:$B$680, 0))</f>
        <v>915</v>
      </c>
      <c r="B460" s="2" t="str">
        <f>signals_2020_05!B450</f>
        <v>Power factor (cosphi), Max</v>
      </c>
      <c r="C460" s="9" t="str">
        <f>INDEX(signals_2020_05!$C$2:$AJ$680, MATCH($B460, signals_2020_05!$B$2:$B$680, 0), MATCH(C$2, signals_2020_05!$C$1:$AJ$1, 0))</f>
        <v>NaT</v>
      </c>
      <c r="D460" s="14">
        <f t="shared" si="36"/>
        <v>0</v>
      </c>
      <c r="E460" s="11">
        <f t="shared" si="37"/>
        <v>0</v>
      </c>
      <c r="F460" s="11">
        <f t="shared" ca="1" si="38"/>
        <v>0</v>
      </c>
      <c r="G460" s="9" t="e">
        <f>INDEX(signals_2019_10!$C$2:$AJ$682, MATCH($B460, signals_2019_10!$B$2:$B$682, 0), MATCH(C$2, signals_2019_10!$C$1:$AJ$1, 0))</f>
        <v>#N/A</v>
      </c>
      <c r="H460" s="14">
        <f t="shared" si="39"/>
        <v>0</v>
      </c>
      <c r="I460" s="11">
        <f t="shared" si="40"/>
        <v>0</v>
      </c>
      <c r="J460" s="11">
        <f t="shared" ca="1" si="41"/>
        <v>0</v>
      </c>
    </row>
    <row r="461" spans="1:10" hidden="1" x14ac:dyDescent="0.35">
      <c r="A461" s="20">
        <f>INDEX(signals_2020_05!$A$2:$A$680, MATCH(B461, signals_2020_05!$B$2:$B$680, 0))</f>
        <v>916</v>
      </c>
      <c r="B461" s="2" t="str">
        <f>signals_2020_05!B451</f>
        <v>Power factor (cosphi), Min</v>
      </c>
      <c r="C461" s="9" t="str">
        <f>INDEX(signals_2020_05!$C$2:$AJ$680, MATCH($B461, signals_2020_05!$B$2:$B$680, 0), MATCH(C$2, signals_2020_05!$C$1:$AJ$1, 0))</f>
        <v>NaT</v>
      </c>
      <c r="D461" s="14">
        <f t="shared" ref="D461:D524" si="42">IF(ISERROR(C461), 0, IF(C461="NaT", 0, 1))</f>
        <v>0</v>
      </c>
      <c r="E461" s="11">
        <f t="shared" ref="E461:E524" si="43">IF(D461, IF(FLOOR($C461, 1) = FLOOR($C$5, 1), 1, 0), 0)</f>
        <v>0</v>
      </c>
      <c r="F461" s="11">
        <f t="shared" ref="F461:F524" ca="1" si="44">IF(ISERROR(C461), 0, IF(C461="NaT", 0,ROUND(((NOW()-C461)/365.25)*10, 0)/10))</f>
        <v>0</v>
      </c>
      <c r="G461" s="9" t="e">
        <f>INDEX(signals_2019_10!$C$2:$AJ$682, MATCH($B461, signals_2019_10!$B$2:$B$682, 0), MATCH(C$2, signals_2019_10!$C$1:$AJ$1, 0))</f>
        <v>#N/A</v>
      </c>
      <c r="H461" s="14">
        <f t="shared" ref="H461:H524" si="45">IF(ISERROR(G461), 0, IF(G461="NaT", 0, 1))</f>
        <v>0</v>
      </c>
      <c r="I461" s="11">
        <f t="shared" ref="I461:I524" si="46">IF(H461, IF(FLOOR($C461, 1) = FLOOR($C$5, 1), 1, 0), 0)</f>
        <v>0</v>
      </c>
      <c r="J461" s="11">
        <f t="shared" ref="J461:J524" ca="1" si="47">IF(ISERROR(G461), 0, IF(G461="NaT", 0,ROUND(((NOW()-G461)/365.25)*10, 0)/10))</f>
        <v>0</v>
      </c>
    </row>
    <row r="462" spans="1:10" hidden="1" x14ac:dyDescent="0.35">
      <c r="A462" s="20">
        <f>INDEX(signals_2020_05!$A$2:$A$680, MATCH(B462, signals_2020_05!$B$2:$B$680, 0))</f>
        <v>917</v>
      </c>
      <c r="B462" s="2" t="str">
        <f>signals_2020_05!B452</f>
        <v>Power factor (cosphi), Standard deviation</v>
      </c>
      <c r="C462" s="9" t="str">
        <f>INDEX(signals_2020_05!$C$2:$AJ$680, MATCH($B462, signals_2020_05!$B$2:$B$680, 0), MATCH(C$2, signals_2020_05!$C$1:$AJ$1, 0))</f>
        <v>NaT</v>
      </c>
      <c r="D462" s="14">
        <f t="shared" si="42"/>
        <v>0</v>
      </c>
      <c r="E462" s="11">
        <f t="shared" si="43"/>
        <v>0</v>
      </c>
      <c r="F462" s="11">
        <f t="shared" ca="1" si="44"/>
        <v>0</v>
      </c>
      <c r="G462" s="9" t="e">
        <f>INDEX(signals_2019_10!$C$2:$AJ$682, MATCH($B462, signals_2019_10!$B$2:$B$682, 0), MATCH(C$2, signals_2019_10!$C$1:$AJ$1, 0))</f>
        <v>#N/A</v>
      </c>
      <c r="H462" s="14">
        <f t="shared" si="45"/>
        <v>0</v>
      </c>
      <c r="I462" s="11">
        <f t="shared" si="46"/>
        <v>0</v>
      </c>
      <c r="J462" s="11">
        <f t="shared" ca="1" si="47"/>
        <v>0</v>
      </c>
    </row>
    <row r="463" spans="1:10" hidden="1" x14ac:dyDescent="0.35">
      <c r="A463" s="20">
        <f>INDEX(signals_2020_05!$A$2:$A$680, MATCH(B463, signals_2020_05!$B$2:$B$680, 0))</f>
        <v>342</v>
      </c>
      <c r="B463" s="2" t="str">
        <f>signals_2020_05!B453</f>
        <v>Power panel temperature</v>
      </c>
      <c r="C463" s="9" t="str">
        <f>INDEX(signals_2020_05!$C$2:$AJ$680, MATCH($B463, signals_2020_05!$B$2:$B$680, 0), MATCH(C$2, signals_2020_05!$C$1:$AJ$1, 0))</f>
        <v>NaT</v>
      </c>
      <c r="D463" s="14">
        <f t="shared" si="42"/>
        <v>0</v>
      </c>
      <c r="E463" s="11">
        <f t="shared" si="43"/>
        <v>0</v>
      </c>
      <c r="F463" s="11">
        <f t="shared" ca="1" si="44"/>
        <v>0</v>
      </c>
      <c r="G463" s="9" t="str">
        <f>INDEX(signals_2019_10!$C$2:$AJ$682, MATCH($B463, signals_2019_10!$B$2:$B$682, 0), MATCH(C$2, signals_2019_10!$C$1:$AJ$1, 0))</f>
        <v>NaT</v>
      </c>
      <c r="H463" s="14">
        <f t="shared" si="45"/>
        <v>0</v>
      </c>
      <c r="I463" s="11">
        <f t="shared" si="46"/>
        <v>0</v>
      </c>
      <c r="J463" s="11">
        <f t="shared" ca="1" si="47"/>
        <v>0</v>
      </c>
    </row>
    <row r="464" spans="1:10" hidden="1" x14ac:dyDescent="0.35">
      <c r="A464" s="20">
        <f>INDEX(signals_2020_05!$A$2:$A$680, MATCH(B464, signals_2020_05!$B$2:$B$680, 0))</f>
        <v>3858</v>
      </c>
      <c r="B464" s="2" t="str">
        <f>signals_2020_05!B454</f>
        <v>Power panel temperature, Max</v>
      </c>
      <c r="C464" s="9" t="str">
        <f>INDEX(signals_2020_05!$C$2:$AJ$680, MATCH($B464, signals_2020_05!$B$2:$B$680, 0), MATCH(C$2, signals_2020_05!$C$1:$AJ$1, 0))</f>
        <v>NaT</v>
      </c>
      <c r="D464" s="14">
        <f t="shared" si="42"/>
        <v>0</v>
      </c>
      <c r="E464" s="11">
        <f t="shared" si="43"/>
        <v>0</v>
      </c>
      <c r="F464" s="11">
        <f t="shared" ca="1" si="44"/>
        <v>0</v>
      </c>
      <c r="G464" s="9" t="e">
        <f>INDEX(signals_2019_10!$C$2:$AJ$682, MATCH($B464, signals_2019_10!$B$2:$B$682, 0), MATCH(C$2, signals_2019_10!$C$1:$AJ$1, 0))</f>
        <v>#N/A</v>
      </c>
      <c r="H464" s="14">
        <f t="shared" si="45"/>
        <v>0</v>
      </c>
      <c r="I464" s="11">
        <f t="shared" si="46"/>
        <v>0</v>
      </c>
      <c r="J464" s="11">
        <f t="shared" ca="1" si="47"/>
        <v>0</v>
      </c>
    </row>
    <row r="465" spans="1:10" hidden="1" x14ac:dyDescent="0.35">
      <c r="A465" s="20">
        <f>INDEX(signals_2020_05!$A$2:$A$680, MATCH(B465, signals_2020_05!$B$2:$B$680, 0))</f>
        <v>3859</v>
      </c>
      <c r="B465" s="2" t="str">
        <f>signals_2020_05!B455</f>
        <v>Power panel temperature, Min</v>
      </c>
      <c r="C465" s="9" t="str">
        <f>INDEX(signals_2020_05!$C$2:$AJ$680, MATCH($B465, signals_2020_05!$B$2:$B$680, 0), MATCH(C$2, signals_2020_05!$C$1:$AJ$1, 0))</f>
        <v>NaT</v>
      </c>
      <c r="D465" s="14">
        <f t="shared" si="42"/>
        <v>0</v>
      </c>
      <c r="E465" s="11">
        <f t="shared" si="43"/>
        <v>0</v>
      </c>
      <c r="F465" s="11">
        <f t="shared" ca="1" si="44"/>
        <v>0</v>
      </c>
      <c r="G465" s="9" t="e">
        <f>INDEX(signals_2019_10!$C$2:$AJ$682, MATCH($B465, signals_2019_10!$B$2:$B$682, 0), MATCH(C$2, signals_2019_10!$C$1:$AJ$1, 0))</f>
        <v>#N/A</v>
      </c>
      <c r="H465" s="14">
        <f t="shared" si="45"/>
        <v>0</v>
      </c>
      <c r="I465" s="11">
        <f t="shared" si="46"/>
        <v>0</v>
      </c>
      <c r="J465" s="11">
        <f t="shared" ca="1" si="47"/>
        <v>0</v>
      </c>
    </row>
    <row r="466" spans="1:10" hidden="1" x14ac:dyDescent="0.35">
      <c r="A466" s="20">
        <f>INDEX(signals_2020_05!$A$2:$A$680, MATCH(B466, signals_2020_05!$B$2:$B$680, 0))</f>
        <v>3860</v>
      </c>
      <c r="B466" s="2" t="str">
        <f>signals_2020_05!B456</f>
        <v>Power panel temperature, Std</v>
      </c>
      <c r="C466" s="9" t="str">
        <f>INDEX(signals_2020_05!$C$2:$AJ$680, MATCH($B466, signals_2020_05!$B$2:$B$680, 0), MATCH(C$2, signals_2020_05!$C$1:$AJ$1, 0))</f>
        <v>NaT</v>
      </c>
      <c r="D466" s="14">
        <f t="shared" si="42"/>
        <v>0</v>
      </c>
      <c r="E466" s="11">
        <f t="shared" si="43"/>
        <v>0</v>
      </c>
      <c r="F466" s="11">
        <f t="shared" ca="1" si="44"/>
        <v>0</v>
      </c>
      <c r="G466" s="9" t="e">
        <f>INDEX(signals_2019_10!$C$2:$AJ$682, MATCH($B466, signals_2019_10!$B$2:$B$682, 0), MATCH(C$2, signals_2019_10!$C$1:$AJ$1, 0))</f>
        <v>#N/A</v>
      </c>
      <c r="H466" s="14">
        <f t="shared" si="45"/>
        <v>0</v>
      </c>
      <c r="I466" s="11">
        <f t="shared" si="46"/>
        <v>0</v>
      </c>
      <c r="J466" s="11">
        <f t="shared" ca="1" si="47"/>
        <v>0</v>
      </c>
    </row>
    <row r="467" spans="1:10" x14ac:dyDescent="0.35">
      <c r="A467" s="20">
        <f>INDEX(signals_2020_05!$A$2:$A$680, MATCH(B467, signals_2020_05!$B$2:$B$680, 0))</f>
        <v>76</v>
      </c>
      <c r="B467" s="2" t="str">
        <f>signals_2020_05!B457</f>
        <v>Power, Maximum</v>
      </c>
      <c r="C467" s="9">
        <f>INDEX(signals_2020_05!$C$2:$AJ$680, MATCH($B467, signals_2020_05!$B$2:$B$680, 0), MATCH(C$2, signals_2020_05!$C$1:$AJ$1, 0))</f>
        <v>43618.270833333336</v>
      </c>
      <c r="D467" s="14">
        <f t="shared" si="42"/>
        <v>1</v>
      </c>
      <c r="E467" s="11">
        <f t="shared" si="43"/>
        <v>0</v>
      </c>
      <c r="F467" s="11">
        <f t="shared" ca="1" si="44"/>
        <v>1.2</v>
      </c>
      <c r="G467" s="9">
        <f>INDEX(signals_2019_10!$C$2:$AJ$682, MATCH($B467, signals_2019_10!$B$2:$B$682, 0), MATCH(C$2, signals_2019_10!$C$1:$AJ$1, 0))</f>
        <v>43618.270833333336</v>
      </c>
      <c r="H467" s="14">
        <f t="shared" si="45"/>
        <v>1</v>
      </c>
      <c r="I467" s="11">
        <f t="shared" si="46"/>
        <v>0</v>
      </c>
      <c r="J467" s="11">
        <f t="shared" ca="1" si="47"/>
        <v>1.2</v>
      </c>
    </row>
    <row r="468" spans="1:10" x14ac:dyDescent="0.35">
      <c r="A468" s="20">
        <f>INDEX(signals_2020_05!$A$2:$A$680, MATCH(B468, signals_2020_05!$B$2:$B$680, 0))</f>
        <v>75</v>
      </c>
      <c r="B468" s="2" t="str">
        <f>signals_2020_05!B458</f>
        <v>Power, Minimum</v>
      </c>
      <c r="C468" s="9">
        <f>INDEX(signals_2020_05!$C$2:$AJ$680, MATCH($B468, signals_2020_05!$B$2:$B$680, 0), MATCH(C$2, signals_2020_05!$C$1:$AJ$1, 0))</f>
        <v>43618.270833333336</v>
      </c>
      <c r="D468" s="14">
        <f t="shared" si="42"/>
        <v>1</v>
      </c>
      <c r="E468" s="11">
        <f t="shared" si="43"/>
        <v>0</v>
      </c>
      <c r="F468" s="11">
        <f t="shared" ca="1" si="44"/>
        <v>1.2</v>
      </c>
      <c r="G468" s="9">
        <f>INDEX(signals_2019_10!$C$2:$AJ$682, MATCH($B468, signals_2019_10!$B$2:$B$682, 0), MATCH(C$2, signals_2019_10!$C$1:$AJ$1, 0))</f>
        <v>43618.270833333336</v>
      </c>
      <c r="H468" s="14">
        <f t="shared" si="45"/>
        <v>1</v>
      </c>
      <c r="I468" s="11">
        <f t="shared" si="46"/>
        <v>0</v>
      </c>
      <c r="J468" s="11">
        <f t="shared" ca="1" si="47"/>
        <v>1.2</v>
      </c>
    </row>
    <row r="469" spans="1:10" x14ac:dyDescent="0.35">
      <c r="A469" s="20">
        <f>INDEX(signals_2020_05!$A$2:$A$680, MATCH(B469, signals_2020_05!$B$2:$B$680, 0))</f>
        <v>74</v>
      </c>
      <c r="B469" s="2" t="str">
        <f>signals_2020_05!B459</f>
        <v>Power, Standard deviation</v>
      </c>
      <c r="C469" s="9">
        <f>INDEX(signals_2020_05!$C$2:$AJ$680, MATCH($B469, signals_2020_05!$B$2:$B$680, 0), MATCH(C$2, signals_2020_05!$C$1:$AJ$1, 0))</f>
        <v>43618.270833333336</v>
      </c>
      <c r="D469" s="14">
        <f t="shared" si="42"/>
        <v>1</v>
      </c>
      <c r="E469" s="11">
        <f t="shared" si="43"/>
        <v>0</v>
      </c>
      <c r="F469" s="11">
        <f t="shared" ca="1" si="44"/>
        <v>1.2</v>
      </c>
      <c r="G469" s="9">
        <f>INDEX(signals_2019_10!$C$2:$AJ$682, MATCH($B469, signals_2019_10!$B$2:$B$682, 0), MATCH(C$2, signals_2019_10!$C$1:$AJ$1, 0))</f>
        <v>43618.270833333336</v>
      </c>
      <c r="H469" s="14">
        <f t="shared" si="45"/>
        <v>1</v>
      </c>
      <c r="I469" s="11">
        <f t="shared" si="46"/>
        <v>0</v>
      </c>
      <c r="J469" s="11">
        <f t="shared" ca="1" si="47"/>
        <v>1.2</v>
      </c>
    </row>
    <row r="470" spans="1:10" hidden="1" x14ac:dyDescent="0.35">
      <c r="A470" s="20">
        <f>INDEX(signals_2020_05!$A$2:$A$680, MATCH(B470, signals_2020_05!$B$2:$B$680, 0))</f>
        <v>155</v>
      </c>
      <c r="B470" s="2" t="str">
        <f>signals_2020_05!B460</f>
        <v>Production Time</v>
      </c>
      <c r="C470" s="9" t="str">
        <f>INDEX(signals_2020_05!$C$2:$AJ$680, MATCH($B470, signals_2020_05!$B$2:$B$680, 0), MATCH(C$2, signals_2020_05!$C$1:$AJ$1, 0))</f>
        <v>NaT</v>
      </c>
      <c r="D470" s="14">
        <f t="shared" si="42"/>
        <v>0</v>
      </c>
      <c r="E470" s="11">
        <f t="shared" si="43"/>
        <v>0</v>
      </c>
      <c r="F470" s="11">
        <f t="shared" ca="1" si="44"/>
        <v>0</v>
      </c>
      <c r="G470" s="9" t="str">
        <f>INDEX(signals_2019_10!$C$2:$AJ$682, MATCH($B470, signals_2019_10!$B$2:$B$682, 0), MATCH(C$2, signals_2019_10!$C$1:$AJ$1, 0))</f>
        <v>NaT</v>
      </c>
      <c r="H470" s="14">
        <f t="shared" si="45"/>
        <v>0</v>
      </c>
      <c r="I470" s="11">
        <f t="shared" si="46"/>
        <v>0</v>
      </c>
      <c r="J470" s="11">
        <f t="shared" ca="1" si="47"/>
        <v>0</v>
      </c>
    </row>
    <row r="471" spans="1:10" hidden="1" x14ac:dyDescent="0.35">
      <c r="A471" s="20">
        <f>INDEX(signals_2020_05!$A$2:$A$680, MATCH(B471, signals_2020_05!$B$2:$B$680, 0))</f>
        <v>324</v>
      </c>
      <c r="B471" s="2" t="str">
        <f>signals_2020_05!B461</f>
        <v>Production Time (reduced operation mode)</v>
      </c>
      <c r="C471" s="9" t="str">
        <f>INDEX(signals_2020_05!$C$2:$AJ$680, MATCH($B471, signals_2020_05!$B$2:$B$680, 0), MATCH(C$2, signals_2020_05!$C$1:$AJ$1, 0))</f>
        <v>NaT</v>
      </c>
      <c r="D471" s="14">
        <f t="shared" si="42"/>
        <v>0</v>
      </c>
      <c r="E471" s="11">
        <f t="shared" si="43"/>
        <v>0</v>
      </c>
      <c r="F471" s="11">
        <f t="shared" ca="1" si="44"/>
        <v>0</v>
      </c>
      <c r="G471" s="9" t="str">
        <f>INDEX(signals_2019_10!$C$2:$AJ$682, MATCH($B471, signals_2019_10!$B$2:$B$682, 0), MATCH(C$2, signals_2019_10!$C$1:$AJ$1, 0))</f>
        <v>NaT</v>
      </c>
      <c r="H471" s="14">
        <f t="shared" si="45"/>
        <v>0</v>
      </c>
      <c r="I471" s="11">
        <f t="shared" si="46"/>
        <v>0</v>
      </c>
      <c r="J471" s="11">
        <f t="shared" ca="1" si="47"/>
        <v>0</v>
      </c>
    </row>
    <row r="472" spans="1:10" hidden="1" x14ac:dyDescent="0.35">
      <c r="A472" s="20">
        <f>INDEX(signals_2020_05!$A$2:$A$680, MATCH(B472, signals_2020_05!$B$2:$B$680, 0))</f>
        <v>87</v>
      </c>
      <c r="B472" s="2" t="str">
        <f>signals_2020_05!B462</f>
        <v>Reactive Energy Export</v>
      </c>
      <c r="C472" s="9" t="str">
        <f>INDEX(signals_2020_05!$C$2:$AJ$680, MATCH($B472, signals_2020_05!$B$2:$B$680, 0), MATCH(C$2, signals_2020_05!$C$1:$AJ$1, 0))</f>
        <v>NaT</v>
      </c>
      <c r="D472" s="14">
        <f t="shared" si="42"/>
        <v>0</v>
      </c>
      <c r="E472" s="11">
        <f t="shared" si="43"/>
        <v>0</v>
      </c>
      <c r="F472" s="11">
        <f t="shared" ca="1" si="44"/>
        <v>0</v>
      </c>
      <c r="G472" s="9" t="str">
        <f>INDEX(signals_2019_10!$C$2:$AJ$682, MATCH($B472, signals_2019_10!$B$2:$B$682, 0), MATCH(C$2, signals_2019_10!$C$1:$AJ$1, 0))</f>
        <v>NaT</v>
      </c>
      <c r="H472" s="14">
        <f t="shared" si="45"/>
        <v>0</v>
      </c>
      <c r="I472" s="11">
        <f t="shared" si="46"/>
        <v>0</v>
      </c>
      <c r="J472" s="11">
        <f t="shared" ca="1" si="47"/>
        <v>0</v>
      </c>
    </row>
    <row r="473" spans="1:10" hidden="1" x14ac:dyDescent="0.35">
      <c r="A473" s="20">
        <f>INDEX(signals_2020_05!$A$2:$A$680, MATCH(B473, signals_2020_05!$B$2:$B$680, 0))</f>
        <v>336</v>
      </c>
      <c r="B473" s="2" t="str">
        <f>signals_2020_05!B463</f>
        <v>Reactive Energy Export (Reduced power mode)</v>
      </c>
      <c r="C473" s="9" t="str">
        <f>INDEX(signals_2020_05!$C$2:$AJ$680, MATCH($B473, signals_2020_05!$B$2:$B$680, 0), MATCH(C$2, signals_2020_05!$C$1:$AJ$1, 0))</f>
        <v>NaT</v>
      </c>
      <c r="D473" s="14">
        <f t="shared" si="42"/>
        <v>0</v>
      </c>
      <c r="E473" s="11">
        <f t="shared" si="43"/>
        <v>0</v>
      </c>
      <c r="F473" s="11">
        <f t="shared" ca="1" si="44"/>
        <v>0</v>
      </c>
      <c r="G473" s="9" t="str">
        <f>INDEX(signals_2019_10!$C$2:$AJ$682, MATCH($B473, signals_2019_10!$B$2:$B$682, 0), MATCH(C$2, signals_2019_10!$C$1:$AJ$1, 0))</f>
        <v>NaT</v>
      </c>
      <c r="H473" s="14">
        <f t="shared" si="45"/>
        <v>0</v>
      </c>
      <c r="I473" s="11">
        <f t="shared" si="46"/>
        <v>0</v>
      </c>
      <c r="J473" s="11">
        <f t="shared" ca="1" si="47"/>
        <v>0</v>
      </c>
    </row>
    <row r="474" spans="1:10" hidden="1" x14ac:dyDescent="0.35">
      <c r="A474" s="20">
        <f>INDEX(signals_2020_05!$A$2:$A$680, MATCH(B474, signals_2020_05!$B$2:$B$680, 0))</f>
        <v>91</v>
      </c>
      <c r="B474" s="2" t="str">
        <f>signals_2020_05!B464</f>
        <v>Reactive Energy Import</v>
      </c>
      <c r="C474" s="9" t="str">
        <f>INDEX(signals_2020_05!$C$2:$AJ$680, MATCH($B474, signals_2020_05!$B$2:$B$680, 0), MATCH(C$2, signals_2020_05!$C$1:$AJ$1, 0))</f>
        <v>NaT</v>
      </c>
      <c r="D474" s="14">
        <f t="shared" si="42"/>
        <v>0</v>
      </c>
      <c r="E474" s="11">
        <f t="shared" si="43"/>
        <v>0</v>
      </c>
      <c r="F474" s="11">
        <f t="shared" ca="1" si="44"/>
        <v>0</v>
      </c>
      <c r="G474" s="9" t="str">
        <f>INDEX(signals_2019_10!$C$2:$AJ$682, MATCH($B474, signals_2019_10!$B$2:$B$682, 0), MATCH(C$2, signals_2019_10!$C$1:$AJ$1, 0))</f>
        <v>NaT</v>
      </c>
      <c r="H474" s="14">
        <f t="shared" si="45"/>
        <v>0</v>
      </c>
      <c r="I474" s="11">
        <f t="shared" si="46"/>
        <v>0</v>
      </c>
      <c r="J474" s="11">
        <f t="shared" ca="1" si="47"/>
        <v>0</v>
      </c>
    </row>
    <row r="475" spans="1:10" hidden="1" x14ac:dyDescent="0.35">
      <c r="A475" s="20">
        <f>INDEX(signals_2020_05!$A$2:$A$680, MATCH(B475, signals_2020_05!$B$2:$B$680, 0))</f>
        <v>337</v>
      </c>
      <c r="B475" s="2" t="str">
        <f>signals_2020_05!B465</f>
        <v>Reactive Energy Import (Reduced power mode)</v>
      </c>
      <c r="C475" s="9" t="str">
        <f>INDEX(signals_2020_05!$C$2:$AJ$680, MATCH($B475, signals_2020_05!$B$2:$B$680, 0), MATCH(C$2, signals_2020_05!$C$1:$AJ$1, 0))</f>
        <v>NaT</v>
      </c>
      <c r="D475" s="14">
        <f t="shared" si="42"/>
        <v>0</v>
      </c>
      <c r="E475" s="11">
        <f t="shared" si="43"/>
        <v>0</v>
      </c>
      <c r="F475" s="11">
        <f t="shared" ca="1" si="44"/>
        <v>0</v>
      </c>
      <c r="G475" s="9" t="str">
        <f>INDEX(signals_2019_10!$C$2:$AJ$682, MATCH($B475, signals_2019_10!$B$2:$B$682, 0), MATCH(C$2, signals_2019_10!$C$1:$AJ$1, 0))</f>
        <v>NaT</v>
      </c>
      <c r="H475" s="14">
        <f t="shared" si="45"/>
        <v>0</v>
      </c>
      <c r="I475" s="11">
        <f t="shared" si="46"/>
        <v>0</v>
      </c>
      <c r="J475" s="11">
        <f t="shared" ca="1" si="47"/>
        <v>0</v>
      </c>
    </row>
    <row r="476" spans="1:10" x14ac:dyDescent="0.35">
      <c r="A476" s="20">
        <f>INDEX(signals_2020_05!$A$2:$A$680, MATCH(B476, signals_2020_05!$B$2:$B$680, 0))</f>
        <v>7</v>
      </c>
      <c r="B476" s="2" t="str">
        <f>signals_2020_05!B466</f>
        <v>Reactive power</v>
      </c>
      <c r="C476" s="9">
        <f>INDEX(signals_2020_05!$C$2:$AJ$680, MATCH($B476, signals_2020_05!$B$2:$B$680, 0), MATCH(C$2, signals_2020_05!$C$1:$AJ$1, 0))</f>
        <v>43054.631944444445</v>
      </c>
      <c r="D476" s="14">
        <f t="shared" si="42"/>
        <v>1</v>
      </c>
      <c r="E476" s="11">
        <f t="shared" si="43"/>
        <v>1</v>
      </c>
      <c r="F476" s="11">
        <f t="shared" ca="1" si="44"/>
        <v>2.7</v>
      </c>
      <c r="G476" s="9">
        <f>INDEX(signals_2019_10!$C$2:$AJ$682, MATCH($B476, signals_2019_10!$B$2:$B$682, 0), MATCH(C$2, signals_2019_10!$C$1:$AJ$1, 0))</f>
        <v>43054.631944444445</v>
      </c>
      <c r="H476" s="14">
        <f t="shared" si="45"/>
        <v>1</v>
      </c>
      <c r="I476" s="11">
        <f t="shared" si="46"/>
        <v>1</v>
      </c>
      <c r="J476" s="11">
        <f t="shared" ca="1" si="47"/>
        <v>2.7</v>
      </c>
    </row>
    <row r="477" spans="1:10" x14ac:dyDescent="0.35">
      <c r="A477" s="20">
        <f>INDEX(signals_2020_05!$A$2:$A$680, MATCH(B477, signals_2020_05!$B$2:$B$680, 0))</f>
        <v>927</v>
      </c>
      <c r="B477" s="2" t="str">
        <f>signals_2020_05!B467</f>
        <v>Reactive power, Max</v>
      </c>
      <c r="C477" s="9">
        <f>INDEX(signals_2020_05!$C$2:$AJ$680, MATCH($B477, signals_2020_05!$B$2:$B$680, 0), MATCH(C$2, signals_2020_05!$C$1:$AJ$1, 0))</f>
        <v>43618.270833333336</v>
      </c>
      <c r="D477" s="14">
        <f t="shared" si="42"/>
        <v>1</v>
      </c>
      <c r="E477" s="11">
        <f t="shared" si="43"/>
        <v>0</v>
      </c>
      <c r="F477" s="11">
        <f t="shared" ca="1" si="44"/>
        <v>1.2</v>
      </c>
      <c r="G477" s="9">
        <f>INDEX(signals_2019_10!$C$2:$AJ$682, MATCH($B477, signals_2019_10!$B$2:$B$682, 0), MATCH(C$2, signals_2019_10!$C$1:$AJ$1, 0))</f>
        <v>43618.270833333336</v>
      </c>
      <c r="H477" s="14">
        <f t="shared" si="45"/>
        <v>1</v>
      </c>
      <c r="I477" s="11">
        <f t="shared" si="46"/>
        <v>0</v>
      </c>
      <c r="J477" s="11">
        <f t="shared" ca="1" si="47"/>
        <v>1.2</v>
      </c>
    </row>
    <row r="478" spans="1:10" x14ac:dyDescent="0.35">
      <c r="A478" s="20">
        <f>INDEX(signals_2020_05!$A$2:$A$680, MATCH(B478, signals_2020_05!$B$2:$B$680, 0))</f>
        <v>928</v>
      </c>
      <c r="B478" s="2" t="str">
        <f>signals_2020_05!B468</f>
        <v>Reactive power, Min</v>
      </c>
      <c r="C478" s="9">
        <f>INDEX(signals_2020_05!$C$2:$AJ$680, MATCH($B478, signals_2020_05!$B$2:$B$680, 0), MATCH(C$2, signals_2020_05!$C$1:$AJ$1, 0))</f>
        <v>43618.270833333336</v>
      </c>
      <c r="D478" s="14">
        <f t="shared" si="42"/>
        <v>1</v>
      </c>
      <c r="E478" s="11">
        <f t="shared" si="43"/>
        <v>0</v>
      </c>
      <c r="F478" s="11">
        <f t="shared" ca="1" si="44"/>
        <v>1.2</v>
      </c>
      <c r="G478" s="9">
        <f>INDEX(signals_2019_10!$C$2:$AJ$682, MATCH($B478, signals_2019_10!$B$2:$B$682, 0), MATCH(C$2, signals_2019_10!$C$1:$AJ$1, 0))</f>
        <v>43618.270833333336</v>
      </c>
      <c r="H478" s="14">
        <f t="shared" si="45"/>
        <v>1</v>
      </c>
      <c r="I478" s="11">
        <f t="shared" si="46"/>
        <v>0</v>
      </c>
      <c r="J478" s="11">
        <f t="shared" ca="1" si="47"/>
        <v>1.2</v>
      </c>
    </row>
    <row r="479" spans="1:10" x14ac:dyDescent="0.35">
      <c r="A479" s="20">
        <f>INDEX(signals_2020_05!$A$2:$A$680, MATCH(B479, signals_2020_05!$B$2:$B$680, 0))</f>
        <v>929</v>
      </c>
      <c r="B479" s="2" t="str">
        <f>signals_2020_05!B469</f>
        <v>Reactive power, Standard deviation</v>
      </c>
      <c r="C479" s="9">
        <f>INDEX(signals_2020_05!$C$2:$AJ$680, MATCH($B479, signals_2020_05!$B$2:$B$680, 0), MATCH(C$2, signals_2020_05!$C$1:$AJ$1, 0))</f>
        <v>43618.270833333336</v>
      </c>
      <c r="D479" s="14">
        <f t="shared" si="42"/>
        <v>1</v>
      </c>
      <c r="E479" s="11">
        <f t="shared" si="43"/>
        <v>0</v>
      </c>
      <c r="F479" s="11">
        <f t="shared" ca="1" si="44"/>
        <v>1.2</v>
      </c>
      <c r="G479" s="9">
        <f>INDEX(signals_2019_10!$C$2:$AJ$682, MATCH($B479, signals_2019_10!$B$2:$B$682, 0), MATCH(C$2, signals_2019_10!$C$1:$AJ$1, 0))</f>
        <v>43618.270833333336</v>
      </c>
      <c r="H479" s="14">
        <f t="shared" si="45"/>
        <v>1</v>
      </c>
      <c r="I479" s="11">
        <f t="shared" si="46"/>
        <v>0</v>
      </c>
      <c r="J479" s="11">
        <f t="shared" ca="1" si="47"/>
        <v>1.2</v>
      </c>
    </row>
    <row r="480" spans="1:10" hidden="1" x14ac:dyDescent="0.35">
      <c r="A480" s="20">
        <f>INDEX(signals_2020_05!$A$2:$A$680, MATCH(B480, signals_2020_05!$B$2:$B$680, 0))</f>
        <v>3193</v>
      </c>
      <c r="B480" s="2" t="str">
        <f>signals_2020_05!B470</f>
        <v>Ready Time</v>
      </c>
      <c r="C480" s="9" t="str">
        <f>INDEX(signals_2020_05!$C$2:$AJ$680, MATCH($B480, signals_2020_05!$B$2:$B$680, 0), MATCH(C$2, signals_2020_05!$C$1:$AJ$1, 0))</f>
        <v>NaT</v>
      </c>
      <c r="D480" s="14">
        <f t="shared" si="42"/>
        <v>0</v>
      </c>
      <c r="E480" s="11">
        <f t="shared" si="43"/>
        <v>0</v>
      </c>
      <c r="F480" s="11">
        <f t="shared" ca="1" si="44"/>
        <v>0</v>
      </c>
      <c r="G480" s="9" t="str">
        <f>INDEX(signals_2019_10!$C$2:$AJ$682, MATCH($B480, signals_2019_10!$B$2:$B$682, 0), MATCH(C$2, signals_2019_10!$C$1:$AJ$1, 0))</f>
        <v>NaT</v>
      </c>
      <c r="H480" s="14">
        <f t="shared" si="45"/>
        <v>0</v>
      </c>
      <c r="I480" s="11">
        <f t="shared" si="46"/>
        <v>0</v>
      </c>
      <c r="J480" s="11">
        <f t="shared" ca="1" si="47"/>
        <v>0</v>
      </c>
    </row>
    <row r="481" spans="1:10" hidden="1" x14ac:dyDescent="0.35">
      <c r="A481" s="20">
        <f>INDEX(signals_2020_05!$A$2:$A$680, MATCH(B481, signals_2020_05!$B$2:$B$680, 0))</f>
        <v>10</v>
      </c>
      <c r="B481" s="2" t="str">
        <f>signals_2020_05!B471</f>
        <v>Rear bearing temperature</v>
      </c>
      <c r="C481" s="9" t="str">
        <f>INDEX(signals_2020_05!$C$2:$AJ$680, MATCH($B481, signals_2020_05!$B$2:$B$680, 0), MATCH(C$2, signals_2020_05!$C$1:$AJ$1, 0))</f>
        <v>NaT</v>
      </c>
      <c r="D481" s="14">
        <f t="shared" si="42"/>
        <v>0</v>
      </c>
      <c r="E481" s="11">
        <f t="shared" si="43"/>
        <v>0</v>
      </c>
      <c r="F481" s="11">
        <f t="shared" ca="1" si="44"/>
        <v>0</v>
      </c>
      <c r="G481" s="9" t="str">
        <f>INDEX(signals_2019_10!$C$2:$AJ$682, MATCH($B481, signals_2019_10!$B$2:$B$682, 0), MATCH(C$2, signals_2019_10!$C$1:$AJ$1, 0))</f>
        <v>NaT</v>
      </c>
      <c r="H481" s="14">
        <f t="shared" si="45"/>
        <v>0</v>
      </c>
      <c r="I481" s="11">
        <f t="shared" si="46"/>
        <v>0</v>
      </c>
      <c r="J481" s="11">
        <f t="shared" ca="1" si="47"/>
        <v>0</v>
      </c>
    </row>
    <row r="482" spans="1:10" hidden="1" x14ac:dyDescent="0.35">
      <c r="A482" s="20">
        <f>INDEX(signals_2020_05!$A$2:$A$680, MATCH(B482, signals_2020_05!$B$2:$B$680, 0))</f>
        <v>951</v>
      </c>
      <c r="B482" s="2" t="str">
        <f>signals_2020_05!B472</f>
        <v>Rear bearing temperature, Max</v>
      </c>
      <c r="C482" s="9" t="str">
        <f>INDEX(signals_2020_05!$C$2:$AJ$680, MATCH($B482, signals_2020_05!$B$2:$B$680, 0), MATCH(C$2, signals_2020_05!$C$1:$AJ$1, 0))</f>
        <v>NaT</v>
      </c>
      <c r="D482" s="14">
        <f t="shared" si="42"/>
        <v>0</v>
      </c>
      <c r="E482" s="11">
        <f t="shared" si="43"/>
        <v>0</v>
      </c>
      <c r="F482" s="11">
        <f t="shared" ca="1" si="44"/>
        <v>0</v>
      </c>
      <c r="G482" s="9" t="e">
        <f>INDEX(signals_2019_10!$C$2:$AJ$682, MATCH($B482, signals_2019_10!$B$2:$B$682, 0), MATCH(C$2, signals_2019_10!$C$1:$AJ$1, 0))</f>
        <v>#N/A</v>
      </c>
      <c r="H482" s="14">
        <f t="shared" si="45"/>
        <v>0</v>
      </c>
      <c r="I482" s="11">
        <f t="shared" si="46"/>
        <v>0</v>
      </c>
      <c r="J482" s="11">
        <f t="shared" ca="1" si="47"/>
        <v>0</v>
      </c>
    </row>
    <row r="483" spans="1:10" hidden="1" x14ac:dyDescent="0.35">
      <c r="A483" s="20">
        <f>INDEX(signals_2020_05!$A$2:$A$680, MATCH(B483, signals_2020_05!$B$2:$B$680, 0))</f>
        <v>952</v>
      </c>
      <c r="B483" s="2" t="str">
        <f>signals_2020_05!B473</f>
        <v>Rear bearing temperature, Min</v>
      </c>
      <c r="C483" s="9" t="str">
        <f>INDEX(signals_2020_05!$C$2:$AJ$680, MATCH($B483, signals_2020_05!$B$2:$B$680, 0), MATCH(C$2, signals_2020_05!$C$1:$AJ$1, 0))</f>
        <v>NaT</v>
      </c>
      <c r="D483" s="14">
        <f t="shared" si="42"/>
        <v>0</v>
      </c>
      <c r="E483" s="11">
        <f t="shared" si="43"/>
        <v>0</v>
      </c>
      <c r="F483" s="11">
        <f t="shared" ca="1" si="44"/>
        <v>0</v>
      </c>
      <c r="G483" s="9" t="e">
        <f>INDEX(signals_2019_10!$C$2:$AJ$682, MATCH($B483, signals_2019_10!$B$2:$B$682, 0), MATCH(C$2, signals_2019_10!$C$1:$AJ$1, 0))</f>
        <v>#N/A</v>
      </c>
      <c r="H483" s="14">
        <f t="shared" si="45"/>
        <v>0</v>
      </c>
      <c r="I483" s="11">
        <f t="shared" si="46"/>
        <v>0</v>
      </c>
      <c r="J483" s="11">
        <f t="shared" ca="1" si="47"/>
        <v>0</v>
      </c>
    </row>
    <row r="484" spans="1:10" hidden="1" x14ac:dyDescent="0.35">
      <c r="A484" s="20">
        <f>INDEX(signals_2020_05!$A$2:$A$680, MATCH(B484, signals_2020_05!$B$2:$B$680, 0))</f>
        <v>953</v>
      </c>
      <c r="B484" s="2" t="str">
        <f>signals_2020_05!B474</f>
        <v>Rear bearing temperature, Standard deviation</v>
      </c>
      <c r="C484" s="9" t="str">
        <f>INDEX(signals_2020_05!$C$2:$AJ$680, MATCH($B484, signals_2020_05!$B$2:$B$680, 0), MATCH(C$2, signals_2020_05!$C$1:$AJ$1, 0))</f>
        <v>NaT</v>
      </c>
      <c r="D484" s="14">
        <f t="shared" si="42"/>
        <v>0</v>
      </c>
      <c r="E484" s="11">
        <f t="shared" si="43"/>
        <v>0</v>
      </c>
      <c r="F484" s="11">
        <f t="shared" ca="1" si="44"/>
        <v>0</v>
      </c>
      <c r="G484" s="9" t="e">
        <f>INDEX(signals_2019_10!$C$2:$AJ$682, MATCH($B484, signals_2019_10!$B$2:$B$682, 0), MATCH(C$2, signals_2019_10!$C$1:$AJ$1, 0))</f>
        <v>#N/A</v>
      </c>
      <c r="H484" s="14">
        <f t="shared" si="45"/>
        <v>0</v>
      </c>
      <c r="I484" s="11">
        <f t="shared" si="46"/>
        <v>0</v>
      </c>
      <c r="J484" s="11">
        <f t="shared" ca="1" si="47"/>
        <v>0</v>
      </c>
    </row>
    <row r="485" spans="1:10" hidden="1" x14ac:dyDescent="0.35">
      <c r="A485" s="20">
        <f>INDEX(signals_2020_05!$A$2:$A$680, MATCH(B485, signals_2020_05!$B$2:$B$680, 0))</f>
        <v>27</v>
      </c>
      <c r="B485" s="2" t="str">
        <f>signals_2020_05!B475</f>
        <v>Rectifier 1 heat sink</v>
      </c>
      <c r="C485" s="9" t="str">
        <f>INDEX(signals_2020_05!$C$2:$AJ$680, MATCH($B485, signals_2020_05!$B$2:$B$680, 0), MATCH(C$2, signals_2020_05!$C$1:$AJ$1, 0))</f>
        <v>NaT</v>
      </c>
      <c r="D485" s="14">
        <f t="shared" si="42"/>
        <v>0</v>
      </c>
      <c r="E485" s="11">
        <f t="shared" si="43"/>
        <v>0</v>
      </c>
      <c r="F485" s="11">
        <f t="shared" ca="1" si="44"/>
        <v>0</v>
      </c>
      <c r="G485" s="9" t="str">
        <f>INDEX(signals_2019_10!$C$2:$AJ$682, MATCH($B485, signals_2019_10!$B$2:$B$682, 0), MATCH(C$2, signals_2019_10!$C$1:$AJ$1, 0))</f>
        <v>NaT</v>
      </c>
      <c r="H485" s="14">
        <f t="shared" si="45"/>
        <v>0</v>
      </c>
      <c r="I485" s="11">
        <f t="shared" si="46"/>
        <v>0</v>
      </c>
      <c r="J485" s="11">
        <f t="shared" ca="1" si="47"/>
        <v>0</v>
      </c>
    </row>
    <row r="486" spans="1:10" hidden="1" x14ac:dyDescent="0.35">
      <c r="A486" s="20">
        <f>INDEX(signals_2020_05!$A$2:$A$680, MATCH(B486, signals_2020_05!$B$2:$B$680, 0))</f>
        <v>4446</v>
      </c>
      <c r="B486" s="2" t="str">
        <f>signals_2020_05!B476</f>
        <v>Rectifier 1 heat sink, Max</v>
      </c>
      <c r="C486" s="9" t="str">
        <f>INDEX(signals_2020_05!$C$2:$AJ$680, MATCH($B486, signals_2020_05!$B$2:$B$680, 0), MATCH(C$2, signals_2020_05!$C$1:$AJ$1, 0))</f>
        <v>NaT</v>
      </c>
      <c r="D486" s="14">
        <f t="shared" si="42"/>
        <v>0</v>
      </c>
      <c r="E486" s="11">
        <f t="shared" si="43"/>
        <v>0</v>
      </c>
      <c r="F486" s="11">
        <f t="shared" ca="1" si="44"/>
        <v>0</v>
      </c>
      <c r="G486" s="9" t="e">
        <f>INDEX(signals_2019_10!$C$2:$AJ$682, MATCH($B486, signals_2019_10!$B$2:$B$682, 0), MATCH(C$2, signals_2019_10!$C$1:$AJ$1, 0))</f>
        <v>#N/A</v>
      </c>
      <c r="H486" s="14">
        <f t="shared" si="45"/>
        <v>0</v>
      </c>
      <c r="I486" s="11">
        <f t="shared" si="46"/>
        <v>0</v>
      </c>
      <c r="J486" s="11">
        <f t="shared" ca="1" si="47"/>
        <v>0</v>
      </c>
    </row>
    <row r="487" spans="1:10" hidden="1" x14ac:dyDescent="0.35">
      <c r="A487" s="20">
        <f>INDEX(signals_2020_05!$A$2:$A$680, MATCH(B487, signals_2020_05!$B$2:$B$680, 0))</f>
        <v>4447</v>
      </c>
      <c r="B487" s="2" t="str">
        <f>signals_2020_05!B477</f>
        <v>Rectifier 1 heat sink, Min</v>
      </c>
      <c r="C487" s="9" t="str">
        <f>INDEX(signals_2020_05!$C$2:$AJ$680, MATCH($B487, signals_2020_05!$B$2:$B$680, 0), MATCH(C$2, signals_2020_05!$C$1:$AJ$1, 0))</f>
        <v>NaT</v>
      </c>
      <c r="D487" s="14">
        <f t="shared" si="42"/>
        <v>0</v>
      </c>
      <c r="E487" s="11">
        <f t="shared" si="43"/>
        <v>0</v>
      </c>
      <c r="F487" s="11">
        <f t="shared" ca="1" si="44"/>
        <v>0</v>
      </c>
      <c r="G487" s="9" t="e">
        <f>INDEX(signals_2019_10!$C$2:$AJ$682, MATCH($B487, signals_2019_10!$B$2:$B$682, 0), MATCH(C$2, signals_2019_10!$C$1:$AJ$1, 0))</f>
        <v>#N/A</v>
      </c>
      <c r="H487" s="14">
        <f t="shared" si="45"/>
        <v>0</v>
      </c>
      <c r="I487" s="11">
        <f t="shared" si="46"/>
        <v>0</v>
      </c>
      <c r="J487" s="11">
        <f t="shared" ca="1" si="47"/>
        <v>0</v>
      </c>
    </row>
    <row r="488" spans="1:10" hidden="1" x14ac:dyDescent="0.35">
      <c r="A488" s="20">
        <f>INDEX(signals_2020_05!$A$2:$A$680, MATCH(B488, signals_2020_05!$B$2:$B$680, 0))</f>
        <v>4448</v>
      </c>
      <c r="B488" s="2" t="str">
        <f>signals_2020_05!B478</f>
        <v>Rectifier 1 heat sink, StdDev</v>
      </c>
      <c r="C488" s="9" t="str">
        <f>INDEX(signals_2020_05!$C$2:$AJ$680, MATCH($B488, signals_2020_05!$B$2:$B$680, 0), MATCH(C$2, signals_2020_05!$C$1:$AJ$1, 0))</f>
        <v>NaT</v>
      </c>
      <c r="D488" s="14">
        <f t="shared" si="42"/>
        <v>0</v>
      </c>
      <c r="E488" s="11">
        <f t="shared" si="43"/>
        <v>0</v>
      </c>
      <c r="F488" s="11">
        <f t="shared" ca="1" si="44"/>
        <v>0</v>
      </c>
      <c r="G488" s="9" t="e">
        <f>INDEX(signals_2019_10!$C$2:$AJ$682, MATCH($B488, signals_2019_10!$B$2:$B$682, 0), MATCH(C$2, signals_2019_10!$C$1:$AJ$1, 0))</f>
        <v>#N/A</v>
      </c>
      <c r="H488" s="14">
        <f t="shared" si="45"/>
        <v>0</v>
      </c>
      <c r="I488" s="11">
        <f t="shared" si="46"/>
        <v>0</v>
      </c>
      <c r="J488" s="11">
        <f t="shared" ca="1" si="47"/>
        <v>0</v>
      </c>
    </row>
    <row r="489" spans="1:10" hidden="1" x14ac:dyDescent="0.35">
      <c r="A489" s="20">
        <f>INDEX(signals_2020_05!$A$2:$A$680, MATCH(B489, signals_2020_05!$B$2:$B$680, 0))</f>
        <v>28</v>
      </c>
      <c r="B489" s="2" t="str">
        <f>signals_2020_05!B479</f>
        <v>Rectifier 2 heat sink</v>
      </c>
      <c r="C489" s="9" t="str">
        <f>INDEX(signals_2020_05!$C$2:$AJ$680, MATCH($B489, signals_2020_05!$B$2:$B$680, 0), MATCH(C$2, signals_2020_05!$C$1:$AJ$1, 0))</f>
        <v>NaT</v>
      </c>
      <c r="D489" s="14">
        <f t="shared" si="42"/>
        <v>0</v>
      </c>
      <c r="E489" s="11">
        <f t="shared" si="43"/>
        <v>0</v>
      </c>
      <c r="F489" s="11">
        <f t="shared" ca="1" si="44"/>
        <v>0</v>
      </c>
      <c r="G489" s="9" t="str">
        <f>INDEX(signals_2019_10!$C$2:$AJ$682, MATCH($B489, signals_2019_10!$B$2:$B$682, 0), MATCH(C$2, signals_2019_10!$C$1:$AJ$1, 0))</f>
        <v>NaT</v>
      </c>
      <c r="H489" s="14">
        <f t="shared" si="45"/>
        <v>0</v>
      </c>
      <c r="I489" s="11">
        <f t="shared" si="46"/>
        <v>0</v>
      </c>
      <c r="J489" s="11">
        <f t="shared" ca="1" si="47"/>
        <v>0</v>
      </c>
    </row>
    <row r="490" spans="1:10" hidden="1" x14ac:dyDescent="0.35">
      <c r="A490" s="20">
        <f>INDEX(signals_2020_05!$A$2:$A$680, MATCH(B490, signals_2020_05!$B$2:$B$680, 0))</f>
        <v>4449</v>
      </c>
      <c r="B490" s="2" t="str">
        <f>signals_2020_05!B480</f>
        <v>Rectifier 2 heat sink, Max</v>
      </c>
      <c r="C490" s="9" t="str">
        <f>INDEX(signals_2020_05!$C$2:$AJ$680, MATCH($B490, signals_2020_05!$B$2:$B$680, 0), MATCH(C$2, signals_2020_05!$C$1:$AJ$1, 0))</f>
        <v>NaT</v>
      </c>
      <c r="D490" s="14">
        <f t="shared" si="42"/>
        <v>0</v>
      </c>
      <c r="E490" s="11">
        <f t="shared" si="43"/>
        <v>0</v>
      </c>
      <c r="F490" s="11">
        <f t="shared" ca="1" si="44"/>
        <v>0</v>
      </c>
      <c r="G490" s="9" t="e">
        <f>INDEX(signals_2019_10!$C$2:$AJ$682, MATCH($B490, signals_2019_10!$B$2:$B$682, 0), MATCH(C$2, signals_2019_10!$C$1:$AJ$1, 0))</f>
        <v>#N/A</v>
      </c>
      <c r="H490" s="14">
        <f t="shared" si="45"/>
        <v>0</v>
      </c>
      <c r="I490" s="11">
        <f t="shared" si="46"/>
        <v>0</v>
      </c>
      <c r="J490" s="11">
        <f t="shared" ca="1" si="47"/>
        <v>0</v>
      </c>
    </row>
    <row r="491" spans="1:10" hidden="1" x14ac:dyDescent="0.35">
      <c r="A491" s="20">
        <f>INDEX(signals_2020_05!$A$2:$A$680, MATCH(B491, signals_2020_05!$B$2:$B$680, 0))</f>
        <v>4450</v>
      </c>
      <c r="B491" s="2" t="str">
        <f>signals_2020_05!B481</f>
        <v>Rectifier 2 heat sink, Min</v>
      </c>
      <c r="C491" s="9" t="str">
        <f>INDEX(signals_2020_05!$C$2:$AJ$680, MATCH($B491, signals_2020_05!$B$2:$B$680, 0), MATCH(C$2, signals_2020_05!$C$1:$AJ$1, 0))</f>
        <v>NaT</v>
      </c>
      <c r="D491" s="14">
        <f t="shared" si="42"/>
        <v>0</v>
      </c>
      <c r="E491" s="11">
        <f t="shared" si="43"/>
        <v>0</v>
      </c>
      <c r="F491" s="11">
        <f t="shared" ca="1" si="44"/>
        <v>0</v>
      </c>
      <c r="G491" s="9" t="e">
        <f>INDEX(signals_2019_10!$C$2:$AJ$682, MATCH($B491, signals_2019_10!$B$2:$B$682, 0), MATCH(C$2, signals_2019_10!$C$1:$AJ$1, 0))</f>
        <v>#N/A</v>
      </c>
      <c r="H491" s="14">
        <f t="shared" si="45"/>
        <v>0</v>
      </c>
      <c r="I491" s="11">
        <f t="shared" si="46"/>
        <v>0</v>
      </c>
      <c r="J491" s="11">
        <f t="shared" ca="1" si="47"/>
        <v>0</v>
      </c>
    </row>
    <row r="492" spans="1:10" hidden="1" x14ac:dyDescent="0.35">
      <c r="A492" s="20">
        <f>INDEX(signals_2020_05!$A$2:$A$680, MATCH(B492, signals_2020_05!$B$2:$B$680, 0))</f>
        <v>4451</v>
      </c>
      <c r="B492" s="2" t="str">
        <f>signals_2020_05!B482</f>
        <v>Rectifier 2 heat sink, StdDev</v>
      </c>
      <c r="C492" s="9" t="str">
        <f>INDEX(signals_2020_05!$C$2:$AJ$680, MATCH($B492, signals_2020_05!$B$2:$B$680, 0), MATCH(C$2, signals_2020_05!$C$1:$AJ$1, 0))</f>
        <v>NaT</v>
      </c>
      <c r="D492" s="14">
        <f t="shared" si="42"/>
        <v>0</v>
      </c>
      <c r="E492" s="11">
        <f t="shared" si="43"/>
        <v>0</v>
      </c>
      <c r="F492" s="11">
        <f t="shared" ca="1" si="44"/>
        <v>0</v>
      </c>
      <c r="G492" s="9" t="e">
        <f>INDEX(signals_2019_10!$C$2:$AJ$682, MATCH($B492, signals_2019_10!$B$2:$B$682, 0), MATCH(C$2, signals_2019_10!$C$1:$AJ$1, 0))</f>
        <v>#N/A</v>
      </c>
      <c r="H492" s="14">
        <f t="shared" si="45"/>
        <v>0</v>
      </c>
      <c r="I492" s="11">
        <f t="shared" si="46"/>
        <v>0</v>
      </c>
      <c r="J492" s="11">
        <f t="shared" ca="1" si="47"/>
        <v>0</v>
      </c>
    </row>
    <row r="493" spans="1:10" hidden="1" x14ac:dyDescent="0.35">
      <c r="A493" s="20">
        <f>INDEX(signals_2020_05!$A$2:$A$680, MATCH(B493, signals_2020_05!$B$2:$B$680, 0))</f>
        <v>29</v>
      </c>
      <c r="B493" s="2" t="str">
        <f>signals_2020_05!B483</f>
        <v>Rectifier cabinet temperature</v>
      </c>
      <c r="C493" s="9" t="str">
        <f>INDEX(signals_2020_05!$C$2:$AJ$680, MATCH($B493, signals_2020_05!$B$2:$B$680, 0), MATCH(C$2, signals_2020_05!$C$1:$AJ$1, 0))</f>
        <v>NaT</v>
      </c>
      <c r="D493" s="14">
        <f t="shared" si="42"/>
        <v>0</v>
      </c>
      <c r="E493" s="11">
        <f t="shared" si="43"/>
        <v>0</v>
      </c>
      <c r="F493" s="11">
        <f t="shared" ca="1" si="44"/>
        <v>0</v>
      </c>
      <c r="G493" s="9" t="str">
        <f>INDEX(signals_2019_10!$C$2:$AJ$682, MATCH($B493, signals_2019_10!$B$2:$B$682, 0), MATCH(C$2, signals_2019_10!$C$1:$AJ$1, 0))</f>
        <v>NaT</v>
      </c>
      <c r="H493" s="14">
        <f t="shared" si="45"/>
        <v>0</v>
      </c>
      <c r="I493" s="11">
        <f t="shared" si="46"/>
        <v>0</v>
      </c>
      <c r="J493" s="11">
        <f t="shared" ca="1" si="47"/>
        <v>0</v>
      </c>
    </row>
    <row r="494" spans="1:10" hidden="1" x14ac:dyDescent="0.35">
      <c r="A494" s="20">
        <f>INDEX(signals_2020_05!$A$2:$A$680, MATCH(B494, signals_2020_05!$B$2:$B$680, 0))</f>
        <v>4384</v>
      </c>
      <c r="B494" s="2" t="str">
        <f>signals_2020_05!B484</f>
        <v>Rectifier cabinet temperature, Max</v>
      </c>
      <c r="C494" s="9" t="str">
        <f>INDEX(signals_2020_05!$C$2:$AJ$680, MATCH($B494, signals_2020_05!$B$2:$B$680, 0), MATCH(C$2, signals_2020_05!$C$1:$AJ$1, 0))</f>
        <v>NaT</v>
      </c>
      <c r="D494" s="14">
        <f t="shared" si="42"/>
        <v>0</v>
      </c>
      <c r="E494" s="11">
        <f t="shared" si="43"/>
        <v>0</v>
      </c>
      <c r="F494" s="11">
        <f t="shared" ca="1" si="44"/>
        <v>0</v>
      </c>
      <c r="G494" s="9" t="e">
        <f>INDEX(signals_2019_10!$C$2:$AJ$682, MATCH($B494, signals_2019_10!$B$2:$B$682, 0), MATCH(C$2, signals_2019_10!$C$1:$AJ$1, 0))</f>
        <v>#N/A</v>
      </c>
      <c r="H494" s="14">
        <f t="shared" si="45"/>
        <v>0</v>
      </c>
      <c r="I494" s="11">
        <f t="shared" si="46"/>
        <v>0</v>
      </c>
      <c r="J494" s="11">
        <f t="shared" ca="1" si="47"/>
        <v>0</v>
      </c>
    </row>
    <row r="495" spans="1:10" hidden="1" x14ac:dyDescent="0.35">
      <c r="A495" s="20">
        <f>INDEX(signals_2020_05!$A$2:$A$680, MATCH(B495, signals_2020_05!$B$2:$B$680, 0))</f>
        <v>4385</v>
      </c>
      <c r="B495" s="2" t="str">
        <f>signals_2020_05!B485</f>
        <v>Rectifier cabinet temperature, Min</v>
      </c>
      <c r="C495" s="9" t="str">
        <f>INDEX(signals_2020_05!$C$2:$AJ$680, MATCH($B495, signals_2020_05!$B$2:$B$680, 0), MATCH(C$2, signals_2020_05!$C$1:$AJ$1, 0))</f>
        <v>NaT</v>
      </c>
      <c r="D495" s="14">
        <f t="shared" si="42"/>
        <v>0</v>
      </c>
      <c r="E495" s="11">
        <f t="shared" si="43"/>
        <v>0</v>
      </c>
      <c r="F495" s="11">
        <f t="shared" ca="1" si="44"/>
        <v>0</v>
      </c>
      <c r="G495" s="9" t="e">
        <f>INDEX(signals_2019_10!$C$2:$AJ$682, MATCH($B495, signals_2019_10!$B$2:$B$682, 0), MATCH(C$2, signals_2019_10!$C$1:$AJ$1, 0))</f>
        <v>#N/A</v>
      </c>
      <c r="H495" s="14">
        <f t="shared" si="45"/>
        <v>0</v>
      </c>
      <c r="I495" s="11">
        <f t="shared" si="46"/>
        <v>0</v>
      </c>
      <c r="J495" s="11">
        <f t="shared" ca="1" si="47"/>
        <v>0</v>
      </c>
    </row>
    <row r="496" spans="1:10" hidden="1" x14ac:dyDescent="0.35">
      <c r="A496" s="20">
        <f>INDEX(signals_2020_05!$A$2:$A$680, MATCH(B496, signals_2020_05!$B$2:$B$680, 0))</f>
        <v>4386</v>
      </c>
      <c r="B496" s="2" t="str">
        <f>signals_2020_05!B486</f>
        <v>Rectifier cabinet temperature, StdDev</v>
      </c>
      <c r="C496" s="9" t="str">
        <f>INDEX(signals_2020_05!$C$2:$AJ$680, MATCH($B496, signals_2020_05!$B$2:$B$680, 0), MATCH(C$2, signals_2020_05!$C$1:$AJ$1, 0))</f>
        <v>NaT</v>
      </c>
      <c r="D496" s="14">
        <f t="shared" si="42"/>
        <v>0</v>
      </c>
      <c r="E496" s="11">
        <f t="shared" si="43"/>
        <v>0</v>
      </c>
      <c r="F496" s="11">
        <f t="shared" ca="1" si="44"/>
        <v>0</v>
      </c>
      <c r="G496" s="9" t="e">
        <f>INDEX(signals_2019_10!$C$2:$AJ$682, MATCH($B496, signals_2019_10!$B$2:$B$682, 0), MATCH(C$2, signals_2019_10!$C$1:$AJ$1, 0))</f>
        <v>#N/A</v>
      </c>
      <c r="H496" s="14">
        <f t="shared" si="45"/>
        <v>0</v>
      </c>
      <c r="I496" s="11">
        <f t="shared" si="46"/>
        <v>0</v>
      </c>
      <c r="J496" s="11">
        <f t="shared" ca="1" si="47"/>
        <v>0</v>
      </c>
    </row>
    <row r="497" spans="1:10" hidden="1" x14ac:dyDescent="0.35">
      <c r="A497" s="20">
        <f>INDEX(signals_2020_05!$A$2:$A$680, MATCH(B497, signals_2020_05!$B$2:$B$680, 0))</f>
        <v>327</v>
      </c>
      <c r="B497" s="2" t="str">
        <f>signals_2020_05!B487</f>
        <v>Released To Operation Time</v>
      </c>
      <c r="C497" s="9" t="str">
        <f>INDEX(signals_2020_05!$C$2:$AJ$680, MATCH($B497, signals_2020_05!$B$2:$B$680, 0), MATCH(C$2, signals_2020_05!$C$1:$AJ$1, 0))</f>
        <v>NaT</v>
      </c>
      <c r="D497" s="14">
        <f t="shared" si="42"/>
        <v>0</v>
      </c>
      <c r="E497" s="11">
        <f t="shared" si="43"/>
        <v>0</v>
      </c>
      <c r="F497" s="11">
        <f t="shared" ca="1" si="44"/>
        <v>0</v>
      </c>
      <c r="G497" s="9" t="str">
        <f>INDEX(signals_2019_10!$C$2:$AJ$682, MATCH($B497, signals_2019_10!$B$2:$B$682, 0), MATCH(C$2, signals_2019_10!$C$1:$AJ$1, 0))</f>
        <v>NaT</v>
      </c>
      <c r="H497" s="14">
        <f t="shared" si="45"/>
        <v>0</v>
      </c>
      <c r="I497" s="11">
        <f t="shared" si="46"/>
        <v>0</v>
      </c>
      <c r="J497" s="11">
        <f t="shared" ca="1" si="47"/>
        <v>0</v>
      </c>
    </row>
    <row r="498" spans="1:10" hidden="1" x14ac:dyDescent="0.35">
      <c r="A498" s="20">
        <f>INDEX(signals_2020_05!$A$2:$A$680, MATCH(B498, signals_2020_05!$B$2:$B$680, 0))</f>
        <v>1677</v>
      </c>
      <c r="B498" s="2" t="str">
        <f>signals_2020_05!B488</f>
        <v>Remote Control Possible</v>
      </c>
      <c r="C498" s="9" t="str">
        <f>INDEX(signals_2020_05!$C$2:$AJ$680, MATCH($B498, signals_2020_05!$B$2:$B$680, 0), MATCH(C$2, signals_2020_05!$C$1:$AJ$1, 0))</f>
        <v>NaT</v>
      </c>
      <c r="D498" s="14">
        <f t="shared" si="42"/>
        <v>0</v>
      </c>
      <c r="E498" s="11">
        <f t="shared" si="43"/>
        <v>0</v>
      </c>
      <c r="F498" s="11">
        <f t="shared" ca="1" si="44"/>
        <v>0</v>
      </c>
      <c r="G498" s="9" t="str">
        <f>INDEX(signals_2019_10!$C$2:$AJ$682, MATCH($B498, signals_2019_10!$B$2:$B$682, 0), MATCH(C$2, signals_2019_10!$C$1:$AJ$1, 0))</f>
        <v>NaT</v>
      </c>
      <c r="H498" s="14">
        <f t="shared" si="45"/>
        <v>0</v>
      </c>
      <c r="I498" s="11">
        <f t="shared" si="46"/>
        <v>0</v>
      </c>
      <c r="J498" s="11">
        <f t="shared" ca="1" si="47"/>
        <v>0</v>
      </c>
    </row>
    <row r="499" spans="1:10" hidden="1" x14ac:dyDescent="0.35">
      <c r="A499" s="20">
        <f>INDEX(signals_2020_05!$A$2:$A$680, MATCH(B499, signals_2020_05!$B$2:$B$680, 0))</f>
        <v>304</v>
      </c>
      <c r="B499" s="2" t="str">
        <f>signals_2020_05!B489</f>
        <v>Reset Time</v>
      </c>
      <c r="C499" s="9" t="str">
        <f>INDEX(signals_2020_05!$C$2:$AJ$680, MATCH($B499, signals_2020_05!$B$2:$B$680, 0), MATCH(C$2, signals_2020_05!$C$1:$AJ$1, 0))</f>
        <v>NaT</v>
      </c>
      <c r="D499" s="14">
        <f t="shared" si="42"/>
        <v>0</v>
      </c>
      <c r="E499" s="11">
        <f t="shared" si="43"/>
        <v>0</v>
      </c>
      <c r="F499" s="11">
        <f t="shared" ca="1" si="44"/>
        <v>0</v>
      </c>
      <c r="G499" s="9" t="str">
        <f>INDEX(signals_2019_10!$C$2:$AJ$682, MATCH($B499, signals_2019_10!$B$2:$B$682, 0), MATCH(C$2, signals_2019_10!$C$1:$AJ$1, 0))</f>
        <v>NaT</v>
      </c>
      <c r="H499" s="14">
        <f t="shared" si="45"/>
        <v>0</v>
      </c>
      <c r="I499" s="11">
        <f t="shared" si="46"/>
        <v>0</v>
      </c>
      <c r="J499" s="11">
        <f t="shared" ca="1" si="47"/>
        <v>0</v>
      </c>
    </row>
    <row r="500" spans="1:10" hidden="1" x14ac:dyDescent="0.35">
      <c r="A500" s="20">
        <f>INDEX(signals_2020_05!$A$2:$A$680, MATCH(B500, signals_2020_05!$B$2:$B$680, 0))</f>
        <v>447</v>
      </c>
      <c r="B500" s="2" t="str">
        <f>signals_2020_05!B490</f>
        <v>Rotor bearing temp</v>
      </c>
      <c r="C500" s="9" t="str">
        <f>INDEX(signals_2020_05!$C$2:$AJ$680, MATCH($B500, signals_2020_05!$B$2:$B$680, 0), MATCH(C$2, signals_2020_05!$C$1:$AJ$1, 0))</f>
        <v>NaT</v>
      </c>
      <c r="D500" s="14">
        <f t="shared" si="42"/>
        <v>0</v>
      </c>
      <c r="E500" s="11">
        <f t="shared" si="43"/>
        <v>0</v>
      </c>
      <c r="F500" s="11">
        <f t="shared" ca="1" si="44"/>
        <v>0</v>
      </c>
      <c r="G500" s="9" t="str">
        <f>INDEX(signals_2019_10!$C$2:$AJ$682, MATCH($B500, signals_2019_10!$B$2:$B$682, 0), MATCH(C$2, signals_2019_10!$C$1:$AJ$1, 0))</f>
        <v>NaT</v>
      </c>
      <c r="H500" s="14">
        <f t="shared" si="45"/>
        <v>0</v>
      </c>
      <c r="I500" s="11">
        <f t="shared" si="46"/>
        <v>0</v>
      </c>
      <c r="J500" s="11">
        <f t="shared" ca="1" si="47"/>
        <v>0</v>
      </c>
    </row>
    <row r="501" spans="1:10" hidden="1" x14ac:dyDescent="0.35">
      <c r="A501" s="20">
        <f>INDEX(signals_2020_05!$A$2:$A$680, MATCH(B501, signals_2020_05!$B$2:$B$680, 0))</f>
        <v>4183</v>
      </c>
      <c r="B501" s="2" t="str">
        <f>signals_2020_05!B491</f>
        <v>Rotor bearing temp, Max</v>
      </c>
      <c r="C501" s="9" t="str">
        <f>INDEX(signals_2020_05!$C$2:$AJ$680, MATCH($B501, signals_2020_05!$B$2:$B$680, 0), MATCH(C$2, signals_2020_05!$C$1:$AJ$1, 0))</f>
        <v>NaT</v>
      </c>
      <c r="D501" s="14">
        <f t="shared" si="42"/>
        <v>0</v>
      </c>
      <c r="E501" s="11">
        <f t="shared" si="43"/>
        <v>0</v>
      </c>
      <c r="F501" s="11">
        <f t="shared" ca="1" si="44"/>
        <v>0</v>
      </c>
      <c r="G501" s="9" t="e">
        <f>INDEX(signals_2019_10!$C$2:$AJ$682, MATCH($B501, signals_2019_10!$B$2:$B$682, 0), MATCH(C$2, signals_2019_10!$C$1:$AJ$1, 0))</f>
        <v>#N/A</v>
      </c>
      <c r="H501" s="14">
        <f t="shared" si="45"/>
        <v>0</v>
      </c>
      <c r="I501" s="11">
        <f t="shared" si="46"/>
        <v>0</v>
      </c>
      <c r="J501" s="11">
        <f t="shared" ca="1" si="47"/>
        <v>0</v>
      </c>
    </row>
    <row r="502" spans="1:10" hidden="1" x14ac:dyDescent="0.35">
      <c r="A502" s="20">
        <f>INDEX(signals_2020_05!$A$2:$A$680, MATCH(B502, signals_2020_05!$B$2:$B$680, 0))</f>
        <v>4184</v>
      </c>
      <c r="B502" s="2" t="str">
        <f>signals_2020_05!B492</f>
        <v>Rotor bearing temp, Min</v>
      </c>
      <c r="C502" s="9" t="str">
        <f>INDEX(signals_2020_05!$C$2:$AJ$680, MATCH($B502, signals_2020_05!$B$2:$B$680, 0), MATCH(C$2, signals_2020_05!$C$1:$AJ$1, 0))</f>
        <v>NaT</v>
      </c>
      <c r="D502" s="14">
        <f t="shared" si="42"/>
        <v>0</v>
      </c>
      <c r="E502" s="11">
        <f t="shared" si="43"/>
        <v>0</v>
      </c>
      <c r="F502" s="11">
        <f t="shared" ca="1" si="44"/>
        <v>0</v>
      </c>
      <c r="G502" s="9" t="e">
        <f>INDEX(signals_2019_10!$C$2:$AJ$682, MATCH($B502, signals_2019_10!$B$2:$B$682, 0), MATCH(C$2, signals_2019_10!$C$1:$AJ$1, 0))</f>
        <v>#N/A</v>
      </c>
      <c r="H502" s="14">
        <f t="shared" si="45"/>
        <v>0</v>
      </c>
      <c r="I502" s="11">
        <f t="shared" si="46"/>
        <v>0</v>
      </c>
      <c r="J502" s="11">
        <f t="shared" ca="1" si="47"/>
        <v>0</v>
      </c>
    </row>
    <row r="503" spans="1:10" hidden="1" x14ac:dyDescent="0.35">
      <c r="A503" s="20">
        <f>INDEX(signals_2020_05!$A$2:$A$680, MATCH(B503, signals_2020_05!$B$2:$B$680, 0))</f>
        <v>4185</v>
      </c>
      <c r="B503" s="2" t="str">
        <f>signals_2020_05!B493</f>
        <v>Rotor bearing temp, StdDev</v>
      </c>
      <c r="C503" s="9" t="str">
        <f>INDEX(signals_2020_05!$C$2:$AJ$680, MATCH($B503, signals_2020_05!$B$2:$B$680, 0), MATCH(C$2, signals_2020_05!$C$1:$AJ$1, 0))</f>
        <v>NaT</v>
      </c>
      <c r="D503" s="14">
        <f t="shared" si="42"/>
        <v>0</v>
      </c>
      <c r="E503" s="11">
        <f t="shared" si="43"/>
        <v>0</v>
      </c>
      <c r="F503" s="11">
        <f t="shared" ca="1" si="44"/>
        <v>0</v>
      </c>
      <c r="G503" s="9" t="e">
        <f>INDEX(signals_2019_10!$C$2:$AJ$682, MATCH($B503, signals_2019_10!$B$2:$B$682, 0), MATCH(C$2, signals_2019_10!$C$1:$AJ$1, 0))</f>
        <v>#N/A</v>
      </c>
      <c r="H503" s="14">
        <f t="shared" si="45"/>
        <v>0</v>
      </c>
      <c r="I503" s="11">
        <f t="shared" si="46"/>
        <v>0</v>
      </c>
      <c r="J503" s="11">
        <f t="shared" ca="1" si="47"/>
        <v>0</v>
      </c>
    </row>
    <row r="504" spans="1:10" hidden="1" x14ac:dyDescent="0.35">
      <c r="A504" s="20">
        <f>INDEX(signals_2020_05!$A$2:$A$680, MATCH(B504, signals_2020_05!$B$2:$B$680, 0))</f>
        <v>4189</v>
      </c>
      <c r="B504" s="2" t="str">
        <f>signals_2020_05!B494</f>
        <v>Rotor brake temp, Max</v>
      </c>
      <c r="C504" s="9" t="str">
        <f>INDEX(signals_2020_05!$C$2:$AJ$680, MATCH($B504, signals_2020_05!$B$2:$B$680, 0), MATCH(C$2, signals_2020_05!$C$1:$AJ$1, 0))</f>
        <v>NaT</v>
      </c>
      <c r="D504" s="14">
        <f t="shared" si="42"/>
        <v>0</v>
      </c>
      <c r="E504" s="11">
        <f t="shared" si="43"/>
        <v>0</v>
      </c>
      <c r="F504" s="11">
        <f t="shared" ca="1" si="44"/>
        <v>0</v>
      </c>
      <c r="G504" s="9" t="e">
        <f>INDEX(signals_2019_10!$C$2:$AJ$682, MATCH($B504, signals_2019_10!$B$2:$B$682, 0), MATCH(C$2, signals_2019_10!$C$1:$AJ$1, 0))</f>
        <v>#N/A</v>
      </c>
      <c r="H504" s="14">
        <f t="shared" si="45"/>
        <v>0</v>
      </c>
      <c r="I504" s="11">
        <f t="shared" si="46"/>
        <v>0</v>
      </c>
      <c r="J504" s="11">
        <f t="shared" ca="1" si="47"/>
        <v>0</v>
      </c>
    </row>
    <row r="505" spans="1:10" hidden="1" x14ac:dyDescent="0.35">
      <c r="A505" s="20">
        <f>INDEX(signals_2020_05!$A$2:$A$680, MATCH(B505, signals_2020_05!$B$2:$B$680, 0))</f>
        <v>4190</v>
      </c>
      <c r="B505" s="2" t="str">
        <f>signals_2020_05!B495</f>
        <v>Rotor brake temp, Min</v>
      </c>
      <c r="C505" s="9" t="str">
        <f>INDEX(signals_2020_05!$C$2:$AJ$680, MATCH($B505, signals_2020_05!$B$2:$B$680, 0), MATCH(C$2, signals_2020_05!$C$1:$AJ$1, 0))</f>
        <v>NaT</v>
      </c>
      <c r="D505" s="14">
        <f t="shared" si="42"/>
        <v>0</v>
      </c>
      <c r="E505" s="11">
        <f t="shared" si="43"/>
        <v>0</v>
      </c>
      <c r="F505" s="11">
        <f t="shared" ca="1" si="44"/>
        <v>0</v>
      </c>
      <c r="G505" s="9" t="e">
        <f>INDEX(signals_2019_10!$C$2:$AJ$682, MATCH($B505, signals_2019_10!$B$2:$B$682, 0), MATCH(C$2, signals_2019_10!$C$1:$AJ$1, 0))</f>
        <v>#N/A</v>
      </c>
      <c r="H505" s="14">
        <f t="shared" si="45"/>
        <v>0</v>
      </c>
      <c r="I505" s="11">
        <f t="shared" si="46"/>
        <v>0</v>
      </c>
      <c r="J505" s="11">
        <f t="shared" ca="1" si="47"/>
        <v>0</v>
      </c>
    </row>
    <row r="506" spans="1:10" hidden="1" x14ac:dyDescent="0.35">
      <c r="A506" s="20">
        <f>INDEX(signals_2020_05!$A$2:$A$680, MATCH(B506, signals_2020_05!$B$2:$B$680, 0))</f>
        <v>4191</v>
      </c>
      <c r="B506" s="2" t="str">
        <f>signals_2020_05!B496</f>
        <v>Rotor brake temp, StdDev</v>
      </c>
      <c r="C506" s="9" t="str">
        <f>INDEX(signals_2020_05!$C$2:$AJ$680, MATCH($B506, signals_2020_05!$B$2:$B$680, 0), MATCH(C$2, signals_2020_05!$C$1:$AJ$1, 0))</f>
        <v>NaT</v>
      </c>
      <c r="D506" s="14">
        <f t="shared" si="42"/>
        <v>0</v>
      </c>
      <c r="E506" s="11">
        <f t="shared" si="43"/>
        <v>0</v>
      </c>
      <c r="F506" s="11">
        <f t="shared" ca="1" si="44"/>
        <v>0</v>
      </c>
      <c r="G506" s="9" t="e">
        <f>INDEX(signals_2019_10!$C$2:$AJ$682, MATCH($B506, signals_2019_10!$B$2:$B$682, 0), MATCH(C$2, signals_2019_10!$C$1:$AJ$1, 0))</f>
        <v>#N/A</v>
      </c>
      <c r="H506" s="14">
        <f t="shared" si="45"/>
        <v>0</v>
      </c>
      <c r="I506" s="11">
        <f t="shared" si="46"/>
        <v>0</v>
      </c>
      <c r="J506" s="11">
        <f t="shared" ca="1" si="47"/>
        <v>0</v>
      </c>
    </row>
    <row r="507" spans="1:10" hidden="1" x14ac:dyDescent="0.35">
      <c r="A507" s="20">
        <f>INDEX(signals_2020_05!$A$2:$A$680, MATCH(B507, signals_2020_05!$B$2:$B$680, 0))</f>
        <v>423</v>
      </c>
      <c r="B507" s="2" t="str">
        <f>signals_2020_05!B497</f>
        <v>Rotor break temp</v>
      </c>
      <c r="C507" s="9" t="str">
        <f>INDEX(signals_2020_05!$C$2:$AJ$680, MATCH($B507, signals_2020_05!$B$2:$B$680, 0), MATCH(C$2, signals_2020_05!$C$1:$AJ$1, 0))</f>
        <v>NaT</v>
      </c>
      <c r="D507" s="14">
        <f t="shared" si="42"/>
        <v>0</v>
      </c>
      <c r="E507" s="11">
        <f t="shared" si="43"/>
        <v>0</v>
      </c>
      <c r="F507" s="11">
        <f t="shared" ca="1" si="44"/>
        <v>0</v>
      </c>
      <c r="G507" s="9" t="str">
        <f>INDEX(signals_2019_10!$C$2:$AJ$682, MATCH($B507, signals_2019_10!$B$2:$B$682, 0), MATCH(C$2, signals_2019_10!$C$1:$AJ$1, 0))</f>
        <v>NaT</v>
      </c>
      <c r="H507" s="14">
        <f t="shared" si="45"/>
        <v>0</v>
      </c>
      <c r="I507" s="11">
        <f t="shared" si="46"/>
        <v>0</v>
      </c>
      <c r="J507" s="11">
        <f t="shared" ca="1" si="47"/>
        <v>0</v>
      </c>
    </row>
    <row r="508" spans="1:10" hidden="1" x14ac:dyDescent="0.35">
      <c r="A508" s="20">
        <f>INDEX(signals_2020_05!$A$2:$A$680, MATCH(B508, signals_2020_05!$B$2:$B$680, 0))</f>
        <v>131</v>
      </c>
      <c r="B508" s="2" t="str">
        <f>signals_2020_05!B498</f>
        <v>Rotor inverter temperature L1</v>
      </c>
      <c r="C508" s="9" t="str">
        <f>INDEX(signals_2020_05!$C$2:$AJ$680, MATCH($B508, signals_2020_05!$B$2:$B$680, 0), MATCH(C$2, signals_2020_05!$C$1:$AJ$1, 0))</f>
        <v>NaT</v>
      </c>
      <c r="D508" s="14">
        <f t="shared" si="42"/>
        <v>0</v>
      </c>
      <c r="E508" s="11">
        <f t="shared" si="43"/>
        <v>0</v>
      </c>
      <c r="F508" s="11">
        <f t="shared" ca="1" si="44"/>
        <v>0</v>
      </c>
      <c r="G508" s="9" t="str">
        <f>INDEX(signals_2019_10!$C$2:$AJ$682, MATCH($B508, signals_2019_10!$B$2:$B$682, 0), MATCH(C$2, signals_2019_10!$C$1:$AJ$1, 0))</f>
        <v>NaT</v>
      </c>
      <c r="H508" s="14">
        <f t="shared" si="45"/>
        <v>0</v>
      </c>
      <c r="I508" s="11">
        <f t="shared" si="46"/>
        <v>0</v>
      </c>
      <c r="J508" s="11">
        <f t="shared" ca="1" si="47"/>
        <v>0</v>
      </c>
    </row>
    <row r="509" spans="1:10" hidden="1" x14ac:dyDescent="0.35">
      <c r="A509" s="20">
        <f>INDEX(signals_2020_05!$A$2:$A$680, MATCH(B509, signals_2020_05!$B$2:$B$680, 0))</f>
        <v>132</v>
      </c>
      <c r="B509" s="2" t="str">
        <f>signals_2020_05!B499</f>
        <v>Rotor inverter temperature L2</v>
      </c>
      <c r="C509" s="9" t="str">
        <f>INDEX(signals_2020_05!$C$2:$AJ$680, MATCH($B509, signals_2020_05!$B$2:$B$680, 0), MATCH(C$2, signals_2020_05!$C$1:$AJ$1, 0))</f>
        <v>NaT</v>
      </c>
      <c r="D509" s="14">
        <f t="shared" si="42"/>
        <v>0</v>
      </c>
      <c r="E509" s="11">
        <f t="shared" si="43"/>
        <v>0</v>
      </c>
      <c r="F509" s="11">
        <f t="shared" ca="1" si="44"/>
        <v>0</v>
      </c>
      <c r="G509" s="9" t="str">
        <f>INDEX(signals_2019_10!$C$2:$AJ$682, MATCH($B509, signals_2019_10!$B$2:$B$682, 0), MATCH(C$2, signals_2019_10!$C$1:$AJ$1, 0))</f>
        <v>NaT</v>
      </c>
      <c r="H509" s="14">
        <f t="shared" si="45"/>
        <v>0</v>
      </c>
      <c r="I509" s="11">
        <f t="shared" si="46"/>
        <v>0</v>
      </c>
      <c r="J509" s="11">
        <f t="shared" ca="1" si="47"/>
        <v>0</v>
      </c>
    </row>
    <row r="510" spans="1:10" hidden="1" x14ac:dyDescent="0.35">
      <c r="A510" s="20">
        <f>INDEX(signals_2020_05!$A$2:$A$680, MATCH(B510, signals_2020_05!$B$2:$B$680, 0))</f>
        <v>133</v>
      </c>
      <c r="B510" s="2" t="str">
        <f>signals_2020_05!B500</f>
        <v>Rotor inverter temperature L3</v>
      </c>
      <c r="C510" s="9" t="str">
        <f>INDEX(signals_2020_05!$C$2:$AJ$680, MATCH($B510, signals_2020_05!$B$2:$B$680, 0), MATCH(C$2, signals_2020_05!$C$1:$AJ$1, 0))</f>
        <v>NaT</v>
      </c>
      <c r="D510" s="14">
        <f t="shared" si="42"/>
        <v>0</v>
      </c>
      <c r="E510" s="11">
        <f t="shared" si="43"/>
        <v>0</v>
      </c>
      <c r="F510" s="11">
        <f t="shared" ca="1" si="44"/>
        <v>0</v>
      </c>
      <c r="G510" s="9" t="str">
        <f>INDEX(signals_2019_10!$C$2:$AJ$682, MATCH($B510, signals_2019_10!$B$2:$B$682, 0), MATCH(C$2, signals_2019_10!$C$1:$AJ$1, 0))</f>
        <v>NaT</v>
      </c>
      <c r="H510" s="14">
        <f t="shared" si="45"/>
        <v>0</v>
      </c>
      <c r="I510" s="11">
        <f t="shared" si="46"/>
        <v>0</v>
      </c>
      <c r="J510" s="11">
        <f t="shared" ca="1" si="47"/>
        <v>0</v>
      </c>
    </row>
    <row r="511" spans="1:10" x14ac:dyDescent="0.35">
      <c r="A511" s="20">
        <f>INDEX(signals_2020_05!$A$2:$A$680, MATCH(B511, signals_2020_05!$B$2:$B$680, 0))</f>
        <v>54</v>
      </c>
      <c r="B511" s="2" t="str">
        <f>signals_2020_05!B501</f>
        <v>Rotor speed</v>
      </c>
      <c r="C511" s="9">
        <f>INDEX(signals_2020_05!$C$2:$AJ$680, MATCH($B511, signals_2020_05!$B$2:$B$680, 0), MATCH(C$2, signals_2020_05!$C$1:$AJ$1, 0))</f>
        <v>43054.631944444445</v>
      </c>
      <c r="D511" s="14">
        <f t="shared" si="42"/>
        <v>1</v>
      </c>
      <c r="E511" s="11">
        <f t="shared" si="43"/>
        <v>1</v>
      </c>
      <c r="F511" s="11">
        <f t="shared" ca="1" si="44"/>
        <v>2.7</v>
      </c>
      <c r="G511" s="9">
        <f>INDEX(signals_2019_10!$C$2:$AJ$682, MATCH($B511, signals_2019_10!$B$2:$B$682, 0), MATCH(C$2, signals_2019_10!$C$1:$AJ$1, 0))</f>
        <v>43054.631944444445</v>
      </c>
      <c r="H511" s="14">
        <f t="shared" si="45"/>
        <v>1</v>
      </c>
      <c r="I511" s="11">
        <f t="shared" si="46"/>
        <v>1</v>
      </c>
      <c r="J511" s="11">
        <f t="shared" ca="1" si="47"/>
        <v>2.7</v>
      </c>
    </row>
    <row r="512" spans="1:10" hidden="1" x14ac:dyDescent="0.35">
      <c r="A512" s="20">
        <f>INDEX(signals_2020_05!$A$2:$A$680, MATCH(B512, signals_2020_05!$B$2:$B$680, 0))</f>
        <v>933</v>
      </c>
      <c r="B512" s="2" t="str">
        <f>signals_2020_05!B502</f>
        <v>Rotor speed, Max</v>
      </c>
      <c r="C512" s="9" t="str">
        <f>INDEX(signals_2020_05!$C$2:$AJ$680, MATCH($B512, signals_2020_05!$B$2:$B$680, 0), MATCH(C$2, signals_2020_05!$C$1:$AJ$1, 0))</f>
        <v>NaT</v>
      </c>
      <c r="D512" s="14">
        <f t="shared" si="42"/>
        <v>0</v>
      </c>
      <c r="E512" s="11">
        <f t="shared" si="43"/>
        <v>0</v>
      </c>
      <c r="F512" s="11">
        <f t="shared" ca="1" si="44"/>
        <v>0</v>
      </c>
      <c r="G512" s="9" t="e">
        <f>INDEX(signals_2019_10!$C$2:$AJ$682, MATCH($B512, signals_2019_10!$B$2:$B$682, 0), MATCH(C$2, signals_2019_10!$C$1:$AJ$1, 0))</f>
        <v>#N/A</v>
      </c>
      <c r="H512" s="14">
        <f t="shared" si="45"/>
        <v>0</v>
      </c>
      <c r="I512" s="11">
        <f t="shared" si="46"/>
        <v>0</v>
      </c>
      <c r="J512" s="11">
        <f t="shared" ca="1" si="47"/>
        <v>0</v>
      </c>
    </row>
    <row r="513" spans="1:10" hidden="1" x14ac:dyDescent="0.35">
      <c r="A513" s="20">
        <f>INDEX(signals_2020_05!$A$2:$A$680, MATCH(B513, signals_2020_05!$B$2:$B$680, 0))</f>
        <v>934</v>
      </c>
      <c r="B513" s="2" t="str">
        <f>signals_2020_05!B503</f>
        <v>Rotor speed, Min</v>
      </c>
      <c r="C513" s="9" t="str">
        <f>INDEX(signals_2020_05!$C$2:$AJ$680, MATCH($B513, signals_2020_05!$B$2:$B$680, 0), MATCH(C$2, signals_2020_05!$C$1:$AJ$1, 0))</f>
        <v>NaT</v>
      </c>
      <c r="D513" s="14">
        <f t="shared" si="42"/>
        <v>0</v>
      </c>
      <c r="E513" s="11">
        <f t="shared" si="43"/>
        <v>0</v>
      </c>
      <c r="F513" s="11">
        <f t="shared" ca="1" si="44"/>
        <v>0</v>
      </c>
      <c r="G513" s="9" t="e">
        <f>INDEX(signals_2019_10!$C$2:$AJ$682, MATCH($B513, signals_2019_10!$B$2:$B$682, 0), MATCH(C$2, signals_2019_10!$C$1:$AJ$1, 0))</f>
        <v>#N/A</v>
      </c>
      <c r="H513" s="14">
        <f t="shared" si="45"/>
        <v>0</v>
      </c>
      <c r="I513" s="11">
        <f t="shared" si="46"/>
        <v>0</v>
      </c>
      <c r="J513" s="11">
        <f t="shared" ca="1" si="47"/>
        <v>0</v>
      </c>
    </row>
    <row r="514" spans="1:10" hidden="1" x14ac:dyDescent="0.35">
      <c r="A514" s="20">
        <f>INDEX(signals_2020_05!$A$2:$A$680, MATCH(B514, signals_2020_05!$B$2:$B$680, 0))</f>
        <v>935</v>
      </c>
      <c r="B514" s="2" t="str">
        <f>signals_2020_05!B504</f>
        <v>Rotor speed, Standard deviation</v>
      </c>
      <c r="C514" s="9" t="str">
        <f>INDEX(signals_2020_05!$C$2:$AJ$680, MATCH($B514, signals_2020_05!$B$2:$B$680, 0), MATCH(C$2, signals_2020_05!$C$1:$AJ$1, 0))</f>
        <v>NaT</v>
      </c>
      <c r="D514" s="14">
        <f t="shared" si="42"/>
        <v>0</v>
      </c>
      <c r="E514" s="11">
        <f t="shared" si="43"/>
        <v>0</v>
      </c>
      <c r="F514" s="11">
        <f t="shared" ca="1" si="44"/>
        <v>0</v>
      </c>
      <c r="G514" s="9" t="e">
        <f>INDEX(signals_2019_10!$C$2:$AJ$682, MATCH($B514, signals_2019_10!$B$2:$B$682, 0), MATCH(C$2, signals_2019_10!$C$1:$AJ$1, 0))</f>
        <v>#N/A</v>
      </c>
      <c r="H514" s="14">
        <f t="shared" si="45"/>
        <v>0</v>
      </c>
      <c r="I514" s="11">
        <f t="shared" si="46"/>
        <v>0</v>
      </c>
      <c r="J514" s="11">
        <f t="shared" ca="1" si="47"/>
        <v>0</v>
      </c>
    </row>
    <row r="515" spans="1:10" hidden="1" x14ac:dyDescent="0.35">
      <c r="A515" s="20">
        <f>INDEX(signals_2020_05!$A$2:$A$680, MATCH(B515, signals_2020_05!$B$2:$B$680, 0))</f>
        <v>20</v>
      </c>
      <c r="B515" s="2" t="str">
        <f>signals_2020_05!B505</f>
        <v>Rotor temperature 1</v>
      </c>
      <c r="C515" s="9" t="str">
        <f>INDEX(signals_2020_05!$C$2:$AJ$680, MATCH($B515, signals_2020_05!$B$2:$B$680, 0), MATCH(C$2, signals_2020_05!$C$1:$AJ$1, 0))</f>
        <v>NaT</v>
      </c>
      <c r="D515" s="14">
        <f t="shared" si="42"/>
        <v>0</v>
      </c>
      <c r="E515" s="11">
        <f t="shared" si="43"/>
        <v>0</v>
      </c>
      <c r="F515" s="11">
        <f t="shared" ca="1" si="44"/>
        <v>0</v>
      </c>
      <c r="G515" s="9" t="str">
        <f>INDEX(signals_2019_10!$C$2:$AJ$682, MATCH($B515, signals_2019_10!$B$2:$B$682, 0), MATCH(C$2, signals_2019_10!$C$1:$AJ$1, 0))</f>
        <v>NaT</v>
      </c>
      <c r="H515" s="14">
        <f t="shared" si="45"/>
        <v>0</v>
      </c>
      <c r="I515" s="11">
        <f t="shared" si="46"/>
        <v>0</v>
      </c>
      <c r="J515" s="11">
        <f t="shared" ca="1" si="47"/>
        <v>0</v>
      </c>
    </row>
    <row r="516" spans="1:10" hidden="1" x14ac:dyDescent="0.35">
      <c r="A516" s="20">
        <f>INDEX(signals_2020_05!$A$2:$A$680, MATCH(B516, signals_2020_05!$B$2:$B$680, 0))</f>
        <v>4360</v>
      </c>
      <c r="B516" s="2" t="str">
        <f>signals_2020_05!B506</f>
        <v>Rotor temperature 1, Max</v>
      </c>
      <c r="C516" s="9" t="str">
        <f>INDEX(signals_2020_05!$C$2:$AJ$680, MATCH($B516, signals_2020_05!$B$2:$B$680, 0), MATCH(C$2, signals_2020_05!$C$1:$AJ$1, 0))</f>
        <v>NaT</v>
      </c>
      <c r="D516" s="14">
        <f t="shared" si="42"/>
        <v>0</v>
      </c>
      <c r="E516" s="11">
        <f t="shared" si="43"/>
        <v>0</v>
      </c>
      <c r="F516" s="11">
        <f t="shared" ca="1" si="44"/>
        <v>0</v>
      </c>
      <c r="G516" s="9" t="e">
        <f>INDEX(signals_2019_10!$C$2:$AJ$682, MATCH($B516, signals_2019_10!$B$2:$B$682, 0), MATCH(C$2, signals_2019_10!$C$1:$AJ$1, 0))</f>
        <v>#N/A</v>
      </c>
      <c r="H516" s="14">
        <f t="shared" si="45"/>
        <v>0</v>
      </c>
      <c r="I516" s="11">
        <f t="shared" si="46"/>
        <v>0</v>
      </c>
      <c r="J516" s="11">
        <f t="shared" ca="1" si="47"/>
        <v>0</v>
      </c>
    </row>
    <row r="517" spans="1:10" hidden="1" x14ac:dyDescent="0.35">
      <c r="A517" s="20">
        <f>INDEX(signals_2020_05!$A$2:$A$680, MATCH(B517, signals_2020_05!$B$2:$B$680, 0))</f>
        <v>4361</v>
      </c>
      <c r="B517" s="2" t="str">
        <f>signals_2020_05!B507</f>
        <v>Rotor temperature 1, Min</v>
      </c>
      <c r="C517" s="9" t="str">
        <f>INDEX(signals_2020_05!$C$2:$AJ$680, MATCH($B517, signals_2020_05!$B$2:$B$680, 0), MATCH(C$2, signals_2020_05!$C$1:$AJ$1, 0))</f>
        <v>NaT</v>
      </c>
      <c r="D517" s="14">
        <f t="shared" si="42"/>
        <v>0</v>
      </c>
      <c r="E517" s="11">
        <f t="shared" si="43"/>
        <v>0</v>
      </c>
      <c r="F517" s="11">
        <f t="shared" ca="1" si="44"/>
        <v>0</v>
      </c>
      <c r="G517" s="9" t="e">
        <f>INDEX(signals_2019_10!$C$2:$AJ$682, MATCH($B517, signals_2019_10!$B$2:$B$682, 0), MATCH(C$2, signals_2019_10!$C$1:$AJ$1, 0))</f>
        <v>#N/A</v>
      </c>
      <c r="H517" s="14">
        <f t="shared" si="45"/>
        <v>0</v>
      </c>
      <c r="I517" s="11">
        <f t="shared" si="46"/>
        <v>0</v>
      </c>
      <c r="J517" s="11">
        <f t="shared" ca="1" si="47"/>
        <v>0</v>
      </c>
    </row>
    <row r="518" spans="1:10" hidden="1" x14ac:dyDescent="0.35">
      <c r="A518" s="20">
        <f>INDEX(signals_2020_05!$A$2:$A$680, MATCH(B518, signals_2020_05!$B$2:$B$680, 0))</f>
        <v>4362</v>
      </c>
      <c r="B518" s="2" t="str">
        <f>signals_2020_05!B508</f>
        <v>Rotor temperature 1, StdDev</v>
      </c>
      <c r="C518" s="9" t="str">
        <f>INDEX(signals_2020_05!$C$2:$AJ$680, MATCH($B518, signals_2020_05!$B$2:$B$680, 0), MATCH(C$2, signals_2020_05!$C$1:$AJ$1, 0))</f>
        <v>NaT</v>
      </c>
      <c r="D518" s="14">
        <f t="shared" si="42"/>
        <v>0</v>
      </c>
      <c r="E518" s="11">
        <f t="shared" si="43"/>
        <v>0</v>
      </c>
      <c r="F518" s="11">
        <f t="shared" ca="1" si="44"/>
        <v>0</v>
      </c>
      <c r="G518" s="9" t="e">
        <f>INDEX(signals_2019_10!$C$2:$AJ$682, MATCH($B518, signals_2019_10!$B$2:$B$682, 0), MATCH(C$2, signals_2019_10!$C$1:$AJ$1, 0))</f>
        <v>#N/A</v>
      </c>
      <c r="H518" s="14">
        <f t="shared" si="45"/>
        <v>0</v>
      </c>
      <c r="I518" s="11">
        <f t="shared" si="46"/>
        <v>0</v>
      </c>
      <c r="J518" s="11">
        <f t="shared" ca="1" si="47"/>
        <v>0</v>
      </c>
    </row>
    <row r="519" spans="1:10" hidden="1" x14ac:dyDescent="0.35">
      <c r="A519" s="20">
        <f>INDEX(signals_2020_05!$A$2:$A$680, MATCH(B519, signals_2020_05!$B$2:$B$680, 0))</f>
        <v>21</v>
      </c>
      <c r="B519" s="2" t="str">
        <f>signals_2020_05!B509</f>
        <v>Rotor temperature 2</v>
      </c>
      <c r="C519" s="9" t="str">
        <f>INDEX(signals_2020_05!$C$2:$AJ$680, MATCH($B519, signals_2020_05!$B$2:$B$680, 0), MATCH(C$2, signals_2020_05!$C$1:$AJ$1, 0))</f>
        <v>NaT</v>
      </c>
      <c r="D519" s="14">
        <f t="shared" si="42"/>
        <v>0</v>
      </c>
      <c r="E519" s="11">
        <f t="shared" si="43"/>
        <v>0</v>
      </c>
      <c r="F519" s="11">
        <f t="shared" ca="1" si="44"/>
        <v>0</v>
      </c>
      <c r="G519" s="9" t="str">
        <f>INDEX(signals_2019_10!$C$2:$AJ$682, MATCH($B519, signals_2019_10!$B$2:$B$682, 0), MATCH(C$2, signals_2019_10!$C$1:$AJ$1, 0))</f>
        <v>NaT</v>
      </c>
      <c r="H519" s="14">
        <f t="shared" si="45"/>
        <v>0</v>
      </c>
      <c r="I519" s="11">
        <f t="shared" si="46"/>
        <v>0</v>
      </c>
      <c r="J519" s="11">
        <f t="shared" ca="1" si="47"/>
        <v>0</v>
      </c>
    </row>
    <row r="520" spans="1:10" hidden="1" x14ac:dyDescent="0.35">
      <c r="A520" s="20">
        <f>INDEX(signals_2020_05!$A$2:$A$680, MATCH(B520, signals_2020_05!$B$2:$B$680, 0))</f>
        <v>4363</v>
      </c>
      <c r="B520" s="2" t="str">
        <f>signals_2020_05!B510</f>
        <v>Rotor temperature 2, Max</v>
      </c>
      <c r="C520" s="9" t="str">
        <f>INDEX(signals_2020_05!$C$2:$AJ$680, MATCH($B520, signals_2020_05!$B$2:$B$680, 0), MATCH(C$2, signals_2020_05!$C$1:$AJ$1, 0))</f>
        <v>NaT</v>
      </c>
      <c r="D520" s="14">
        <f t="shared" si="42"/>
        <v>0</v>
      </c>
      <c r="E520" s="11">
        <f t="shared" si="43"/>
        <v>0</v>
      </c>
      <c r="F520" s="11">
        <f t="shared" ca="1" si="44"/>
        <v>0</v>
      </c>
      <c r="G520" s="9" t="e">
        <f>INDEX(signals_2019_10!$C$2:$AJ$682, MATCH($B520, signals_2019_10!$B$2:$B$682, 0), MATCH(C$2, signals_2019_10!$C$1:$AJ$1, 0))</f>
        <v>#N/A</v>
      </c>
      <c r="H520" s="14">
        <f t="shared" si="45"/>
        <v>0</v>
      </c>
      <c r="I520" s="11">
        <f t="shared" si="46"/>
        <v>0</v>
      </c>
      <c r="J520" s="11">
        <f t="shared" ca="1" si="47"/>
        <v>0</v>
      </c>
    </row>
    <row r="521" spans="1:10" hidden="1" x14ac:dyDescent="0.35">
      <c r="A521" s="20">
        <f>INDEX(signals_2020_05!$A$2:$A$680, MATCH(B521, signals_2020_05!$B$2:$B$680, 0))</f>
        <v>4364</v>
      </c>
      <c r="B521" s="2" t="str">
        <f>signals_2020_05!B511</f>
        <v>Rotor temperature 2, Min</v>
      </c>
      <c r="C521" s="9" t="str">
        <f>INDEX(signals_2020_05!$C$2:$AJ$680, MATCH($B521, signals_2020_05!$B$2:$B$680, 0), MATCH(C$2, signals_2020_05!$C$1:$AJ$1, 0))</f>
        <v>NaT</v>
      </c>
      <c r="D521" s="14">
        <f t="shared" si="42"/>
        <v>0</v>
      </c>
      <c r="E521" s="11">
        <f t="shared" si="43"/>
        <v>0</v>
      </c>
      <c r="F521" s="11">
        <f t="shared" ca="1" si="44"/>
        <v>0</v>
      </c>
      <c r="G521" s="9" t="e">
        <f>INDEX(signals_2019_10!$C$2:$AJ$682, MATCH($B521, signals_2019_10!$B$2:$B$682, 0), MATCH(C$2, signals_2019_10!$C$1:$AJ$1, 0))</f>
        <v>#N/A</v>
      </c>
      <c r="H521" s="14">
        <f t="shared" si="45"/>
        <v>0</v>
      </c>
      <c r="I521" s="11">
        <f t="shared" si="46"/>
        <v>0</v>
      </c>
      <c r="J521" s="11">
        <f t="shared" ca="1" si="47"/>
        <v>0</v>
      </c>
    </row>
    <row r="522" spans="1:10" hidden="1" x14ac:dyDescent="0.35">
      <c r="A522" s="20">
        <f>INDEX(signals_2020_05!$A$2:$A$680, MATCH(B522, signals_2020_05!$B$2:$B$680, 0))</f>
        <v>4365</v>
      </c>
      <c r="B522" s="2" t="str">
        <f>signals_2020_05!B512</f>
        <v>Rotor temperature 2, StdDev</v>
      </c>
      <c r="C522" s="9" t="str">
        <f>INDEX(signals_2020_05!$C$2:$AJ$680, MATCH($B522, signals_2020_05!$B$2:$B$680, 0), MATCH(C$2, signals_2020_05!$C$1:$AJ$1, 0))</f>
        <v>NaT</v>
      </c>
      <c r="D522" s="14">
        <f t="shared" si="42"/>
        <v>0</v>
      </c>
      <c r="E522" s="11">
        <f t="shared" si="43"/>
        <v>0</v>
      </c>
      <c r="F522" s="11">
        <f t="shared" ca="1" si="44"/>
        <v>0</v>
      </c>
      <c r="G522" s="9" t="e">
        <f>INDEX(signals_2019_10!$C$2:$AJ$682, MATCH($B522, signals_2019_10!$B$2:$B$682, 0), MATCH(C$2, signals_2019_10!$C$1:$AJ$1, 0))</f>
        <v>#N/A</v>
      </c>
      <c r="H522" s="14">
        <f t="shared" si="45"/>
        <v>0</v>
      </c>
      <c r="I522" s="11">
        <f t="shared" si="46"/>
        <v>0</v>
      </c>
      <c r="J522" s="11">
        <f t="shared" ca="1" si="47"/>
        <v>0</v>
      </c>
    </row>
    <row r="523" spans="1:10" hidden="1" x14ac:dyDescent="0.35">
      <c r="A523" s="20">
        <f>INDEX(signals_2020_05!$A$2:$A$680, MATCH(B523, signals_2020_05!$B$2:$B$680, 0))</f>
        <v>307</v>
      </c>
      <c r="B523" s="2" t="str">
        <f>signals_2020_05!B513</f>
        <v>Service state</v>
      </c>
      <c r="C523" s="9" t="str">
        <f>INDEX(signals_2020_05!$C$2:$AJ$680, MATCH($B523, signals_2020_05!$B$2:$B$680, 0), MATCH(C$2, signals_2020_05!$C$1:$AJ$1, 0))</f>
        <v>NaT</v>
      </c>
      <c r="D523" s="14">
        <f t="shared" si="42"/>
        <v>0</v>
      </c>
      <c r="E523" s="11">
        <f t="shared" si="43"/>
        <v>0</v>
      </c>
      <c r="F523" s="11">
        <f t="shared" ca="1" si="44"/>
        <v>0</v>
      </c>
      <c r="G523" s="9" t="str">
        <f>INDEX(signals_2019_10!$C$2:$AJ$682, MATCH($B523, signals_2019_10!$B$2:$B$682, 0), MATCH(C$2, signals_2019_10!$C$1:$AJ$1, 0))</f>
        <v>NaT</v>
      </c>
      <c r="H523" s="14">
        <f t="shared" si="45"/>
        <v>0</v>
      </c>
      <c r="I523" s="11">
        <f t="shared" si="46"/>
        <v>0</v>
      </c>
      <c r="J523" s="11">
        <f t="shared" ca="1" si="47"/>
        <v>0</v>
      </c>
    </row>
    <row r="524" spans="1:10" hidden="1" x14ac:dyDescent="0.35">
      <c r="A524" s="20">
        <f>INDEX(signals_2020_05!$A$2:$A$680, MATCH(B524, signals_2020_05!$B$2:$B$680, 0))</f>
        <v>202</v>
      </c>
      <c r="B524" s="2" t="str">
        <f>signals_2020_05!B514</f>
        <v>Spinner slip ring temperature</v>
      </c>
      <c r="C524" s="9" t="str">
        <f>INDEX(signals_2020_05!$C$2:$AJ$680, MATCH($B524, signals_2020_05!$B$2:$B$680, 0), MATCH(C$2, signals_2020_05!$C$1:$AJ$1, 0))</f>
        <v>NaT</v>
      </c>
      <c r="D524" s="14">
        <f t="shared" si="42"/>
        <v>0</v>
      </c>
      <c r="E524" s="11">
        <f t="shared" si="43"/>
        <v>0</v>
      </c>
      <c r="F524" s="11">
        <f t="shared" ca="1" si="44"/>
        <v>0</v>
      </c>
      <c r="G524" s="9" t="str">
        <f>INDEX(signals_2019_10!$C$2:$AJ$682, MATCH($B524, signals_2019_10!$B$2:$B$682, 0), MATCH(C$2, signals_2019_10!$C$1:$AJ$1, 0))</f>
        <v>NaT</v>
      </c>
      <c r="H524" s="14">
        <f t="shared" si="45"/>
        <v>0</v>
      </c>
      <c r="I524" s="11">
        <f t="shared" si="46"/>
        <v>0</v>
      </c>
      <c r="J524" s="11">
        <f t="shared" ca="1" si="47"/>
        <v>0</v>
      </c>
    </row>
    <row r="525" spans="1:10" hidden="1" x14ac:dyDescent="0.35">
      <c r="A525" s="20">
        <f>INDEX(signals_2020_05!$A$2:$A$680, MATCH(B525, signals_2020_05!$B$2:$B$680, 0))</f>
        <v>8</v>
      </c>
      <c r="B525" s="2" t="str">
        <f>signals_2020_05!B515</f>
        <v>Spinner temperature</v>
      </c>
      <c r="C525" s="9" t="str">
        <f>INDEX(signals_2020_05!$C$2:$AJ$680, MATCH($B525, signals_2020_05!$B$2:$B$680, 0), MATCH(C$2, signals_2020_05!$C$1:$AJ$1, 0))</f>
        <v>NaT</v>
      </c>
      <c r="D525" s="14">
        <f t="shared" ref="D525:D588" si="48">IF(ISERROR(C525), 0, IF(C525="NaT", 0, 1))</f>
        <v>0</v>
      </c>
      <c r="E525" s="11">
        <f t="shared" ref="E525:E588" si="49">IF(D525, IF(FLOOR($C525, 1) = FLOOR($C$5, 1), 1, 0), 0)</f>
        <v>0</v>
      </c>
      <c r="F525" s="11">
        <f t="shared" ref="F525:F588" ca="1" si="50">IF(ISERROR(C525), 0, IF(C525="NaT", 0,ROUND(((NOW()-C525)/365.25)*10, 0)/10))</f>
        <v>0</v>
      </c>
      <c r="G525" s="9" t="str">
        <f>INDEX(signals_2019_10!$C$2:$AJ$682, MATCH($B525, signals_2019_10!$B$2:$B$682, 0), MATCH(C$2, signals_2019_10!$C$1:$AJ$1, 0))</f>
        <v>NaT</v>
      </c>
      <c r="H525" s="14">
        <f t="shared" ref="H525:H588" si="51">IF(ISERROR(G525), 0, IF(G525="NaT", 0, 1))</f>
        <v>0</v>
      </c>
      <c r="I525" s="11">
        <f t="shared" ref="I525:I588" si="52">IF(H525, IF(FLOOR($C525, 1) = FLOOR($C$5, 1), 1, 0), 0)</f>
        <v>0</v>
      </c>
      <c r="J525" s="11">
        <f t="shared" ref="J525:J588" ca="1" si="53">IF(ISERROR(G525), 0, IF(G525="NaT", 0,ROUND(((NOW()-G525)/365.25)*10, 0)/10))</f>
        <v>0</v>
      </c>
    </row>
    <row r="526" spans="1:10" hidden="1" x14ac:dyDescent="0.35">
      <c r="A526" s="20">
        <f>INDEX(signals_2020_05!$A$2:$A$680, MATCH(B526, signals_2020_05!$B$2:$B$680, 0))</f>
        <v>3731</v>
      </c>
      <c r="B526" s="2" t="str">
        <f>signals_2020_05!B516</f>
        <v>Spinner temperature, Max</v>
      </c>
      <c r="C526" s="9" t="str">
        <f>INDEX(signals_2020_05!$C$2:$AJ$680, MATCH($B526, signals_2020_05!$B$2:$B$680, 0), MATCH(C$2, signals_2020_05!$C$1:$AJ$1, 0))</f>
        <v>NaT</v>
      </c>
      <c r="D526" s="14">
        <f t="shared" si="48"/>
        <v>0</v>
      </c>
      <c r="E526" s="11">
        <f t="shared" si="49"/>
        <v>0</v>
      </c>
      <c r="F526" s="11">
        <f t="shared" ca="1" si="50"/>
        <v>0</v>
      </c>
      <c r="G526" s="9" t="e">
        <f>INDEX(signals_2019_10!$C$2:$AJ$682, MATCH($B526, signals_2019_10!$B$2:$B$682, 0), MATCH(C$2, signals_2019_10!$C$1:$AJ$1, 0))</f>
        <v>#N/A</v>
      </c>
      <c r="H526" s="14">
        <f t="shared" si="51"/>
        <v>0</v>
      </c>
      <c r="I526" s="11">
        <f t="shared" si="52"/>
        <v>0</v>
      </c>
      <c r="J526" s="11">
        <f t="shared" ca="1" si="53"/>
        <v>0</v>
      </c>
    </row>
    <row r="527" spans="1:10" hidden="1" x14ac:dyDescent="0.35">
      <c r="A527" s="20">
        <f>INDEX(signals_2020_05!$A$2:$A$680, MATCH(B527, signals_2020_05!$B$2:$B$680, 0))</f>
        <v>3730</v>
      </c>
      <c r="B527" s="2" t="str">
        <f>signals_2020_05!B517</f>
        <v>Spinner temperature, Min</v>
      </c>
      <c r="C527" s="9" t="str">
        <f>INDEX(signals_2020_05!$C$2:$AJ$680, MATCH($B527, signals_2020_05!$B$2:$B$680, 0), MATCH(C$2, signals_2020_05!$C$1:$AJ$1, 0))</f>
        <v>NaT</v>
      </c>
      <c r="D527" s="14">
        <f t="shared" si="48"/>
        <v>0</v>
      </c>
      <c r="E527" s="11">
        <f t="shared" si="49"/>
        <v>0</v>
      </c>
      <c r="F527" s="11">
        <f t="shared" ca="1" si="50"/>
        <v>0</v>
      </c>
      <c r="G527" s="9" t="e">
        <f>INDEX(signals_2019_10!$C$2:$AJ$682, MATCH($B527, signals_2019_10!$B$2:$B$682, 0), MATCH(C$2, signals_2019_10!$C$1:$AJ$1, 0))</f>
        <v>#N/A</v>
      </c>
      <c r="H527" s="14">
        <f t="shared" si="51"/>
        <v>0</v>
      </c>
      <c r="I527" s="11">
        <f t="shared" si="52"/>
        <v>0</v>
      </c>
      <c r="J527" s="11">
        <f t="shared" ca="1" si="53"/>
        <v>0</v>
      </c>
    </row>
    <row r="528" spans="1:10" hidden="1" x14ac:dyDescent="0.35">
      <c r="A528" s="20">
        <f>INDEX(signals_2020_05!$A$2:$A$680, MATCH(B528, signals_2020_05!$B$2:$B$680, 0))</f>
        <v>3732</v>
      </c>
      <c r="B528" s="2" t="str">
        <f>signals_2020_05!B518</f>
        <v>Spinner temperature, Standard deviation</v>
      </c>
      <c r="C528" s="9" t="str">
        <f>INDEX(signals_2020_05!$C$2:$AJ$680, MATCH($B528, signals_2020_05!$B$2:$B$680, 0), MATCH(C$2, signals_2020_05!$C$1:$AJ$1, 0))</f>
        <v>NaT</v>
      </c>
      <c r="D528" s="14">
        <f t="shared" si="48"/>
        <v>0</v>
      </c>
      <c r="E528" s="11">
        <f t="shared" si="49"/>
        <v>0</v>
      </c>
      <c r="F528" s="11">
        <f t="shared" ca="1" si="50"/>
        <v>0</v>
      </c>
      <c r="G528" s="9" t="e">
        <f>INDEX(signals_2019_10!$C$2:$AJ$682, MATCH($B528, signals_2019_10!$B$2:$B$682, 0), MATCH(C$2, signals_2019_10!$C$1:$AJ$1, 0))</f>
        <v>#N/A</v>
      </c>
      <c r="H528" s="14">
        <f t="shared" si="51"/>
        <v>0</v>
      </c>
      <c r="I528" s="11">
        <f t="shared" si="52"/>
        <v>0</v>
      </c>
      <c r="J528" s="11">
        <f t="shared" ca="1" si="53"/>
        <v>0</v>
      </c>
    </row>
    <row r="529" spans="1:10" hidden="1" x14ac:dyDescent="0.35">
      <c r="A529" s="20">
        <f>INDEX(signals_2020_05!$A$2:$A$680, MATCH(B529, signals_2020_05!$B$2:$B$680, 0))</f>
        <v>22</v>
      </c>
      <c r="B529" s="2" t="str">
        <f>signals_2020_05!B519</f>
        <v>Stator temperature 1</v>
      </c>
      <c r="C529" s="9" t="str">
        <f>INDEX(signals_2020_05!$C$2:$AJ$680, MATCH($B529, signals_2020_05!$B$2:$B$680, 0), MATCH(C$2, signals_2020_05!$C$1:$AJ$1, 0))</f>
        <v>NaT</v>
      </c>
      <c r="D529" s="14">
        <f t="shared" si="48"/>
        <v>0</v>
      </c>
      <c r="E529" s="11">
        <f t="shared" si="49"/>
        <v>0</v>
      </c>
      <c r="F529" s="11">
        <f t="shared" ca="1" si="50"/>
        <v>0</v>
      </c>
      <c r="G529" s="9" t="str">
        <f>INDEX(signals_2019_10!$C$2:$AJ$682, MATCH($B529, signals_2019_10!$B$2:$B$682, 0), MATCH(C$2, signals_2019_10!$C$1:$AJ$1, 0))</f>
        <v>NaT</v>
      </c>
      <c r="H529" s="14">
        <f t="shared" si="51"/>
        <v>0</v>
      </c>
      <c r="I529" s="11">
        <f t="shared" si="52"/>
        <v>0</v>
      </c>
      <c r="J529" s="11">
        <f t="shared" ca="1" si="53"/>
        <v>0</v>
      </c>
    </row>
    <row r="530" spans="1:10" hidden="1" x14ac:dyDescent="0.35">
      <c r="A530" s="20">
        <f>INDEX(signals_2020_05!$A$2:$A$680, MATCH(B530, signals_2020_05!$B$2:$B$680, 0))</f>
        <v>4248</v>
      </c>
      <c r="B530" s="2" t="str">
        <f>signals_2020_05!B520</f>
        <v>Stator temperature 1, Max</v>
      </c>
      <c r="C530" s="9" t="str">
        <f>INDEX(signals_2020_05!$C$2:$AJ$680, MATCH($B530, signals_2020_05!$B$2:$B$680, 0), MATCH(C$2, signals_2020_05!$C$1:$AJ$1, 0))</f>
        <v>NaT</v>
      </c>
      <c r="D530" s="14">
        <f t="shared" si="48"/>
        <v>0</v>
      </c>
      <c r="E530" s="11">
        <f t="shared" si="49"/>
        <v>0</v>
      </c>
      <c r="F530" s="11">
        <f t="shared" ca="1" si="50"/>
        <v>0</v>
      </c>
      <c r="G530" s="9" t="e">
        <f>INDEX(signals_2019_10!$C$2:$AJ$682, MATCH($B530, signals_2019_10!$B$2:$B$682, 0), MATCH(C$2, signals_2019_10!$C$1:$AJ$1, 0))</f>
        <v>#N/A</v>
      </c>
      <c r="H530" s="14">
        <f t="shared" si="51"/>
        <v>0</v>
      </c>
      <c r="I530" s="11">
        <f t="shared" si="52"/>
        <v>0</v>
      </c>
      <c r="J530" s="11">
        <f t="shared" ca="1" si="53"/>
        <v>0</v>
      </c>
    </row>
    <row r="531" spans="1:10" hidden="1" x14ac:dyDescent="0.35">
      <c r="A531" s="20">
        <f>INDEX(signals_2020_05!$A$2:$A$680, MATCH(B531, signals_2020_05!$B$2:$B$680, 0))</f>
        <v>4249</v>
      </c>
      <c r="B531" s="2" t="str">
        <f>signals_2020_05!B521</f>
        <v>Stator temperature 1, Min</v>
      </c>
      <c r="C531" s="9" t="str">
        <f>INDEX(signals_2020_05!$C$2:$AJ$680, MATCH($B531, signals_2020_05!$B$2:$B$680, 0), MATCH(C$2, signals_2020_05!$C$1:$AJ$1, 0))</f>
        <v>NaT</v>
      </c>
      <c r="D531" s="14">
        <f t="shared" si="48"/>
        <v>0</v>
      </c>
      <c r="E531" s="11">
        <f t="shared" si="49"/>
        <v>0</v>
      </c>
      <c r="F531" s="11">
        <f t="shared" ca="1" si="50"/>
        <v>0</v>
      </c>
      <c r="G531" s="9" t="e">
        <f>INDEX(signals_2019_10!$C$2:$AJ$682, MATCH($B531, signals_2019_10!$B$2:$B$682, 0), MATCH(C$2, signals_2019_10!$C$1:$AJ$1, 0))</f>
        <v>#N/A</v>
      </c>
      <c r="H531" s="14">
        <f t="shared" si="51"/>
        <v>0</v>
      </c>
      <c r="I531" s="11">
        <f t="shared" si="52"/>
        <v>0</v>
      </c>
      <c r="J531" s="11">
        <f t="shared" ca="1" si="53"/>
        <v>0</v>
      </c>
    </row>
    <row r="532" spans="1:10" hidden="1" x14ac:dyDescent="0.35">
      <c r="A532" s="20">
        <f>INDEX(signals_2020_05!$A$2:$A$680, MATCH(B532, signals_2020_05!$B$2:$B$680, 0))</f>
        <v>4250</v>
      </c>
      <c r="B532" s="2" t="str">
        <f>signals_2020_05!B522</f>
        <v>Stator temperature 1, StdDev</v>
      </c>
      <c r="C532" s="9" t="str">
        <f>INDEX(signals_2020_05!$C$2:$AJ$680, MATCH($B532, signals_2020_05!$B$2:$B$680, 0), MATCH(C$2, signals_2020_05!$C$1:$AJ$1, 0))</f>
        <v>NaT</v>
      </c>
      <c r="D532" s="14">
        <f t="shared" si="48"/>
        <v>0</v>
      </c>
      <c r="E532" s="11">
        <f t="shared" si="49"/>
        <v>0</v>
      </c>
      <c r="F532" s="11">
        <f t="shared" ca="1" si="50"/>
        <v>0</v>
      </c>
      <c r="G532" s="9" t="e">
        <f>INDEX(signals_2019_10!$C$2:$AJ$682, MATCH($B532, signals_2019_10!$B$2:$B$682, 0), MATCH(C$2, signals_2019_10!$C$1:$AJ$1, 0))</f>
        <v>#N/A</v>
      </c>
      <c r="H532" s="14">
        <f t="shared" si="51"/>
        <v>0</v>
      </c>
      <c r="I532" s="11">
        <f t="shared" si="52"/>
        <v>0</v>
      </c>
      <c r="J532" s="11">
        <f t="shared" ca="1" si="53"/>
        <v>0</v>
      </c>
    </row>
    <row r="533" spans="1:10" hidden="1" x14ac:dyDescent="0.35">
      <c r="A533" s="20">
        <f>INDEX(signals_2020_05!$A$2:$A$680, MATCH(B533, signals_2020_05!$B$2:$B$680, 0))</f>
        <v>23</v>
      </c>
      <c r="B533" s="2" t="str">
        <f>signals_2020_05!B523</f>
        <v>Stator temperature 2</v>
      </c>
      <c r="C533" s="9" t="str">
        <f>INDEX(signals_2020_05!$C$2:$AJ$680, MATCH($B533, signals_2020_05!$B$2:$B$680, 0), MATCH(C$2, signals_2020_05!$C$1:$AJ$1, 0))</f>
        <v>NaT</v>
      </c>
      <c r="D533" s="14">
        <f t="shared" si="48"/>
        <v>0</v>
      </c>
      <c r="E533" s="11">
        <f t="shared" si="49"/>
        <v>0</v>
      </c>
      <c r="F533" s="11">
        <f t="shared" ca="1" si="50"/>
        <v>0</v>
      </c>
      <c r="G533" s="9" t="str">
        <f>INDEX(signals_2019_10!$C$2:$AJ$682, MATCH($B533, signals_2019_10!$B$2:$B$682, 0), MATCH(C$2, signals_2019_10!$C$1:$AJ$1, 0))</f>
        <v>NaT</v>
      </c>
      <c r="H533" s="14">
        <f t="shared" si="51"/>
        <v>0</v>
      </c>
      <c r="I533" s="11">
        <f t="shared" si="52"/>
        <v>0</v>
      </c>
      <c r="J533" s="11">
        <f t="shared" ca="1" si="53"/>
        <v>0</v>
      </c>
    </row>
    <row r="534" spans="1:10" hidden="1" x14ac:dyDescent="0.35">
      <c r="A534" s="20">
        <f>INDEX(signals_2020_05!$A$2:$A$680, MATCH(B534, signals_2020_05!$B$2:$B$680, 0))</f>
        <v>4251</v>
      </c>
      <c r="B534" s="2" t="str">
        <f>signals_2020_05!B524</f>
        <v>Stator temperature 2, Max</v>
      </c>
      <c r="C534" s="9" t="str">
        <f>INDEX(signals_2020_05!$C$2:$AJ$680, MATCH($B534, signals_2020_05!$B$2:$B$680, 0), MATCH(C$2, signals_2020_05!$C$1:$AJ$1, 0))</f>
        <v>NaT</v>
      </c>
      <c r="D534" s="14">
        <f t="shared" si="48"/>
        <v>0</v>
      </c>
      <c r="E534" s="11">
        <f t="shared" si="49"/>
        <v>0</v>
      </c>
      <c r="F534" s="11">
        <f t="shared" ca="1" si="50"/>
        <v>0</v>
      </c>
      <c r="G534" s="9" t="e">
        <f>INDEX(signals_2019_10!$C$2:$AJ$682, MATCH($B534, signals_2019_10!$B$2:$B$682, 0), MATCH(C$2, signals_2019_10!$C$1:$AJ$1, 0))</f>
        <v>#N/A</v>
      </c>
      <c r="H534" s="14">
        <f t="shared" si="51"/>
        <v>0</v>
      </c>
      <c r="I534" s="11">
        <f t="shared" si="52"/>
        <v>0</v>
      </c>
      <c r="J534" s="11">
        <f t="shared" ca="1" si="53"/>
        <v>0</v>
      </c>
    </row>
    <row r="535" spans="1:10" hidden="1" x14ac:dyDescent="0.35">
      <c r="A535" s="20">
        <f>INDEX(signals_2020_05!$A$2:$A$680, MATCH(B535, signals_2020_05!$B$2:$B$680, 0))</f>
        <v>4252</v>
      </c>
      <c r="B535" s="2" t="str">
        <f>signals_2020_05!B525</f>
        <v>Stator temperature 2, Min</v>
      </c>
      <c r="C535" s="9" t="str">
        <f>INDEX(signals_2020_05!$C$2:$AJ$680, MATCH($B535, signals_2020_05!$B$2:$B$680, 0), MATCH(C$2, signals_2020_05!$C$1:$AJ$1, 0))</f>
        <v>NaT</v>
      </c>
      <c r="D535" s="14">
        <f t="shared" si="48"/>
        <v>0</v>
      </c>
      <c r="E535" s="11">
        <f t="shared" si="49"/>
        <v>0</v>
      </c>
      <c r="F535" s="11">
        <f t="shared" ca="1" si="50"/>
        <v>0</v>
      </c>
      <c r="G535" s="9" t="e">
        <f>INDEX(signals_2019_10!$C$2:$AJ$682, MATCH($B535, signals_2019_10!$B$2:$B$682, 0), MATCH(C$2, signals_2019_10!$C$1:$AJ$1, 0))</f>
        <v>#N/A</v>
      </c>
      <c r="H535" s="14">
        <f t="shared" si="51"/>
        <v>0</v>
      </c>
      <c r="I535" s="11">
        <f t="shared" si="52"/>
        <v>0</v>
      </c>
      <c r="J535" s="11">
        <f t="shared" ca="1" si="53"/>
        <v>0</v>
      </c>
    </row>
    <row r="536" spans="1:10" hidden="1" x14ac:dyDescent="0.35">
      <c r="A536" s="20">
        <f>INDEX(signals_2020_05!$A$2:$A$680, MATCH(B536, signals_2020_05!$B$2:$B$680, 0))</f>
        <v>4253</v>
      </c>
      <c r="B536" s="2" t="str">
        <f>signals_2020_05!B526</f>
        <v>Stator temperature 2, StdDev</v>
      </c>
      <c r="C536" s="9" t="str">
        <f>INDEX(signals_2020_05!$C$2:$AJ$680, MATCH($B536, signals_2020_05!$B$2:$B$680, 0), MATCH(C$2, signals_2020_05!$C$1:$AJ$1, 0))</f>
        <v>NaT</v>
      </c>
      <c r="D536" s="14">
        <f t="shared" si="48"/>
        <v>0</v>
      </c>
      <c r="E536" s="11">
        <f t="shared" si="49"/>
        <v>0</v>
      </c>
      <c r="F536" s="11">
        <f t="shared" ca="1" si="50"/>
        <v>0</v>
      </c>
      <c r="G536" s="9" t="e">
        <f>INDEX(signals_2019_10!$C$2:$AJ$682, MATCH($B536, signals_2019_10!$B$2:$B$682, 0), MATCH(C$2, signals_2019_10!$C$1:$AJ$1, 0))</f>
        <v>#N/A</v>
      </c>
      <c r="H536" s="14">
        <f t="shared" si="51"/>
        <v>0</v>
      </c>
      <c r="I536" s="11">
        <f t="shared" si="52"/>
        <v>0</v>
      </c>
      <c r="J536" s="11">
        <f t="shared" ca="1" si="53"/>
        <v>0</v>
      </c>
    </row>
    <row r="537" spans="1:10" hidden="1" x14ac:dyDescent="0.35">
      <c r="A537" s="20">
        <f>INDEX(signals_2020_05!$A$2:$A$680, MATCH(B537, signals_2020_05!$B$2:$B$680, 0))</f>
        <v>395</v>
      </c>
      <c r="B537" s="2" t="str">
        <f>signals_2020_05!B527</f>
        <v>Supply voltage L1</v>
      </c>
      <c r="C537" s="9" t="str">
        <f>INDEX(signals_2020_05!$C$2:$AJ$680, MATCH($B537, signals_2020_05!$B$2:$B$680, 0), MATCH(C$2, signals_2020_05!$C$1:$AJ$1, 0))</f>
        <v>NaT</v>
      </c>
      <c r="D537" s="14">
        <f t="shared" si="48"/>
        <v>0</v>
      </c>
      <c r="E537" s="11">
        <f t="shared" si="49"/>
        <v>0</v>
      </c>
      <c r="F537" s="11">
        <f t="shared" ca="1" si="50"/>
        <v>0</v>
      </c>
      <c r="G537" s="9" t="str">
        <f>INDEX(signals_2019_10!$C$2:$AJ$682, MATCH($B537, signals_2019_10!$B$2:$B$682, 0), MATCH(C$2, signals_2019_10!$C$1:$AJ$1, 0))</f>
        <v>NaT</v>
      </c>
      <c r="H537" s="14">
        <f t="shared" si="51"/>
        <v>0</v>
      </c>
      <c r="I537" s="11">
        <f t="shared" si="52"/>
        <v>0</v>
      </c>
      <c r="J537" s="11">
        <f t="shared" ca="1" si="53"/>
        <v>0</v>
      </c>
    </row>
    <row r="538" spans="1:10" hidden="1" x14ac:dyDescent="0.35">
      <c r="A538" s="20">
        <f>INDEX(signals_2020_05!$A$2:$A$680, MATCH(B538, signals_2020_05!$B$2:$B$680, 0))</f>
        <v>396</v>
      </c>
      <c r="B538" s="2" t="str">
        <f>signals_2020_05!B528</f>
        <v>Supply voltage L2</v>
      </c>
      <c r="C538" s="9" t="str">
        <f>INDEX(signals_2020_05!$C$2:$AJ$680, MATCH($B538, signals_2020_05!$B$2:$B$680, 0), MATCH(C$2, signals_2020_05!$C$1:$AJ$1, 0))</f>
        <v>NaT</v>
      </c>
      <c r="D538" s="14">
        <f t="shared" si="48"/>
        <v>0</v>
      </c>
      <c r="E538" s="11">
        <f t="shared" si="49"/>
        <v>0</v>
      </c>
      <c r="F538" s="11">
        <f t="shared" ca="1" si="50"/>
        <v>0</v>
      </c>
      <c r="G538" s="9" t="str">
        <f>INDEX(signals_2019_10!$C$2:$AJ$682, MATCH($B538, signals_2019_10!$B$2:$B$682, 0), MATCH(C$2, signals_2019_10!$C$1:$AJ$1, 0))</f>
        <v>NaT</v>
      </c>
      <c r="H538" s="14">
        <f t="shared" si="51"/>
        <v>0</v>
      </c>
      <c r="I538" s="11">
        <f t="shared" si="52"/>
        <v>0</v>
      </c>
      <c r="J538" s="11">
        <f t="shared" ca="1" si="53"/>
        <v>0</v>
      </c>
    </row>
    <row r="539" spans="1:10" hidden="1" x14ac:dyDescent="0.35">
      <c r="A539" s="20">
        <f>INDEX(signals_2020_05!$A$2:$A$680, MATCH(B539, signals_2020_05!$B$2:$B$680, 0))</f>
        <v>397</v>
      </c>
      <c r="B539" s="2" t="str">
        <f>signals_2020_05!B529</f>
        <v>Supply voltage L3</v>
      </c>
      <c r="C539" s="9" t="str">
        <f>INDEX(signals_2020_05!$C$2:$AJ$680, MATCH($B539, signals_2020_05!$B$2:$B$680, 0), MATCH(C$2, signals_2020_05!$C$1:$AJ$1, 0))</f>
        <v>NaT</v>
      </c>
      <c r="D539" s="14">
        <f t="shared" si="48"/>
        <v>0</v>
      </c>
      <c r="E539" s="11">
        <f t="shared" si="49"/>
        <v>0</v>
      </c>
      <c r="F539" s="11">
        <f t="shared" ca="1" si="50"/>
        <v>0</v>
      </c>
      <c r="G539" s="9" t="str">
        <f>INDEX(signals_2019_10!$C$2:$AJ$682, MATCH($B539, signals_2019_10!$B$2:$B$682, 0), MATCH(C$2, signals_2019_10!$C$1:$AJ$1, 0))</f>
        <v>NaT</v>
      </c>
      <c r="H539" s="14">
        <f t="shared" si="51"/>
        <v>0</v>
      </c>
      <c r="I539" s="11">
        <f t="shared" si="52"/>
        <v>0</v>
      </c>
      <c r="J539" s="11">
        <f t="shared" ca="1" si="53"/>
        <v>0</v>
      </c>
    </row>
    <row r="540" spans="1:10" hidden="1" x14ac:dyDescent="0.35">
      <c r="A540" s="20">
        <f>INDEX(signals_2020_05!$A$2:$A$680, MATCH(B540, signals_2020_05!$B$2:$B$680, 0))</f>
        <v>35</v>
      </c>
      <c r="B540" s="2" t="str">
        <f>signals_2020_05!B530</f>
        <v>Sys 1. Power cabinet 1</v>
      </c>
      <c r="C540" s="9" t="str">
        <f>INDEX(signals_2020_05!$C$2:$AJ$680, MATCH($B540, signals_2020_05!$B$2:$B$680, 0), MATCH(C$2, signals_2020_05!$C$1:$AJ$1, 0))</f>
        <v>NaT</v>
      </c>
      <c r="D540" s="14">
        <f t="shared" si="48"/>
        <v>0</v>
      </c>
      <c r="E540" s="11">
        <f t="shared" si="49"/>
        <v>0</v>
      </c>
      <c r="F540" s="11">
        <f t="shared" ca="1" si="50"/>
        <v>0</v>
      </c>
      <c r="G540" s="9" t="str">
        <f>INDEX(signals_2019_10!$C$2:$AJ$682, MATCH($B540, signals_2019_10!$B$2:$B$682, 0), MATCH(C$2, signals_2019_10!$C$1:$AJ$1, 0))</f>
        <v>NaT</v>
      </c>
      <c r="H540" s="14">
        <f t="shared" si="51"/>
        <v>0</v>
      </c>
      <c r="I540" s="11">
        <f t="shared" si="52"/>
        <v>0</v>
      </c>
      <c r="J540" s="11">
        <f t="shared" ca="1" si="53"/>
        <v>0</v>
      </c>
    </row>
    <row r="541" spans="1:10" hidden="1" x14ac:dyDescent="0.35">
      <c r="A541" s="20">
        <f>INDEX(signals_2020_05!$A$2:$A$680, MATCH(B541, signals_2020_05!$B$2:$B$680, 0))</f>
        <v>5076</v>
      </c>
      <c r="B541" s="2" t="str">
        <f>signals_2020_05!B531</f>
        <v>Sys 1. Power cabinet 1, Max</v>
      </c>
      <c r="C541" s="9" t="str">
        <f>INDEX(signals_2020_05!$C$2:$AJ$680, MATCH($B541, signals_2020_05!$B$2:$B$680, 0), MATCH(C$2, signals_2020_05!$C$1:$AJ$1, 0))</f>
        <v>NaT</v>
      </c>
      <c r="D541" s="14">
        <f t="shared" si="48"/>
        <v>0</v>
      </c>
      <c r="E541" s="11">
        <f t="shared" si="49"/>
        <v>0</v>
      </c>
      <c r="F541" s="11">
        <f t="shared" ca="1" si="50"/>
        <v>0</v>
      </c>
      <c r="G541" s="9" t="e">
        <f>INDEX(signals_2019_10!$C$2:$AJ$682, MATCH($B541, signals_2019_10!$B$2:$B$682, 0), MATCH(C$2, signals_2019_10!$C$1:$AJ$1, 0))</f>
        <v>#N/A</v>
      </c>
      <c r="H541" s="14">
        <f t="shared" si="51"/>
        <v>0</v>
      </c>
      <c r="I541" s="11">
        <f t="shared" si="52"/>
        <v>0</v>
      </c>
      <c r="J541" s="11">
        <f t="shared" ca="1" si="53"/>
        <v>0</v>
      </c>
    </row>
    <row r="542" spans="1:10" hidden="1" x14ac:dyDescent="0.35">
      <c r="A542" s="20">
        <f>INDEX(signals_2020_05!$A$2:$A$680, MATCH(B542, signals_2020_05!$B$2:$B$680, 0))</f>
        <v>5077</v>
      </c>
      <c r="B542" s="2" t="str">
        <f>signals_2020_05!B532</f>
        <v>Sys 1. Power cabinet 1, Min</v>
      </c>
      <c r="C542" s="9" t="str">
        <f>INDEX(signals_2020_05!$C$2:$AJ$680, MATCH($B542, signals_2020_05!$B$2:$B$680, 0), MATCH(C$2, signals_2020_05!$C$1:$AJ$1, 0))</f>
        <v>NaT</v>
      </c>
      <c r="D542" s="14">
        <f t="shared" si="48"/>
        <v>0</v>
      </c>
      <c r="E542" s="11">
        <f t="shared" si="49"/>
        <v>0</v>
      </c>
      <c r="F542" s="11">
        <f t="shared" ca="1" si="50"/>
        <v>0</v>
      </c>
      <c r="G542" s="9" t="e">
        <f>INDEX(signals_2019_10!$C$2:$AJ$682, MATCH($B542, signals_2019_10!$B$2:$B$682, 0), MATCH(C$2, signals_2019_10!$C$1:$AJ$1, 0))</f>
        <v>#N/A</v>
      </c>
      <c r="H542" s="14">
        <f t="shared" si="51"/>
        <v>0</v>
      </c>
      <c r="I542" s="11">
        <f t="shared" si="52"/>
        <v>0</v>
      </c>
      <c r="J542" s="11">
        <f t="shared" ca="1" si="53"/>
        <v>0</v>
      </c>
    </row>
    <row r="543" spans="1:10" hidden="1" x14ac:dyDescent="0.35">
      <c r="A543" s="20">
        <f>INDEX(signals_2020_05!$A$2:$A$680, MATCH(B543, signals_2020_05!$B$2:$B$680, 0))</f>
        <v>5078</v>
      </c>
      <c r="B543" s="2" t="str">
        <f>signals_2020_05!B533</f>
        <v>Sys 1. Power cabinet 1, StdDev</v>
      </c>
      <c r="C543" s="9" t="str">
        <f>INDEX(signals_2020_05!$C$2:$AJ$680, MATCH($B543, signals_2020_05!$B$2:$B$680, 0), MATCH(C$2, signals_2020_05!$C$1:$AJ$1, 0))</f>
        <v>NaT</v>
      </c>
      <c r="D543" s="14">
        <f t="shared" si="48"/>
        <v>0</v>
      </c>
      <c r="E543" s="11">
        <f t="shared" si="49"/>
        <v>0</v>
      </c>
      <c r="F543" s="11">
        <f t="shared" ca="1" si="50"/>
        <v>0</v>
      </c>
      <c r="G543" s="9" t="e">
        <f>INDEX(signals_2019_10!$C$2:$AJ$682, MATCH($B543, signals_2019_10!$B$2:$B$682, 0), MATCH(C$2, signals_2019_10!$C$1:$AJ$1, 0))</f>
        <v>#N/A</v>
      </c>
      <c r="H543" s="14">
        <f t="shared" si="51"/>
        <v>0</v>
      </c>
      <c r="I543" s="11">
        <f t="shared" si="52"/>
        <v>0</v>
      </c>
      <c r="J543" s="11">
        <f t="shared" ca="1" si="53"/>
        <v>0</v>
      </c>
    </row>
    <row r="544" spans="1:10" hidden="1" x14ac:dyDescent="0.35">
      <c r="A544" s="20">
        <f>INDEX(signals_2020_05!$A$2:$A$680, MATCH(B544, signals_2020_05!$B$2:$B$680, 0))</f>
        <v>44</v>
      </c>
      <c r="B544" s="2" t="str">
        <f>signals_2020_05!B534</f>
        <v>Sys 1. Power cabinet 10</v>
      </c>
      <c r="C544" s="9" t="str">
        <f>INDEX(signals_2020_05!$C$2:$AJ$680, MATCH($B544, signals_2020_05!$B$2:$B$680, 0), MATCH(C$2, signals_2020_05!$C$1:$AJ$1, 0))</f>
        <v>NaT</v>
      </c>
      <c r="D544" s="14">
        <f t="shared" si="48"/>
        <v>0</v>
      </c>
      <c r="E544" s="11">
        <f t="shared" si="49"/>
        <v>0</v>
      </c>
      <c r="F544" s="11">
        <f t="shared" ca="1" si="50"/>
        <v>0</v>
      </c>
      <c r="G544" s="9" t="str">
        <f>INDEX(signals_2019_10!$C$2:$AJ$682, MATCH($B544, signals_2019_10!$B$2:$B$682, 0), MATCH(C$2, signals_2019_10!$C$1:$AJ$1, 0))</f>
        <v>NaT</v>
      </c>
      <c r="H544" s="14">
        <f t="shared" si="51"/>
        <v>0</v>
      </c>
      <c r="I544" s="11">
        <f t="shared" si="52"/>
        <v>0</v>
      </c>
      <c r="J544" s="11">
        <f t="shared" ca="1" si="53"/>
        <v>0</v>
      </c>
    </row>
    <row r="545" spans="1:10" hidden="1" x14ac:dyDescent="0.35">
      <c r="A545" s="20">
        <f>INDEX(signals_2020_05!$A$2:$A$680, MATCH(B545, signals_2020_05!$B$2:$B$680, 0))</f>
        <v>5079</v>
      </c>
      <c r="B545" s="2" t="str">
        <f>signals_2020_05!B535</f>
        <v>Sys 1. Power cabinet 10, Max</v>
      </c>
      <c r="C545" s="9" t="str">
        <f>INDEX(signals_2020_05!$C$2:$AJ$680, MATCH($B545, signals_2020_05!$B$2:$B$680, 0), MATCH(C$2, signals_2020_05!$C$1:$AJ$1, 0))</f>
        <v>NaT</v>
      </c>
      <c r="D545" s="14">
        <f t="shared" si="48"/>
        <v>0</v>
      </c>
      <c r="E545" s="11">
        <f t="shared" si="49"/>
        <v>0</v>
      </c>
      <c r="F545" s="11">
        <f t="shared" ca="1" si="50"/>
        <v>0</v>
      </c>
      <c r="G545" s="9" t="e">
        <f>INDEX(signals_2019_10!$C$2:$AJ$682, MATCH($B545, signals_2019_10!$B$2:$B$682, 0), MATCH(C$2, signals_2019_10!$C$1:$AJ$1, 0))</f>
        <v>#N/A</v>
      </c>
      <c r="H545" s="14">
        <f t="shared" si="51"/>
        <v>0</v>
      </c>
      <c r="I545" s="11">
        <f t="shared" si="52"/>
        <v>0</v>
      </c>
      <c r="J545" s="11">
        <f t="shared" ca="1" si="53"/>
        <v>0</v>
      </c>
    </row>
    <row r="546" spans="1:10" hidden="1" x14ac:dyDescent="0.35">
      <c r="A546" s="20">
        <f>INDEX(signals_2020_05!$A$2:$A$680, MATCH(B546, signals_2020_05!$B$2:$B$680, 0))</f>
        <v>5080</v>
      </c>
      <c r="B546" s="2" t="str">
        <f>signals_2020_05!B536</f>
        <v>Sys 1. Power cabinet 10, Min</v>
      </c>
      <c r="C546" s="9" t="str">
        <f>INDEX(signals_2020_05!$C$2:$AJ$680, MATCH($B546, signals_2020_05!$B$2:$B$680, 0), MATCH(C$2, signals_2020_05!$C$1:$AJ$1, 0))</f>
        <v>NaT</v>
      </c>
      <c r="D546" s="14">
        <f t="shared" si="48"/>
        <v>0</v>
      </c>
      <c r="E546" s="11">
        <f t="shared" si="49"/>
        <v>0</v>
      </c>
      <c r="F546" s="11">
        <f t="shared" ca="1" si="50"/>
        <v>0</v>
      </c>
      <c r="G546" s="9" t="e">
        <f>INDEX(signals_2019_10!$C$2:$AJ$682, MATCH($B546, signals_2019_10!$B$2:$B$682, 0), MATCH(C$2, signals_2019_10!$C$1:$AJ$1, 0))</f>
        <v>#N/A</v>
      </c>
      <c r="H546" s="14">
        <f t="shared" si="51"/>
        <v>0</v>
      </c>
      <c r="I546" s="11">
        <f t="shared" si="52"/>
        <v>0</v>
      </c>
      <c r="J546" s="11">
        <f t="shared" ca="1" si="53"/>
        <v>0</v>
      </c>
    </row>
    <row r="547" spans="1:10" hidden="1" x14ac:dyDescent="0.35">
      <c r="A547" s="20">
        <f>INDEX(signals_2020_05!$A$2:$A$680, MATCH(B547, signals_2020_05!$B$2:$B$680, 0))</f>
        <v>5081</v>
      </c>
      <c r="B547" s="2" t="str">
        <f>signals_2020_05!B537</f>
        <v>Sys 1. Power cabinet 10, StdDev</v>
      </c>
      <c r="C547" s="9" t="str">
        <f>INDEX(signals_2020_05!$C$2:$AJ$680, MATCH($B547, signals_2020_05!$B$2:$B$680, 0), MATCH(C$2, signals_2020_05!$C$1:$AJ$1, 0))</f>
        <v>NaT</v>
      </c>
      <c r="D547" s="14">
        <f t="shared" si="48"/>
        <v>0</v>
      </c>
      <c r="E547" s="11">
        <f t="shared" si="49"/>
        <v>0</v>
      </c>
      <c r="F547" s="11">
        <f t="shared" ca="1" si="50"/>
        <v>0</v>
      </c>
      <c r="G547" s="9" t="e">
        <f>INDEX(signals_2019_10!$C$2:$AJ$682, MATCH($B547, signals_2019_10!$B$2:$B$682, 0), MATCH(C$2, signals_2019_10!$C$1:$AJ$1, 0))</f>
        <v>#N/A</v>
      </c>
      <c r="H547" s="14">
        <f t="shared" si="51"/>
        <v>0</v>
      </c>
      <c r="I547" s="11">
        <f t="shared" si="52"/>
        <v>0</v>
      </c>
      <c r="J547" s="11">
        <f t="shared" ca="1" si="53"/>
        <v>0</v>
      </c>
    </row>
    <row r="548" spans="1:10" hidden="1" x14ac:dyDescent="0.35">
      <c r="A548" s="20">
        <f>INDEX(signals_2020_05!$A$2:$A$680, MATCH(B548, signals_2020_05!$B$2:$B$680, 0))</f>
        <v>45</v>
      </c>
      <c r="B548" s="2" t="str">
        <f>signals_2020_05!B538</f>
        <v>Sys 1. Power cabinet 11</v>
      </c>
      <c r="C548" s="9" t="str">
        <f>INDEX(signals_2020_05!$C$2:$AJ$680, MATCH($B548, signals_2020_05!$B$2:$B$680, 0), MATCH(C$2, signals_2020_05!$C$1:$AJ$1, 0))</f>
        <v>NaT</v>
      </c>
      <c r="D548" s="14">
        <f t="shared" si="48"/>
        <v>0</v>
      </c>
      <c r="E548" s="11">
        <f t="shared" si="49"/>
        <v>0</v>
      </c>
      <c r="F548" s="11">
        <f t="shared" ca="1" si="50"/>
        <v>0</v>
      </c>
      <c r="G548" s="9" t="str">
        <f>INDEX(signals_2019_10!$C$2:$AJ$682, MATCH($B548, signals_2019_10!$B$2:$B$682, 0), MATCH(C$2, signals_2019_10!$C$1:$AJ$1, 0))</f>
        <v>NaT</v>
      </c>
      <c r="H548" s="14">
        <f t="shared" si="51"/>
        <v>0</v>
      </c>
      <c r="I548" s="11">
        <f t="shared" si="52"/>
        <v>0</v>
      </c>
      <c r="J548" s="11">
        <f t="shared" ca="1" si="53"/>
        <v>0</v>
      </c>
    </row>
    <row r="549" spans="1:10" hidden="1" x14ac:dyDescent="0.35">
      <c r="A549" s="20">
        <f>INDEX(signals_2020_05!$A$2:$A$680, MATCH(B549, signals_2020_05!$B$2:$B$680, 0))</f>
        <v>5082</v>
      </c>
      <c r="B549" s="2" t="str">
        <f>signals_2020_05!B539</f>
        <v>Sys 1. Power cabinet 11, Max</v>
      </c>
      <c r="C549" s="9" t="str">
        <f>INDEX(signals_2020_05!$C$2:$AJ$680, MATCH($B549, signals_2020_05!$B$2:$B$680, 0), MATCH(C$2, signals_2020_05!$C$1:$AJ$1, 0))</f>
        <v>NaT</v>
      </c>
      <c r="D549" s="14">
        <f t="shared" si="48"/>
        <v>0</v>
      </c>
      <c r="E549" s="11">
        <f t="shared" si="49"/>
        <v>0</v>
      </c>
      <c r="F549" s="11">
        <f t="shared" ca="1" si="50"/>
        <v>0</v>
      </c>
      <c r="G549" s="9" t="e">
        <f>INDEX(signals_2019_10!$C$2:$AJ$682, MATCH($B549, signals_2019_10!$B$2:$B$682, 0), MATCH(C$2, signals_2019_10!$C$1:$AJ$1, 0))</f>
        <v>#N/A</v>
      </c>
      <c r="H549" s="14">
        <f t="shared" si="51"/>
        <v>0</v>
      </c>
      <c r="I549" s="11">
        <f t="shared" si="52"/>
        <v>0</v>
      </c>
      <c r="J549" s="11">
        <f t="shared" ca="1" si="53"/>
        <v>0</v>
      </c>
    </row>
    <row r="550" spans="1:10" hidden="1" x14ac:dyDescent="0.35">
      <c r="A550" s="20">
        <f>INDEX(signals_2020_05!$A$2:$A$680, MATCH(B550, signals_2020_05!$B$2:$B$680, 0))</f>
        <v>5083</v>
      </c>
      <c r="B550" s="2" t="str">
        <f>signals_2020_05!B540</f>
        <v>Sys 1. Power cabinet 11, Min</v>
      </c>
      <c r="C550" s="9" t="str">
        <f>INDEX(signals_2020_05!$C$2:$AJ$680, MATCH($B550, signals_2020_05!$B$2:$B$680, 0), MATCH(C$2, signals_2020_05!$C$1:$AJ$1, 0))</f>
        <v>NaT</v>
      </c>
      <c r="D550" s="14">
        <f t="shared" si="48"/>
        <v>0</v>
      </c>
      <c r="E550" s="11">
        <f t="shared" si="49"/>
        <v>0</v>
      </c>
      <c r="F550" s="11">
        <f t="shared" ca="1" si="50"/>
        <v>0</v>
      </c>
      <c r="G550" s="9" t="e">
        <f>INDEX(signals_2019_10!$C$2:$AJ$682, MATCH($B550, signals_2019_10!$B$2:$B$682, 0), MATCH(C$2, signals_2019_10!$C$1:$AJ$1, 0))</f>
        <v>#N/A</v>
      </c>
      <c r="H550" s="14">
        <f t="shared" si="51"/>
        <v>0</v>
      </c>
      <c r="I550" s="11">
        <f t="shared" si="52"/>
        <v>0</v>
      </c>
      <c r="J550" s="11">
        <f t="shared" ca="1" si="53"/>
        <v>0</v>
      </c>
    </row>
    <row r="551" spans="1:10" hidden="1" x14ac:dyDescent="0.35">
      <c r="A551" s="20">
        <f>INDEX(signals_2020_05!$A$2:$A$680, MATCH(B551, signals_2020_05!$B$2:$B$680, 0))</f>
        <v>5084</v>
      </c>
      <c r="B551" s="2" t="str">
        <f>signals_2020_05!B541</f>
        <v>Sys 1. Power cabinet 11, StdDev</v>
      </c>
      <c r="C551" s="9" t="str">
        <f>INDEX(signals_2020_05!$C$2:$AJ$680, MATCH($B551, signals_2020_05!$B$2:$B$680, 0), MATCH(C$2, signals_2020_05!$C$1:$AJ$1, 0))</f>
        <v>NaT</v>
      </c>
      <c r="D551" s="14">
        <f t="shared" si="48"/>
        <v>0</v>
      </c>
      <c r="E551" s="11">
        <f t="shared" si="49"/>
        <v>0</v>
      </c>
      <c r="F551" s="11">
        <f t="shared" ca="1" si="50"/>
        <v>0</v>
      </c>
      <c r="G551" s="9" t="e">
        <f>INDEX(signals_2019_10!$C$2:$AJ$682, MATCH($B551, signals_2019_10!$B$2:$B$682, 0), MATCH(C$2, signals_2019_10!$C$1:$AJ$1, 0))</f>
        <v>#N/A</v>
      </c>
      <c r="H551" s="14">
        <f t="shared" si="51"/>
        <v>0</v>
      </c>
      <c r="I551" s="11">
        <f t="shared" si="52"/>
        <v>0</v>
      </c>
      <c r="J551" s="11">
        <f t="shared" ca="1" si="53"/>
        <v>0</v>
      </c>
    </row>
    <row r="552" spans="1:10" hidden="1" x14ac:dyDescent="0.35">
      <c r="A552" s="20">
        <f>INDEX(signals_2020_05!$A$2:$A$680, MATCH(B552, signals_2020_05!$B$2:$B$680, 0))</f>
        <v>36</v>
      </c>
      <c r="B552" s="2" t="str">
        <f>signals_2020_05!B542</f>
        <v>Sys 1. Power cabinet 2</v>
      </c>
      <c r="C552" s="9" t="str">
        <f>INDEX(signals_2020_05!$C$2:$AJ$680, MATCH($B552, signals_2020_05!$B$2:$B$680, 0), MATCH(C$2, signals_2020_05!$C$1:$AJ$1, 0))</f>
        <v>NaT</v>
      </c>
      <c r="D552" s="14">
        <f t="shared" si="48"/>
        <v>0</v>
      </c>
      <c r="E552" s="11">
        <f t="shared" si="49"/>
        <v>0</v>
      </c>
      <c r="F552" s="11">
        <f t="shared" ca="1" si="50"/>
        <v>0</v>
      </c>
      <c r="G552" s="9" t="str">
        <f>INDEX(signals_2019_10!$C$2:$AJ$682, MATCH($B552, signals_2019_10!$B$2:$B$682, 0), MATCH(C$2, signals_2019_10!$C$1:$AJ$1, 0))</f>
        <v>NaT</v>
      </c>
      <c r="H552" s="14">
        <f t="shared" si="51"/>
        <v>0</v>
      </c>
      <c r="I552" s="11">
        <f t="shared" si="52"/>
        <v>0</v>
      </c>
      <c r="J552" s="11">
        <f t="shared" ca="1" si="53"/>
        <v>0</v>
      </c>
    </row>
    <row r="553" spans="1:10" hidden="1" x14ac:dyDescent="0.35">
      <c r="A553" s="20">
        <f>INDEX(signals_2020_05!$A$2:$A$680, MATCH(B553, signals_2020_05!$B$2:$B$680, 0))</f>
        <v>5085</v>
      </c>
      <c r="B553" s="2" t="str">
        <f>signals_2020_05!B543</f>
        <v>Sys 1. Power cabinet 2, Max</v>
      </c>
      <c r="C553" s="9" t="str">
        <f>INDEX(signals_2020_05!$C$2:$AJ$680, MATCH($B553, signals_2020_05!$B$2:$B$680, 0), MATCH(C$2, signals_2020_05!$C$1:$AJ$1, 0))</f>
        <v>NaT</v>
      </c>
      <c r="D553" s="14">
        <f t="shared" si="48"/>
        <v>0</v>
      </c>
      <c r="E553" s="11">
        <f t="shared" si="49"/>
        <v>0</v>
      </c>
      <c r="F553" s="11">
        <f t="shared" ca="1" si="50"/>
        <v>0</v>
      </c>
      <c r="G553" s="9" t="e">
        <f>INDEX(signals_2019_10!$C$2:$AJ$682, MATCH($B553, signals_2019_10!$B$2:$B$682, 0), MATCH(C$2, signals_2019_10!$C$1:$AJ$1, 0))</f>
        <v>#N/A</v>
      </c>
      <c r="H553" s="14">
        <f t="shared" si="51"/>
        <v>0</v>
      </c>
      <c r="I553" s="11">
        <f t="shared" si="52"/>
        <v>0</v>
      </c>
      <c r="J553" s="11">
        <f t="shared" ca="1" si="53"/>
        <v>0</v>
      </c>
    </row>
    <row r="554" spans="1:10" hidden="1" x14ac:dyDescent="0.35">
      <c r="A554" s="20">
        <f>INDEX(signals_2020_05!$A$2:$A$680, MATCH(B554, signals_2020_05!$B$2:$B$680, 0))</f>
        <v>5086</v>
      </c>
      <c r="B554" s="2" t="str">
        <f>signals_2020_05!B544</f>
        <v>Sys 1. Power cabinet 2, Min</v>
      </c>
      <c r="C554" s="9" t="str">
        <f>INDEX(signals_2020_05!$C$2:$AJ$680, MATCH($B554, signals_2020_05!$B$2:$B$680, 0), MATCH(C$2, signals_2020_05!$C$1:$AJ$1, 0))</f>
        <v>NaT</v>
      </c>
      <c r="D554" s="14">
        <f t="shared" si="48"/>
        <v>0</v>
      </c>
      <c r="E554" s="11">
        <f t="shared" si="49"/>
        <v>0</v>
      </c>
      <c r="F554" s="11">
        <f t="shared" ca="1" si="50"/>
        <v>0</v>
      </c>
      <c r="G554" s="9" t="e">
        <f>INDEX(signals_2019_10!$C$2:$AJ$682, MATCH($B554, signals_2019_10!$B$2:$B$682, 0), MATCH(C$2, signals_2019_10!$C$1:$AJ$1, 0))</f>
        <v>#N/A</v>
      </c>
      <c r="H554" s="14">
        <f t="shared" si="51"/>
        <v>0</v>
      </c>
      <c r="I554" s="11">
        <f t="shared" si="52"/>
        <v>0</v>
      </c>
      <c r="J554" s="11">
        <f t="shared" ca="1" si="53"/>
        <v>0</v>
      </c>
    </row>
    <row r="555" spans="1:10" hidden="1" x14ac:dyDescent="0.35">
      <c r="A555" s="20">
        <f>INDEX(signals_2020_05!$A$2:$A$680, MATCH(B555, signals_2020_05!$B$2:$B$680, 0))</f>
        <v>5087</v>
      </c>
      <c r="B555" s="2" t="str">
        <f>signals_2020_05!B545</f>
        <v>Sys 1. Power cabinet 2, StdDev</v>
      </c>
      <c r="C555" s="9" t="str">
        <f>INDEX(signals_2020_05!$C$2:$AJ$680, MATCH($B555, signals_2020_05!$B$2:$B$680, 0), MATCH(C$2, signals_2020_05!$C$1:$AJ$1, 0))</f>
        <v>NaT</v>
      </c>
      <c r="D555" s="14">
        <f t="shared" si="48"/>
        <v>0</v>
      </c>
      <c r="E555" s="11">
        <f t="shared" si="49"/>
        <v>0</v>
      </c>
      <c r="F555" s="11">
        <f t="shared" ca="1" si="50"/>
        <v>0</v>
      </c>
      <c r="G555" s="9" t="e">
        <f>INDEX(signals_2019_10!$C$2:$AJ$682, MATCH($B555, signals_2019_10!$B$2:$B$682, 0), MATCH(C$2, signals_2019_10!$C$1:$AJ$1, 0))</f>
        <v>#N/A</v>
      </c>
      <c r="H555" s="14">
        <f t="shared" si="51"/>
        <v>0</v>
      </c>
      <c r="I555" s="11">
        <f t="shared" si="52"/>
        <v>0</v>
      </c>
      <c r="J555" s="11">
        <f t="shared" ca="1" si="53"/>
        <v>0</v>
      </c>
    </row>
    <row r="556" spans="1:10" hidden="1" x14ac:dyDescent="0.35">
      <c r="A556" s="20">
        <f>INDEX(signals_2020_05!$A$2:$A$680, MATCH(B556, signals_2020_05!$B$2:$B$680, 0))</f>
        <v>37</v>
      </c>
      <c r="B556" s="2" t="str">
        <f>signals_2020_05!B546</f>
        <v>Sys 1. Power cabinet 3</v>
      </c>
      <c r="C556" s="9" t="str">
        <f>INDEX(signals_2020_05!$C$2:$AJ$680, MATCH($B556, signals_2020_05!$B$2:$B$680, 0), MATCH(C$2, signals_2020_05!$C$1:$AJ$1, 0))</f>
        <v>NaT</v>
      </c>
      <c r="D556" s="14">
        <f t="shared" si="48"/>
        <v>0</v>
      </c>
      <c r="E556" s="11">
        <f t="shared" si="49"/>
        <v>0</v>
      </c>
      <c r="F556" s="11">
        <f t="shared" ca="1" si="50"/>
        <v>0</v>
      </c>
      <c r="G556" s="9" t="str">
        <f>INDEX(signals_2019_10!$C$2:$AJ$682, MATCH($B556, signals_2019_10!$B$2:$B$682, 0), MATCH(C$2, signals_2019_10!$C$1:$AJ$1, 0))</f>
        <v>NaT</v>
      </c>
      <c r="H556" s="14">
        <f t="shared" si="51"/>
        <v>0</v>
      </c>
      <c r="I556" s="11">
        <f t="shared" si="52"/>
        <v>0</v>
      </c>
      <c r="J556" s="11">
        <f t="shared" ca="1" si="53"/>
        <v>0</v>
      </c>
    </row>
    <row r="557" spans="1:10" hidden="1" x14ac:dyDescent="0.35">
      <c r="A557" s="20">
        <f>INDEX(signals_2020_05!$A$2:$A$680, MATCH(B557, signals_2020_05!$B$2:$B$680, 0))</f>
        <v>5088</v>
      </c>
      <c r="B557" s="2" t="str">
        <f>signals_2020_05!B547</f>
        <v>Sys 1. Power cabinet 3, Max</v>
      </c>
      <c r="C557" s="9" t="str">
        <f>INDEX(signals_2020_05!$C$2:$AJ$680, MATCH($B557, signals_2020_05!$B$2:$B$680, 0), MATCH(C$2, signals_2020_05!$C$1:$AJ$1, 0))</f>
        <v>NaT</v>
      </c>
      <c r="D557" s="14">
        <f t="shared" si="48"/>
        <v>0</v>
      </c>
      <c r="E557" s="11">
        <f t="shared" si="49"/>
        <v>0</v>
      </c>
      <c r="F557" s="11">
        <f t="shared" ca="1" si="50"/>
        <v>0</v>
      </c>
      <c r="G557" s="9" t="e">
        <f>INDEX(signals_2019_10!$C$2:$AJ$682, MATCH($B557, signals_2019_10!$B$2:$B$682, 0), MATCH(C$2, signals_2019_10!$C$1:$AJ$1, 0))</f>
        <v>#N/A</v>
      </c>
      <c r="H557" s="14">
        <f t="shared" si="51"/>
        <v>0</v>
      </c>
      <c r="I557" s="11">
        <f t="shared" si="52"/>
        <v>0</v>
      </c>
      <c r="J557" s="11">
        <f t="shared" ca="1" si="53"/>
        <v>0</v>
      </c>
    </row>
    <row r="558" spans="1:10" hidden="1" x14ac:dyDescent="0.35">
      <c r="A558" s="20">
        <f>INDEX(signals_2020_05!$A$2:$A$680, MATCH(B558, signals_2020_05!$B$2:$B$680, 0))</f>
        <v>5089</v>
      </c>
      <c r="B558" s="2" t="str">
        <f>signals_2020_05!B548</f>
        <v>Sys 1. Power cabinet 3, Min</v>
      </c>
      <c r="C558" s="9" t="str">
        <f>INDEX(signals_2020_05!$C$2:$AJ$680, MATCH($B558, signals_2020_05!$B$2:$B$680, 0), MATCH(C$2, signals_2020_05!$C$1:$AJ$1, 0))</f>
        <v>NaT</v>
      </c>
      <c r="D558" s="14">
        <f t="shared" si="48"/>
        <v>0</v>
      </c>
      <c r="E558" s="11">
        <f t="shared" si="49"/>
        <v>0</v>
      </c>
      <c r="F558" s="11">
        <f t="shared" ca="1" si="50"/>
        <v>0</v>
      </c>
      <c r="G558" s="9" t="e">
        <f>INDEX(signals_2019_10!$C$2:$AJ$682, MATCH($B558, signals_2019_10!$B$2:$B$682, 0), MATCH(C$2, signals_2019_10!$C$1:$AJ$1, 0))</f>
        <v>#N/A</v>
      </c>
      <c r="H558" s="14">
        <f t="shared" si="51"/>
        <v>0</v>
      </c>
      <c r="I558" s="11">
        <f t="shared" si="52"/>
        <v>0</v>
      </c>
      <c r="J558" s="11">
        <f t="shared" ca="1" si="53"/>
        <v>0</v>
      </c>
    </row>
    <row r="559" spans="1:10" hidden="1" x14ac:dyDescent="0.35">
      <c r="A559" s="20">
        <f>INDEX(signals_2020_05!$A$2:$A$680, MATCH(B559, signals_2020_05!$B$2:$B$680, 0))</f>
        <v>5090</v>
      </c>
      <c r="B559" s="2" t="str">
        <f>signals_2020_05!B549</f>
        <v>Sys 1. Power cabinet 3, StdDev</v>
      </c>
      <c r="C559" s="9" t="str">
        <f>INDEX(signals_2020_05!$C$2:$AJ$680, MATCH($B559, signals_2020_05!$B$2:$B$680, 0), MATCH(C$2, signals_2020_05!$C$1:$AJ$1, 0))</f>
        <v>NaT</v>
      </c>
      <c r="D559" s="14">
        <f t="shared" si="48"/>
        <v>0</v>
      </c>
      <c r="E559" s="11">
        <f t="shared" si="49"/>
        <v>0</v>
      </c>
      <c r="F559" s="11">
        <f t="shared" ca="1" si="50"/>
        <v>0</v>
      </c>
      <c r="G559" s="9" t="e">
        <f>INDEX(signals_2019_10!$C$2:$AJ$682, MATCH($B559, signals_2019_10!$B$2:$B$682, 0), MATCH(C$2, signals_2019_10!$C$1:$AJ$1, 0))</f>
        <v>#N/A</v>
      </c>
      <c r="H559" s="14">
        <f t="shared" si="51"/>
        <v>0</v>
      </c>
      <c r="I559" s="11">
        <f t="shared" si="52"/>
        <v>0</v>
      </c>
      <c r="J559" s="11">
        <f t="shared" ca="1" si="53"/>
        <v>0</v>
      </c>
    </row>
    <row r="560" spans="1:10" hidden="1" x14ac:dyDescent="0.35">
      <c r="A560" s="20">
        <f>INDEX(signals_2020_05!$A$2:$A$680, MATCH(B560, signals_2020_05!$B$2:$B$680, 0))</f>
        <v>38</v>
      </c>
      <c r="B560" s="2" t="str">
        <f>signals_2020_05!B550</f>
        <v>Sys 1. Power cabinet 4</v>
      </c>
      <c r="C560" s="9" t="str">
        <f>INDEX(signals_2020_05!$C$2:$AJ$680, MATCH($B560, signals_2020_05!$B$2:$B$680, 0), MATCH(C$2, signals_2020_05!$C$1:$AJ$1, 0))</f>
        <v>NaT</v>
      </c>
      <c r="D560" s="14">
        <f t="shared" si="48"/>
        <v>0</v>
      </c>
      <c r="E560" s="11">
        <f t="shared" si="49"/>
        <v>0</v>
      </c>
      <c r="F560" s="11">
        <f t="shared" ca="1" si="50"/>
        <v>0</v>
      </c>
      <c r="G560" s="9" t="str">
        <f>INDEX(signals_2019_10!$C$2:$AJ$682, MATCH($B560, signals_2019_10!$B$2:$B$682, 0), MATCH(C$2, signals_2019_10!$C$1:$AJ$1, 0))</f>
        <v>NaT</v>
      </c>
      <c r="H560" s="14">
        <f t="shared" si="51"/>
        <v>0</v>
      </c>
      <c r="I560" s="11">
        <f t="shared" si="52"/>
        <v>0</v>
      </c>
      <c r="J560" s="11">
        <f t="shared" ca="1" si="53"/>
        <v>0</v>
      </c>
    </row>
    <row r="561" spans="1:10" hidden="1" x14ac:dyDescent="0.35">
      <c r="A561" s="20">
        <f>INDEX(signals_2020_05!$A$2:$A$680, MATCH(B561, signals_2020_05!$B$2:$B$680, 0))</f>
        <v>5091</v>
      </c>
      <c r="B561" s="2" t="str">
        <f>signals_2020_05!B551</f>
        <v>Sys 1. Power cabinet 4, Max</v>
      </c>
      <c r="C561" s="9" t="str">
        <f>INDEX(signals_2020_05!$C$2:$AJ$680, MATCH($B561, signals_2020_05!$B$2:$B$680, 0), MATCH(C$2, signals_2020_05!$C$1:$AJ$1, 0))</f>
        <v>NaT</v>
      </c>
      <c r="D561" s="14">
        <f t="shared" si="48"/>
        <v>0</v>
      </c>
      <c r="E561" s="11">
        <f t="shared" si="49"/>
        <v>0</v>
      </c>
      <c r="F561" s="11">
        <f t="shared" ca="1" si="50"/>
        <v>0</v>
      </c>
      <c r="G561" s="9" t="e">
        <f>INDEX(signals_2019_10!$C$2:$AJ$682, MATCH($B561, signals_2019_10!$B$2:$B$682, 0), MATCH(C$2, signals_2019_10!$C$1:$AJ$1, 0))</f>
        <v>#N/A</v>
      </c>
      <c r="H561" s="14">
        <f t="shared" si="51"/>
        <v>0</v>
      </c>
      <c r="I561" s="11">
        <f t="shared" si="52"/>
        <v>0</v>
      </c>
      <c r="J561" s="11">
        <f t="shared" ca="1" si="53"/>
        <v>0</v>
      </c>
    </row>
    <row r="562" spans="1:10" hidden="1" x14ac:dyDescent="0.35">
      <c r="A562" s="20">
        <f>INDEX(signals_2020_05!$A$2:$A$680, MATCH(B562, signals_2020_05!$B$2:$B$680, 0))</f>
        <v>5092</v>
      </c>
      <c r="B562" s="2" t="str">
        <f>signals_2020_05!B552</f>
        <v>Sys 1. Power cabinet 4, Min</v>
      </c>
      <c r="C562" s="9" t="str">
        <f>INDEX(signals_2020_05!$C$2:$AJ$680, MATCH($B562, signals_2020_05!$B$2:$B$680, 0), MATCH(C$2, signals_2020_05!$C$1:$AJ$1, 0))</f>
        <v>NaT</v>
      </c>
      <c r="D562" s="14">
        <f t="shared" si="48"/>
        <v>0</v>
      </c>
      <c r="E562" s="11">
        <f t="shared" si="49"/>
        <v>0</v>
      </c>
      <c r="F562" s="11">
        <f t="shared" ca="1" si="50"/>
        <v>0</v>
      </c>
      <c r="G562" s="9" t="e">
        <f>INDEX(signals_2019_10!$C$2:$AJ$682, MATCH($B562, signals_2019_10!$B$2:$B$682, 0), MATCH(C$2, signals_2019_10!$C$1:$AJ$1, 0))</f>
        <v>#N/A</v>
      </c>
      <c r="H562" s="14">
        <f t="shared" si="51"/>
        <v>0</v>
      </c>
      <c r="I562" s="11">
        <f t="shared" si="52"/>
        <v>0</v>
      </c>
      <c r="J562" s="11">
        <f t="shared" ca="1" si="53"/>
        <v>0</v>
      </c>
    </row>
    <row r="563" spans="1:10" hidden="1" x14ac:dyDescent="0.35">
      <c r="A563" s="20">
        <f>INDEX(signals_2020_05!$A$2:$A$680, MATCH(B563, signals_2020_05!$B$2:$B$680, 0))</f>
        <v>5093</v>
      </c>
      <c r="B563" s="2" t="str">
        <f>signals_2020_05!B553</f>
        <v>Sys 1. Power cabinet 4, StdDev</v>
      </c>
      <c r="C563" s="9" t="str">
        <f>INDEX(signals_2020_05!$C$2:$AJ$680, MATCH($B563, signals_2020_05!$B$2:$B$680, 0), MATCH(C$2, signals_2020_05!$C$1:$AJ$1, 0))</f>
        <v>NaT</v>
      </c>
      <c r="D563" s="14">
        <f t="shared" si="48"/>
        <v>0</v>
      </c>
      <c r="E563" s="11">
        <f t="shared" si="49"/>
        <v>0</v>
      </c>
      <c r="F563" s="11">
        <f t="shared" ca="1" si="50"/>
        <v>0</v>
      </c>
      <c r="G563" s="9" t="e">
        <f>INDEX(signals_2019_10!$C$2:$AJ$682, MATCH($B563, signals_2019_10!$B$2:$B$682, 0), MATCH(C$2, signals_2019_10!$C$1:$AJ$1, 0))</f>
        <v>#N/A</v>
      </c>
      <c r="H563" s="14">
        <f t="shared" si="51"/>
        <v>0</v>
      </c>
      <c r="I563" s="11">
        <f t="shared" si="52"/>
        <v>0</v>
      </c>
      <c r="J563" s="11">
        <f t="shared" ca="1" si="53"/>
        <v>0</v>
      </c>
    </row>
    <row r="564" spans="1:10" hidden="1" x14ac:dyDescent="0.35">
      <c r="A564" s="20">
        <f>INDEX(signals_2020_05!$A$2:$A$680, MATCH(B564, signals_2020_05!$B$2:$B$680, 0))</f>
        <v>39</v>
      </c>
      <c r="B564" s="2" t="str">
        <f>signals_2020_05!B554</f>
        <v>Sys 1. Power cabinet 5</v>
      </c>
      <c r="C564" s="9" t="str">
        <f>INDEX(signals_2020_05!$C$2:$AJ$680, MATCH($B564, signals_2020_05!$B$2:$B$680, 0), MATCH(C$2, signals_2020_05!$C$1:$AJ$1, 0))</f>
        <v>NaT</v>
      </c>
      <c r="D564" s="14">
        <f t="shared" si="48"/>
        <v>0</v>
      </c>
      <c r="E564" s="11">
        <f t="shared" si="49"/>
        <v>0</v>
      </c>
      <c r="F564" s="11">
        <f t="shared" ca="1" si="50"/>
        <v>0</v>
      </c>
      <c r="G564" s="9" t="str">
        <f>INDEX(signals_2019_10!$C$2:$AJ$682, MATCH($B564, signals_2019_10!$B$2:$B$682, 0), MATCH(C$2, signals_2019_10!$C$1:$AJ$1, 0))</f>
        <v>NaT</v>
      </c>
      <c r="H564" s="14">
        <f t="shared" si="51"/>
        <v>0</v>
      </c>
      <c r="I564" s="11">
        <f t="shared" si="52"/>
        <v>0</v>
      </c>
      <c r="J564" s="11">
        <f t="shared" ca="1" si="53"/>
        <v>0</v>
      </c>
    </row>
    <row r="565" spans="1:10" hidden="1" x14ac:dyDescent="0.35">
      <c r="A565" s="20">
        <f>INDEX(signals_2020_05!$A$2:$A$680, MATCH(B565, signals_2020_05!$B$2:$B$680, 0))</f>
        <v>5094</v>
      </c>
      <c r="B565" s="2" t="str">
        <f>signals_2020_05!B555</f>
        <v>Sys 1. Power cabinet 5, Max</v>
      </c>
      <c r="C565" s="9" t="str">
        <f>INDEX(signals_2020_05!$C$2:$AJ$680, MATCH($B565, signals_2020_05!$B$2:$B$680, 0), MATCH(C$2, signals_2020_05!$C$1:$AJ$1, 0))</f>
        <v>NaT</v>
      </c>
      <c r="D565" s="14">
        <f t="shared" si="48"/>
        <v>0</v>
      </c>
      <c r="E565" s="11">
        <f t="shared" si="49"/>
        <v>0</v>
      </c>
      <c r="F565" s="11">
        <f t="shared" ca="1" si="50"/>
        <v>0</v>
      </c>
      <c r="G565" s="9" t="e">
        <f>INDEX(signals_2019_10!$C$2:$AJ$682, MATCH($B565, signals_2019_10!$B$2:$B$682, 0), MATCH(C$2, signals_2019_10!$C$1:$AJ$1, 0))</f>
        <v>#N/A</v>
      </c>
      <c r="H565" s="14">
        <f t="shared" si="51"/>
        <v>0</v>
      </c>
      <c r="I565" s="11">
        <f t="shared" si="52"/>
        <v>0</v>
      </c>
      <c r="J565" s="11">
        <f t="shared" ca="1" si="53"/>
        <v>0</v>
      </c>
    </row>
    <row r="566" spans="1:10" hidden="1" x14ac:dyDescent="0.35">
      <c r="A566" s="20">
        <f>INDEX(signals_2020_05!$A$2:$A$680, MATCH(B566, signals_2020_05!$B$2:$B$680, 0))</f>
        <v>5095</v>
      </c>
      <c r="B566" s="2" t="str">
        <f>signals_2020_05!B556</f>
        <v>Sys 1. Power cabinet 5, Min</v>
      </c>
      <c r="C566" s="9" t="str">
        <f>INDEX(signals_2020_05!$C$2:$AJ$680, MATCH($B566, signals_2020_05!$B$2:$B$680, 0), MATCH(C$2, signals_2020_05!$C$1:$AJ$1, 0))</f>
        <v>NaT</v>
      </c>
      <c r="D566" s="14">
        <f t="shared" si="48"/>
        <v>0</v>
      </c>
      <c r="E566" s="11">
        <f t="shared" si="49"/>
        <v>0</v>
      </c>
      <c r="F566" s="11">
        <f t="shared" ca="1" si="50"/>
        <v>0</v>
      </c>
      <c r="G566" s="9" t="e">
        <f>INDEX(signals_2019_10!$C$2:$AJ$682, MATCH($B566, signals_2019_10!$B$2:$B$682, 0), MATCH(C$2, signals_2019_10!$C$1:$AJ$1, 0))</f>
        <v>#N/A</v>
      </c>
      <c r="H566" s="14">
        <f t="shared" si="51"/>
        <v>0</v>
      </c>
      <c r="I566" s="11">
        <f t="shared" si="52"/>
        <v>0</v>
      </c>
      <c r="J566" s="11">
        <f t="shared" ca="1" si="53"/>
        <v>0</v>
      </c>
    </row>
    <row r="567" spans="1:10" hidden="1" x14ac:dyDescent="0.35">
      <c r="A567" s="20">
        <f>INDEX(signals_2020_05!$A$2:$A$680, MATCH(B567, signals_2020_05!$B$2:$B$680, 0))</f>
        <v>5096</v>
      </c>
      <c r="B567" s="2" t="str">
        <f>signals_2020_05!B557</f>
        <v>Sys 1. Power cabinet 5, StdDev</v>
      </c>
      <c r="C567" s="9" t="str">
        <f>INDEX(signals_2020_05!$C$2:$AJ$680, MATCH($B567, signals_2020_05!$B$2:$B$680, 0), MATCH(C$2, signals_2020_05!$C$1:$AJ$1, 0))</f>
        <v>NaT</v>
      </c>
      <c r="D567" s="14">
        <f t="shared" si="48"/>
        <v>0</v>
      </c>
      <c r="E567" s="11">
        <f t="shared" si="49"/>
        <v>0</v>
      </c>
      <c r="F567" s="11">
        <f t="shared" ca="1" si="50"/>
        <v>0</v>
      </c>
      <c r="G567" s="9" t="e">
        <f>INDEX(signals_2019_10!$C$2:$AJ$682, MATCH($B567, signals_2019_10!$B$2:$B$682, 0), MATCH(C$2, signals_2019_10!$C$1:$AJ$1, 0))</f>
        <v>#N/A</v>
      </c>
      <c r="H567" s="14">
        <f t="shared" si="51"/>
        <v>0</v>
      </c>
      <c r="I567" s="11">
        <f t="shared" si="52"/>
        <v>0</v>
      </c>
      <c r="J567" s="11">
        <f t="shared" ca="1" si="53"/>
        <v>0</v>
      </c>
    </row>
    <row r="568" spans="1:10" hidden="1" x14ac:dyDescent="0.35">
      <c r="A568" s="20">
        <f>INDEX(signals_2020_05!$A$2:$A$680, MATCH(B568, signals_2020_05!$B$2:$B$680, 0))</f>
        <v>40</v>
      </c>
      <c r="B568" s="2" t="str">
        <f>signals_2020_05!B558</f>
        <v>Sys 1. Power cabinet 6</v>
      </c>
      <c r="C568" s="9" t="str">
        <f>INDEX(signals_2020_05!$C$2:$AJ$680, MATCH($B568, signals_2020_05!$B$2:$B$680, 0), MATCH(C$2, signals_2020_05!$C$1:$AJ$1, 0))</f>
        <v>NaT</v>
      </c>
      <c r="D568" s="14">
        <f t="shared" si="48"/>
        <v>0</v>
      </c>
      <c r="E568" s="11">
        <f t="shared" si="49"/>
        <v>0</v>
      </c>
      <c r="F568" s="11">
        <f t="shared" ca="1" si="50"/>
        <v>0</v>
      </c>
      <c r="G568" s="9" t="str">
        <f>INDEX(signals_2019_10!$C$2:$AJ$682, MATCH($B568, signals_2019_10!$B$2:$B$682, 0), MATCH(C$2, signals_2019_10!$C$1:$AJ$1, 0))</f>
        <v>NaT</v>
      </c>
      <c r="H568" s="14">
        <f t="shared" si="51"/>
        <v>0</v>
      </c>
      <c r="I568" s="11">
        <f t="shared" si="52"/>
        <v>0</v>
      </c>
      <c r="J568" s="11">
        <f t="shared" ca="1" si="53"/>
        <v>0</v>
      </c>
    </row>
    <row r="569" spans="1:10" hidden="1" x14ac:dyDescent="0.35">
      <c r="A569" s="20">
        <f>INDEX(signals_2020_05!$A$2:$A$680, MATCH(B569, signals_2020_05!$B$2:$B$680, 0))</f>
        <v>5097</v>
      </c>
      <c r="B569" s="2" t="str">
        <f>signals_2020_05!B559</f>
        <v>Sys 1. Power cabinet 6, Max</v>
      </c>
      <c r="C569" s="9" t="str">
        <f>INDEX(signals_2020_05!$C$2:$AJ$680, MATCH($B569, signals_2020_05!$B$2:$B$680, 0), MATCH(C$2, signals_2020_05!$C$1:$AJ$1, 0))</f>
        <v>NaT</v>
      </c>
      <c r="D569" s="14">
        <f t="shared" si="48"/>
        <v>0</v>
      </c>
      <c r="E569" s="11">
        <f t="shared" si="49"/>
        <v>0</v>
      </c>
      <c r="F569" s="11">
        <f t="shared" ca="1" si="50"/>
        <v>0</v>
      </c>
      <c r="G569" s="9" t="e">
        <f>INDEX(signals_2019_10!$C$2:$AJ$682, MATCH($B569, signals_2019_10!$B$2:$B$682, 0), MATCH(C$2, signals_2019_10!$C$1:$AJ$1, 0))</f>
        <v>#N/A</v>
      </c>
      <c r="H569" s="14">
        <f t="shared" si="51"/>
        <v>0</v>
      </c>
      <c r="I569" s="11">
        <f t="shared" si="52"/>
        <v>0</v>
      </c>
      <c r="J569" s="11">
        <f t="shared" ca="1" si="53"/>
        <v>0</v>
      </c>
    </row>
    <row r="570" spans="1:10" hidden="1" x14ac:dyDescent="0.35">
      <c r="A570" s="20">
        <f>INDEX(signals_2020_05!$A$2:$A$680, MATCH(B570, signals_2020_05!$B$2:$B$680, 0))</f>
        <v>5098</v>
      </c>
      <c r="B570" s="2" t="str">
        <f>signals_2020_05!B560</f>
        <v>Sys 1. Power cabinet 6, Min</v>
      </c>
      <c r="C570" s="9" t="str">
        <f>INDEX(signals_2020_05!$C$2:$AJ$680, MATCH($B570, signals_2020_05!$B$2:$B$680, 0), MATCH(C$2, signals_2020_05!$C$1:$AJ$1, 0))</f>
        <v>NaT</v>
      </c>
      <c r="D570" s="14">
        <f t="shared" si="48"/>
        <v>0</v>
      </c>
      <c r="E570" s="11">
        <f t="shared" si="49"/>
        <v>0</v>
      </c>
      <c r="F570" s="11">
        <f t="shared" ca="1" si="50"/>
        <v>0</v>
      </c>
      <c r="G570" s="9" t="e">
        <f>INDEX(signals_2019_10!$C$2:$AJ$682, MATCH($B570, signals_2019_10!$B$2:$B$682, 0), MATCH(C$2, signals_2019_10!$C$1:$AJ$1, 0))</f>
        <v>#N/A</v>
      </c>
      <c r="H570" s="14">
        <f t="shared" si="51"/>
        <v>0</v>
      </c>
      <c r="I570" s="11">
        <f t="shared" si="52"/>
        <v>0</v>
      </c>
      <c r="J570" s="11">
        <f t="shared" ca="1" si="53"/>
        <v>0</v>
      </c>
    </row>
    <row r="571" spans="1:10" hidden="1" x14ac:dyDescent="0.35">
      <c r="A571" s="20">
        <f>INDEX(signals_2020_05!$A$2:$A$680, MATCH(B571, signals_2020_05!$B$2:$B$680, 0))</f>
        <v>5099</v>
      </c>
      <c r="B571" s="2" t="str">
        <f>signals_2020_05!B561</f>
        <v>Sys 1. Power cabinet 6, StdDev</v>
      </c>
      <c r="C571" s="9" t="str">
        <f>INDEX(signals_2020_05!$C$2:$AJ$680, MATCH($B571, signals_2020_05!$B$2:$B$680, 0), MATCH(C$2, signals_2020_05!$C$1:$AJ$1, 0))</f>
        <v>NaT</v>
      </c>
      <c r="D571" s="14">
        <f t="shared" si="48"/>
        <v>0</v>
      </c>
      <c r="E571" s="11">
        <f t="shared" si="49"/>
        <v>0</v>
      </c>
      <c r="F571" s="11">
        <f t="shared" ca="1" si="50"/>
        <v>0</v>
      </c>
      <c r="G571" s="9" t="e">
        <f>INDEX(signals_2019_10!$C$2:$AJ$682, MATCH($B571, signals_2019_10!$B$2:$B$682, 0), MATCH(C$2, signals_2019_10!$C$1:$AJ$1, 0))</f>
        <v>#N/A</v>
      </c>
      <c r="H571" s="14">
        <f t="shared" si="51"/>
        <v>0</v>
      </c>
      <c r="I571" s="11">
        <f t="shared" si="52"/>
        <v>0</v>
      </c>
      <c r="J571" s="11">
        <f t="shared" ca="1" si="53"/>
        <v>0</v>
      </c>
    </row>
    <row r="572" spans="1:10" hidden="1" x14ac:dyDescent="0.35">
      <c r="A572" s="20">
        <f>INDEX(signals_2020_05!$A$2:$A$680, MATCH(B572, signals_2020_05!$B$2:$B$680, 0))</f>
        <v>41</v>
      </c>
      <c r="B572" s="2" t="str">
        <f>signals_2020_05!B562</f>
        <v>Sys 1. Power cabinet 7</v>
      </c>
      <c r="C572" s="9" t="str">
        <f>INDEX(signals_2020_05!$C$2:$AJ$680, MATCH($B572, signals_2020_05!$B$2:$B$680, 0), MATCH(C$2, signals_2020_05!$C$1:$AJ$1, 0))</f>
        <v>NaT</v>
      </c>
      <c r="D572" s="14">
        <f t="shared" si="48"/>
        <v>0</v>
      </c>
      <c r="E572" s="11">
        <f t="shared" si="49"/>
        <v>0</v>
      </c>
      <c r="F572" s="11">
        <f t="shared" ca="1" si="50"/>
        <v>0</v>
      </c>
      <c r="G572" s="9" t="str">
        <f>INDEX(signals_2019_10!$C$2:$AJ$682, MATCH($B572, signals_2019_10!$B$2:$B$682, 0), MATCH(C$2, signals_2019_10!$C$1:$AJ$1, 0))</f>
        <v>NaT</v>
      </c>
      <c r="H572" s="14">
        <f t="shared" si="51"/>
        <v>0</v>
      </c>
      <c r="I572" s="11">
        <f t="shared" si="52"/>
        <v>0</v>
      </c>
      <c r="J572" s="11">
        <f t="shared" ca="1" si="53"/>
        <v>0</v>
      </c>
    </row>
    <row r="573" spans="1:10" hidden="1" x14ac:dyDescent="0.35">
      <c r="A573" s="20">
        <f>INDEX(signals_2020_05!$A$2:$A$680, MATCH(B573, signals_2020_05!$B$2:$B$680, 0))</f>
        <v>5100</v>
      </c>
      <c r="B573" s="2" t="str">
        <f>signals_2020_05!B563</f>
        <v>Sys 1. Power cabinet 7, Max</v>
      </c>
      <c r="C573" s="9" t="str">
        <f>INDEX(signals_2020_05!$C$2:$AJ$680, MATCH($B573, signals_2020_05!$B$2:$B$680, 0), MATCH(C$2, signals_2020_05!$C$1:$AJ$1, 0))</f>
        <v>NaT</v>
      </c>
      <c r="D573" s="14">
        <f t="shared" si="48"/>
        <v>0</v>
      </c>
      <c r="E573" s="11">
        <f t="shared" si="49"/>
        <v>0</v>
      </c>
      <c r="F573" s="11">
        <f t="shared" ca="1" si="50"/>
        <v>0</v>
      </c>
      <c r="G573" s="9" t="e">
        <f>INDEX(signals_2019_10!$C$2:$AJ$682, MATCH($B573, signals_2019_10!$B$2:$B$682, 0), MATCH(C$2, signals_2019_10!$C$1:$AJ$1, 0))</f>
        <v>#N/A</v>
      </c>
      <c r="H573" s="14">
        <f t="shared" si="51"/>
        <v>0</v>
      </c>
      <c r="I573" s="11">
        <f t="shared" si="52"/>
        <v>0</v>
      </c>
      <c r="J573" s="11">
        <f t="shared" ca="1" si="53"/>
        <v>0</v>
      </c>
    </row>
    <row r="574" spans="1:10" hidden="1" x14ac:dyDescent="0.35">
      <c r="A574" s="20">
        <f>INDEX(signals_2020_05!$A$2:$A$680, MATCH(B574, signals_2020_05!$B$2:$B$680, 0))</f>
        <v>5101</v>
      </c>
      <c r="B574" s="2" t="str">
        <f>signals_2020_05!B564</f>
        <v>Sys 1. Power cabinet 7, Min</v>
      </c>
      <c r="C574" s="9" t="str">
        <f>INDEX(signals_2020_05!$C$2:$AJ$680, MATCH($B574, signals_2020_05!$B$2:$B$680, 0), MATCH(C$2, signals_2020_05!$C$1:$AJ$1, 0))</f>
        <v>NaT</v>
      </c>
      <c r="D574" s="14">
        <f t="shared" si="48"/>
        <v>0</v>
      </c>
      <c r="E574" s="11">
        <f t="shared" si="49"/>
        <v>0</v>
      </c>
      <c r="F574" s="11">
        <f t="shared" ca="1" si="50"/>
        <v>0</v>
      </c>
      <c r="G574" s="9" t="e">
        <f>INDEX(signals_2019_10!$C$2:$AJ$682, MATCH($B574, signals_2019_10!$B$2:$B$682, 0), MATCH(C$2, signals_2019_10!$C$1:$AJ$1, 0))</f>
        <v>#N/A</v>
      </c>
      <c r="H574" s="14">
        <f t="shared" si="51"/>
        <v>0</v>
      </c>
      <c r="I574" s="11">
        <f t="shared" si="52"/>
        <v>0</v>
      </c>
      <c r="J574" s="11">
        <f t="shared" ca="1" si="53"/>
        <v>0</v>
      </c>
    </row>
    <row r="575" spans="1:10" hidden="1" x14ac:dyDescent="0.35">
      <c r="A575" s="20">
        <f>INDEX(signals_2020_05!$A$2:$A$680, MATCH(B575, signals_2020_05!$B$2:$B$680, 0))</f>
        <v>5102</v>
      </c>
      <c r="B575" s="2" t="str">
        <f>signals_2020_05!B565</f>
        <v>Sys 1. Power cabinet 7, StdDev</v>
      </c>
      <c r="C575" s="9" t="str">
        <f>INDEX(signals_2020_05!$C$2:$AJ$680, MATCH($B575, signals_2020_05!$B$2:$B$680, 0), MATCH(C$2, signals_2020_05!$C$1:$AJ$1, 0))</f>
        <v>NaT</v>
      </c>
      <c r="D575" s="14">
        <f t="shared" si="48"/>
        <v>0</v>
      </c>
      <c r="E575" s="11">
        <f t="shared" si="49"/>
        <v>0</v>
      </c>
      <c r="F575" s="11">
        <f t="shared" ca="1" si="50"/>
        <v>0</v>
      </c>
      <c r="G575" s="9" t="e">
        <f>INDEX(signals_2019_10!$C$2:$AJ$682, MATCH($B575, signals_2019_10!$B$2:$B$682, 0), MATCH(C$2, signals_2019_10!$C$1:$AJ$1, 0))</f>
        <v>#N/A</v>
      </c>
      <c r="H575" s="14">
        <f t="shared" si="51"/>
        <v>0</v>
      </c>
      <c r="I575" s="11">
        <f t="shared" si="52"/>
        <v>0</v>
      </c>
      <c r="J575" s="11">
        <f t="shared" ca="1" si="53"/>
        <v>0</v>
      </c>
    </row>
    <row r="576" spans="1:10" hidden="1" x14ac:dyDescent="0.35">
      <c r="A576" s="20">
        <f>INDEX(signals_2020_05!$A$2:$A$680, MATCH(B576, signals_2020_05!$B$2:$B$680, 0))</f>
        <v>42</v>
      </c>
      <c r="B576" s="2" t="str">
        <f>signals_2020_05!B566</f>
        <v>Sys 1. Power cabinet 8</v>
      </c>
      <c r="C576" s="9" t="str">
        <f>INDEX(signals_2020_05!$C$2:$AJ$680, MATCH($B576, signals_2020_05!$B$2:$B$680, 0), MATCH(C$2, signals_2020_05!$C$1:$AJ$1, 0))</f>
        <v>NaT</v>
      </c>
      <c r="D576" s="14">
        <f t="shared" si="48"/>
        <v>0</v>
      </c>
      <c r="E576" s="11">
        <f t="shared" si="49"/>
        <v>0</v>
      </c>
      <c r="F576" s="11">
        <f t="shared" ca="1" si="50"/>
        <v>0</v>
      </c>
      <c r="G576" s="9" t="str">
        <f>INDEX(signals_2019_10!$C$2:$AJ$682, MATCH($B576, signals_2019_10!$B$2:$B$682, 0), MATCH(C$2, signals_2019_10!$C$1:$AJ$1, 0))</f>
        <v>NaT</v>
      </c>
      <c r="H576" s="14">
        <f t="shared" si="51"/>
        <v>0</v>
      </c>
      <c r="I576" s="11">
        <f t="shared" si="52"/>
        <v>0</v>
      </c>
      <c r="J576" s="11">
        <f t="shared" ca="1" si="53"/>
        <v>0</v>
      </c>
    </row>
    <row r="577" spans="1:10" hidden="1" x14ac:dyDescent="0.35">
      <c r="A577" s="20">
        <f>INDEX(signals_2020_05!$A$2:$A$680, MATCH(B577, signals_2020_05!$B$2:$B$680, 0))</f>
        <v>5103</v>
      </c>
      <c r="B577" s="2" t="str">
        <f>signals_2020_05!B567</f>
        <v>Sys 1. Power cabinet 8, Max</v>
      </c>
      <c r="C577" s="9" t="str">
        <f>INDEX(signals_2020_05!$C$2:$AJ$680, MATCH($B577, signals_2020_05!$B$2:$B$680, 0), MATCH(C$2, signals_2020_05!$C$1:$AJ$1, 0))</f>
        <v>NaT</v>
      </c>
      <c r="D577" s="14">
        <f t="shared" si="48"/>
        <v>0</v>
      </c>
      <c r="E577" s="11">
        <f t="shared" si="49"/>
        <v>0</v>
      </c>
      <c r="F577" s="11">
        <f t="shared" ca="1" si="50"/>
        <v>0</v>
      </c>
      <c r="G577" s="9" t="e">
        <f>INDEX(signals_2019_10!$C$2:$AJ$682, MATCH($B577, signals_2019_10!$B$2:$B$682, 0), MATCH(C$2, signals_2019_10!$C$1:$AJ$1, 0))</f>
        <v>#N/A</v>
      </c>
      <c r="H577" s="14">
        <f t="shared" si="51"/>
        <v>0</v>
      </c>
      <c r="I577" s="11">
        <f t="shared" si="52"/>
        <v>0</v>
      </c>
      <c r="J577" s="11">
        <f t="shared" ca="1" si="53"/>
        <v>0</v>
      </c>
    </row>
    <row r="578" spans="1:10" hidden="1" x14ac:dyDescent="0.35">
      <c r="A578" s="20">
        <f>INDEX(signals_2020_05!$A$2:$A$680, MATCH(B578, signals_2020_05!$B$2:$B$680, 0))</f>
        <v>5104</v>
      </c>
      <c r="B578" s="2" t="str">
        <f>signals_2020_05!B568</f>
        <v>Sys 1. Power cabinet 8, Min</v>
      </c>
      <c r="C578" s="9" t="str">
        <f>INDEX(signals_2020_05!$C$2:$AJ$680, MATCH($B578, signals_2020_05!$B$2:$B$680, 0), MATCH(C$2, signals_2020_05!$C$1:$AJ$1, 0))</f>
        <v>NaT</v>
      </c>
      <c r="D578" s="14">
        <f t="shared" si="48"/>
        <v>0</v>
      </c>
      <c r="E578" s="11">
        <f t="shared" si="49"/>
        <v>0</v>
      </c>
      <c r="F578" s="11">
        <f t="shared" ca="1" si="50"/>
        <v>0</v>
      </c>
      <c r="G578" s="9" t="e">
        <f>INDEX(signals_2019_10!$C$2:$AJ$682, MATCH($B578, signals_2019_10!$B$2:$B$682, 0), MATCH(C$2, signals_2019_10!$C$1:$AJ$1, 0))</f>
        <v>#N/A</v>
      </c>
      <c r="H578" s="14">
        <f t="shared" si="51"/>
        <v>0</v>
      </c>
      <c r="I578" s="11">
        <f t="shared" si="52"/>
        <v>0</v>
      </c>
      <c r="J578" s="11">
        <f t="shared" ca="1" si="53"/>
        <v>0</v>
      </c>
    </row>
    <row r="579" spans="1:10" hidden="1" x14ac:dyDescent="0.35">
      <c r="A579" s="20">
        <f>INDEX(signals_2020_05!$A$2:$A$680, MATCH(B579, signals_2020_05!$B$2:$B$680, 0))</f>
        <v>5105</v>
      </c>
      <c r="B579" s="2" t="str">
        <f>signals_2020_05!B569</f>
        <v>Sys 1. Power cabinet 8, StdDev</v>
      </c>
      <c r="C579" s="9" t="str">
        <f>INDEX(signals_2020_05!$C$2:$AJ$680, MATCH($B579, signals_2020_05!$B$2:$B$680, 0), MATCH(C$2, signals_2020_05!$C$1:$AJ$1, 0))</f>
        <v>NaT</v>
      </c>
      <c r="D579" s="14">
        <f t="shared" si="48"/>
        <v>0</v>
      </c>
      <c r="E579" s="11">
        <f t="shared" si="49"/>
        <v>0</v>
      </c>
      <c r="F579" s="11">
        <f t="shared" ca="1" si="50"/>
        <v>0</v>
      </c>
      <c r="G579" s="9" t="e">
        <f>INDEX(signals_2019_10!$C$2:$AJ$682, MATCH($B579, signals_2019_10!$B$2:$B$682, 0), MATCH(C$2, signals_2019_10!$C$1:$AJ$1, 0))</f>
        <v>#N/A</v>
      </c>
      <c r="H579" s="14">
        <f t="shared" si="51"/>
        <v>0</v>
      </c>
      <c r="I579" s="11">
        <f t="shared" si="52"/>
        <v>0</v>
      </c>
      <c r="J579" s="11">
        <f t="shared" ca="1" si="53"/>
        <v>0</v>
      </c>
    </row>
    <row r="580" spans="1:10" hidden="1" x14ac:dyDescent="0.35">
      <c r="A580" s="20">
        <f>INDEX(signals_2020_05!$A$2:$A$680, MATCH(B580, signals_2020_05!$B$2:$B$680, 0))</f>
        <v>43</v>
      </c>
      <c r="B580" s="2" t="str">
        <f>signals_2020_05!B570</f>
        <v>Sys 1. Power cabinet 9</v>
      </c>
      <c r="C580" s="9" t="str">
        <f>INDEX(signals_2020_05!$C$2:$AJ$680, MATCH($B580, signals_2020_05!$B$2:$B$680, 0), MATCH(C$2, signals_2020_05!$C$1:$AJ$1, 0))</f>
        <v>NaT</v>
      </c>
      <c r="D580" s="14">
        <f t="shared" si="48"/>
        <v>0</v>
      </c>
      <c r="E580" s="11">
        <f t="shared" si="49"/>
        <v>0</v>
      </c>
      <c r="F580" s="11">
        <f t="shared" ca="1" si="50"/>
        <v>0</v>
      </c>
      <c r="G580" s="9" t="str">
        <f>INDEX(signals_2019_10!$C$2:$AJ$682, MATCH($B580, signals_2019_10!$B$2:$B$682, 0), MATCH(C$2, signals_2019_10!$C$1:$AJ$1, 0))</f>
        <v>NaT</v>
      </c>
      <c r="H580" s="14">
        <f t="shared" si="51"/>
        <v>0</v>
      </c>
      <c r="I580" s="11">
        <f t="shared" si="52"/>
        <v>0</v>
      </c>
      <c r="J580" s="11">
        <f t="shared" ca="1" si="53"/>
        <v>0</v>
      </c>
    </row>
    <row r="581" spans="1:10" hidden="1" x14ac:dyDescent="0.35">
      <c r="A581" s="20">
        <f>INDEX(signals_2020_05!$A$2:$A$680, MATCH(B581, signals_2020_05!$B$2:$B$680, 0))</f>
        <v>5106</v>
      </c>
      <c r="B581" s="2" t="str">
        <f>signals_2020_05!B571</f>
        <v>Sys 1. Power cabinet 9, Max</v>
      </c>
      <c r="C581" s="9" t="str">
        <f>INDEX(signals_2020_05!$C$2:$AJ$680, MATCH($B581, signals_2020_05!$B$2:$B$680, 0), MATCH(C$2, signals_2020_05!$C$1:$AJ$1, 0))</f>
        <v>NaT</v>
      </c>
      <c r="D581" s="14">
        <f t="shared" si="48"/>
        <v>0</v>
      </c>
      <c r="E581" s="11">
        <f t="shared" si="49"/>
        <v>0</v>
      </c>
      <c r="F581" s="11">
        <f t="shared" ca="1" si="50"/>
        <v>0</v>
      </c>
      <c r="G581" s="9" t="e">
        <f>INDEX(signals_2019_10!$C$2:$AJ$682, MATCH($B581, signals_2019_10!$B$2:$B$682, 0), MATCH(C$2, signals_2019_10!$C$1:$AJ$1, 0))</f>
        <v>#N/A</v>
      </c>
      <c r="H581" s="14">
        <f t="shared" si="51"/>
        <v>0</v>
      </c>
      <c r="I581" s="11">
        <f t="shared" si="52"/>
        <v>0</v>
      </c>
      <c r="J581" s="11">
        <f t="shared" ca="1" si="53"/>
        <v>0</v>
      </c>
    </row>
    <row r="582" spans="1:10" hidden="1" x14ac:dyDescent="0.35">
      <c r="A582" s="20">
        <f>INDEX(signals_2020_05!$A$2:$A$680, MATCH(B582, signals_2020_05!$B$2:$B$680, 0))</f>
        <v>5107</v>
      </c>
      <c r="B582" s="2" t="str">
        <f>signals_2020_05!B572</f>
        <v>Sys 1. Power cabinet 9, Min</v>
      </c>
      <c r="C582" s="9" t="str">
        <f>INDEX(signals_2020_05!$C$2:$AJ$680, MATCH($B582, signals_2020_05!$B$2:$B$680, 0), MATCH(C$2, signals_2020_05!$C$1:$AJ$1, 0))</f>
        <v>NaT</v>
      </c>
      <c r="D582" s="14">
        <f t="shared" si="48"/>
        <v>0</v>
      </c>
      <c r="E582" s="11">
        <f t="shared" si="49"/>
        <v>0</v>
      </c>
      <c r="F582" s="11">
        <f t="shared" ca="1" si="50"/>
        <v>0</v>
      </c>
      <c r="G582" s="9" t="e">
        <f>INDEX(signals_2019_10!$C$2:$AJ$682, MATCH($B582, signals_2019_10!$B$2:$B$682, 0), MATCH(C$2, signals_2019_10!$C$1:$AJ$1, 0))</f>
        <v>#N/A</v>
      </c>
      <c r="H582" s="14">
        <f t="shared" si="51"/>
        <v>0</v>
      </c>
      <c r="I582" s="11">
        <f t="shared" si="52"/>
        <v>0</v>
      </c>
      <c r="J582" s="11">
        <f t="shared" ca="1" si="53"/>
        <v>0</v>
      </c>
    </row>
    <row r="583" spans="1:10" hidden="1" x14ac:dyDescent="0.35">
      <c r="A583" s="20">
        <f>INDEX(signals_2020_05!$A$2:$A$680, MATCH(B583, signals_2020_05!$B$2:$B$680, 0))</f>
        <v>5108</v>
      </c>
      <c r="B583" s="2" t="str">
        <f>signals_2020_05!B573</f>
        <v>Sys 1. Power cabinet 9, StdDev</v>
      </c>
      <c r="C583" s="9" t="str">
        <f>INDEX(signals_2020_05!$C$2:$AJ$680, MATCH($B583, signals_2020_05!$B$2:$B$680, 0), MATCH(C$2, signals_2020_05!$C$1:$AJ$1, 0))</f>
        <v>NaT</v>
      </c>
      <c r="D583" s="14">
        <f t="shared" si="48"/>
        <v>0</v>
      </c>
      <c r="E583" s="11">
        <f t="shared" si="49"/>
        <v>0</v>
      </c>
      <c r="F583" s="11">
        <f t="shared" ca="1" si="50"/>
        <v>0</v>
      </c>
      <c r="G583" s="9" t="e">
        <f>INDEX(signals_2019_10!$C$2:$AJ$682, MATCH($B583, signals_2019_10!$B$2:$B$682, 0), MATCH(C$2, signals_2019_10!$C$1:$AJ$1, 0))</f>
        <v>#N/A</v>
      </c>
      <c r="H583" s="14">
        <f t="shared" si="51"/>
        <v>0</v>
      </c>
      <c r="I583" s="11">
        <f t="shared" si="52"/>
        <v>0</v>
      </c>
      <c r="J583" s="11">
        <f t="shared" ca="1" si="53"/>
        <v>0</v>
      </c>
    </row>
    <row r="584" spans="1:10" hidden="1" x14ac:dyDescent="0.35">
      <c r="A584" s="20">
        <f>INDEX(signals_2020_05!$A$2:$A$680, MATCH(B584, signals_2020_05!$B$2:$B$680, 0))</f>
        <v>387</v>
      </c>
      <c r="B584" s="2" t="str">
        <f>signals_2020_05!B574</f>
        <v>System pressure</v>
      </c>
      <c r="C584" s="9" t="str">
        <f>INDEX(signals_2020_05!$C$2:$AJ$680, MATCH($B584, signals_2020_05!$B$2:$B$680, 0), MATCH(C$2, signals_2020_05!$C$1:$AJ$1, 0))</f>
        <v>NaT</v>
      </c>
      <c r="D584" s="14">
        <f t="shared" si="48"/>
        <v>0</v>
      </c>
      <c r="E584" s="11">
        <f t="shared" si="49"/>
        <v>0</v>
      </c>
      <c r="F584" s="11">
        <f t="shared" ca="1" si="50"/>
        <v>0</v>
      </c>
      <c r="G584" s="9" t="str">
        <f>INDEX(signals_2019_10!$C$2:$AJ$682, MATCH($B584, signals_2019_10!$B$2:$B$682, 0), MATCH(C$2, signals_2019_10!$C$1:$AJ$1, 0))</f>
        <v>NaT</v>
      </c>
      <c r="H584" s="14">
        <f t="shared" si="51"/>
        <v>0</v>
      </c>
      <c r="I584" s="11">
        <f t="shared" si="52"/>
        <v>0</v>
      </c>
      <c r="J584" s="11">
        <f t="shared" ca="1" si="53"/>
        <v>0</v>
      </c>
    </row>
    <row r="585" spans="1:10" hidden="1" x14ac:dyDescent="0.35">
      <c r="A585" s="20">
        <f>INDEX(signals_2020_05!$A$2:$A$680, MATCH(B585, signals_2020_05!$B$2:$B$680, 0))</f>
        <v>388</v>
      </c>
      <c r="B585" s="2" t="str">
        <f>signals_2020_05!B575</f>
        <v>Temp. cooling water advance</v>
      </c>
      <c r="C585" s="9" t="str">
        <f>INDEX(signals_2020_05!$C$2:$AJ$680, MATCH($B585, signals_2020_05!$B$2:$B$680, 0), MATCH(C$2, signals_2020_05!$C$1:$AJ$1, 0))</f>
        <v>NaT</v>
      </c>
      <c r="D585" s="14">
        <f t="shared" si="48"/>
        <v>0</v>
      </c>
      <c r="E585" s="11">
        <f t="shared" si="49"/>
        <v>0</v>
      </c>
      <c r="F585" s="11">
        <f t="shared" ca="1" si="50"/>
        <v>0</v>
      </c>
      <c r="G585" s="9" t="str">
        <f>INDEX(signals_2019_10!$C$2:$AJ$682, MATCH($B585, signals_2019_10!$B$2:$B$682, 0), MATCH(C$2, signals_2019_10!$C$1:$AJ$1, 0))</f>
        <v>NaT</v>
      </c>
      <c r="H585" s="14">
        <f t="shared" si="51"/>
        <v>0</v>
      </c>
      <c r="I585" s="11">
        <f t="shared" si="52"/>
        <v>0</v>
      </c>
      <c r="J585" s="11">
        <f t="shared" ca="1" si="53"/>
        <v>0</v>
      </c>
    </row>
    <row r="586" spans="1:10" hidden="1" x14ac:dyDescent="0.35">
      <c r="A586" s="20">
        <f>INDEX(signals_2020_05!$A$2:$A$680, MATCH(B586, signals_2020_05!$B$2:$B$680, 0))</f>
        <v>4329</v>
      </c>
      <c r="B586" s="2" t="str">
        <f>signals_2020_05!B576</f>
        <v>Temp. cooling water advance, Max</v>
      </c>
      <c r="C586" s="9" t="str">
        <f>INDEX(signals_2020_05!$C$2:$AJ$680, MATCH($B586, signals_2020_05!$B$2:$B$680, 0), MATCH(C$2, signals_2020_05!$C$1:$AJ$1, 0))</f>
        <v>NaT</v>
      </c>
      <c r="D586" s="14">
        <f t="shared" si="48"/>
        <v>0</v>
      </c>
      <c r="E586" s="11">
        <f t="shared" si="49"/>
        <v>0</v>
      </c>
      <c r="F586" s="11">
        <f t="shared" ca="1" si="50"/>
        <v>0</v>
      </c>
      <c r="G586" s="9" t="e">
        <f>INDEX(signals_2019_10!$C$2:$AJ$682, MATCH($B586, signals_2019_10!$B$2:$B$682, 0), MATCH(C$2, signals_2019_10!$C$1:$AJ$1, 0))</f>
        <v>#N/A</v>
      </c>
      <c r="H586" s="14">
        <f t="shared" si="51"/>
        <v>0</v>
      </c>
      <c r="I586" s="11">
        <f t="shared" si="52"/>
        <v>0</v>
      </c>
      <c r="J586" s="11">
        <f t="shared" ca="1" si="53"/>
        <v>0</v>
      </c>
    </row>
    <row r="587" spans="1:10" hidden="1" x14ac:dyDescent="0.35">
      <c r="A587" s="20">
        <f>INDEX(signals_2020_05!$A$2:$A$680, MATCH(B587, signals_2020_05!$B$2:$B$680, 0))</f>
        <v>4330</v>
      </c>
      <c r="B587" s="2" t="str">
        <f>signals_2020_05!B577</f>
        <v>Temp. cooling water advance, Min</v>
      </c>
      <c r="C587" s="9" t="str">
        <f>INDEX(signals_2020_05!$C$2:$AJ$680, MATCH($B587, signals_2020_05!$B$2:$B$680, 0), MATCH(C$2, signals_2020_05!$C$1:$AJ$1, 0))</f>
        <v>NaT</v>
      </c>
      <c r="D587" s="14">
        <f t="shared" si="48"/>
        <v>0</v>
      </c>
      <c r="E587" s="11">
        <f t="shared" si="49"/>
        <v>0</v>
      </c>
      <c r="F587" s="11">
        <f t="shared" ca="1" si="50"/>
        <v>0</v>
      </c>
      <c r="G587" s="9" t="e">
        <f>INDEX(signals_2019_10!$C$2:$AJ$682, MATCH($B587, signals_2019_10!$B$2:$B$682, 0), MATCH(C$2, signals_2019_10!$C$1:$AJ$1, 0))</f>
        <v>#N/A</v>
      </c>
      <c r="H587" s="14">
        <f t="shared" si="51"/>
        <v>0</v>
      </c>
      <c r="I587" s="11">
        <f t="shared" si="52"/>
        <v>0</v>
      </c>
      <c r="J587" s="11">
        <f t="shared" ca="1" si="53"/>
        <v>0</v>
      </c>
    </row>
    <row r="588" spans="1:10" hidden="1" x14ac:dyDescent="0.35">
      <c r="A588" s="20">
        <f>INDEX(signals_2020_05!$A$2:$A$680, MATCH(B588, signals_2020_05!$B$2:$B$680, 0))</f>
        <v>4331</v>
      </c>
      <c r="B588" s="2" t="str">
        <f>signals_2020_05!B578</f>
        <v>Temp. cooling water advance, StdDev</v>
      </c>
      <c r="C588" s="9" t="str">
        <f>INDEX(signals_2020_05!$C$2:$AJ$680, MATCH($B588, signals_2020_05!$B$2:$B$680, 0), MATCH(C$2, signals_2020_05!$C$1:$AJ$1, 0))</f>
        <v>NaT</v>
      </c>
      <c r="D588" s="14">
        <f t="shared" si="48"/>
        <v>0</v>
      </c>
      <c r="E588" s="11">
        <f t="shared" si="49"/>
        <v>0</v>
      </c>
      <c r="F588" s="11">
        <f t="shared" ca="1" si="50"/>
        <v>0</v>
      </c>
      <c r="G588" s="9" t="e">
        <f>INDEX(signals_2019_10!$C$2:$AJ$682, MATCH($B588, signals_2019_10!$B$2:$B$682, 0), MATCH(C$2, signals_2019_10!$C$1:$AJ$1, 0))</f>
        <v>#N/A</v>
      </c>
      <c r="H588" s="14">
        <f t="shared" si="51"/>
        <v>0</v>
      </c>
      <c r="I588" s="11">
        <f t="shared" si="52"/>
        <v>0</v>
      </c>
      <c r="J588" s="11">
        <f t="shared" ca="1" si="53"/>
        <v>0</v>
      </c>
    </row>
    <row r="589" spans="1:10" hidden="1" x14ac:dyDescent="0.35">
      <c r="A589" s="20">
        <f>INDEX(signals_2020_05!$A$2:$A$680, MATCH(B589, signals_2020_05!$B$2:$B$680, 0))</f>
        <v>389</v>
      </c>
      <c r="B589" s="2" t="str">
        <f>signals_2020_05!B579</f>
        <v>Temp. cooling water return</v>
      </c>
      <c r="C589" s="9" t="str">
        <f>INDEX(signals_2020_05!$C$2:$AJ$680, MATCH($B589, signals_2020_05!$B$2:$B$680, 0), MATCH(C$2, signals_2020_05!$C$1:$AJ$1, 0))</f>
        <v>NaT</v>
      </c>
      <c r="D589" s="14">
        <f t="shared" ref="D589:D652" si="54">IF(ISERROR(C589), 0, IF(C589="NaT", 0, 1))</f>
        <v>0</v>
      </c>
      <c r="E589" s="11">
        <f t="shared" ref="E589:E652" si="55">IF(D589, IF(FLOOR($C589, 1) = FLOOR($C$5, 1), 1, 0), 0)</f>
        <v>0</v>
      </c>
      <c r="F589" s="11">
        <f t="shared" ref="F589:F652" ca="1" si="56">IF(ISERROR(C589), 0, IF(C589="NaT", 0,ROUND(((NOW()-C589)/365.25)*10, 0)/10))</f>
        <v>0</v>
      </c>
      <c r="G589" s="9" t="str">
        <f>INDEX(signals_2019_10!$C$2:$AJ$682, MATCH($B589, signals_2019_10!$B$2:$B$682, 0), MATCH(C$2, signals_2019_10!$C$1:$AJ$1, 0))</f>
        <v>NaT</v>
      </c>
      <c r="H589" s="14">
        <f t="shared" ref="H589:H652" si="57">IF(ISERROR(G589), 0, IF(G589="NaT", 0, 1))</f>
        <v>0</v>
      </c>
      <c r="I589" s="11">
        <f t="shared" ref="I589:I652" si="58">IF(H589, IF(FLOOR($C589, 1) = FLOOR($C$5, 1), 1, 0), 0)</f>
        <v>0</v>
      </c>
      <c r="J589" s="11">
        <f t="shared" ref="J589:J652" ca="1" si="59">IF(ISERROR(G589), 0, IF(G589="NaT", 0,ROUND(((NOW()-G589)/365.25)*10, 0)/10))</f>
        <v>0</v>
      </c>
    </row>
    <row r="590" spans="1:10" hidden="1" x14ac:dyDescent="0.35">
      <c r="A590" s="20">
        <f>INDEX(signals_2020_05!$A$2:$A$680, MATCH(B590, signals_2020_05!$B$2:$B$680, 0))</f>
        <v>4332</v>
      </c>
      <c r="B590" s="2" t="str">
        <f>signals_2020_05!B580</f>
        <v>Temp. cooling water return, Max</v>
      </c>
      <c r="C590" s="9" t="str">
        <f>INDEX(signals_2020_05!$C$2:$AJ$680, MATCH($B590, signals_2020_05!$B$2:$B$680, 0), MATCH(C$2, signals_2020_05!$C$1:$AJ$1, 0))</f>
        <v>NaT</v>
      </c>
      <c r="D590" s="14">
        <f t="shared" si="54"/>
        <v>0</v>
      </c>
      <c r="E590" s="11">
        <f t="shared" si="55"/>
        <v>0</v>
      </c>
      <c r="F590" s="11">
        <f t="shared" ca="1" si="56"/>
        <v>0</v>
      </c>
      <c r="G590" s="9" t="e">
        <f>INDEX(signals_2019_10!$C$2:$AJ$682, MATCH($B590, signals_2019_10!$B$2:$B$682, 0), MATCH(C$2, signals_2019_10!$C$1:$AJ$1, 0))</f>
        <v>#N/A</v>
      </c>
      <c r="H590" s="14">
        <f t="shared" si="57"/>
        <v>0</v>
      </c>
      <c r="I590" s="11">
        <f t="shared" si="58"/>
        <v>0</v>
      </c>
      <c r="J590" s="11">
        <f t="shared" ca="1" si="59"/>
        <v>0</v>
      </c>
    </row>
    <row r="591" spans="1:10" hidden="1" x14ac:dyDescent="0.35">
      <c r="A591" s="20">
        <f>INDEX(signals_2020_05!$A$2:$A$680, MATCH(B591, signals_2020_05!$B$2:$B$680, 0))</f>
        <v>4333</v>
      </c>
      <c r="B591" s="2" t="str">
        <f>signals_2020_05!B581</f>
        <v>Temp. cooling water return, Min</v>
      </c>
      <c r="C591" s="9" t="str">
        <f>INDEX(signals_2020_05!$C$2:$AJ$680, MATCH($B591, signals_2020_05!$B$2:$B$680, 0), MATCH(C$2, signals_2020_05!$C$1:$AJ$1, 0))</f>
        <v>NaT</v>
      </c>
      <c r="D591" s="14">
        <f t="shared" si="54"/>
        <v>0</v>
      </c>
      <c r="E591" s="11">
        <f t="shared" si="55"/>
        <v>0</v>
      </c>
      <c r="F591" s="11">
        <f t="shared" ca="1" si="56"/>
        <v>0</v>
      </c>
      <c r="G591" s="9" t="e">
        <f>INDEX(signals_2019_10!$C$2:$AJ$682, MATCH($B591, signals_2019_10!$B$2:$B$682, 0), MATCH(C$2, signals_2019_10!$C$1:$AJ$1, 0))</f>
        <v>#N/A</v>
      </c>
      <c r="H591" s="14">
        <f t="shared" si="57"/>
        <v>0</v>
      </c>
      <c r="I591" s="11">
        <f t="shared" si="58"/>
        <v>0</v>
      </c>
      <c r="J591" s="11">
        <f t="shared" ca="1" si="59"/>
        <v>0</v>
      </c>
    </row>
    <row r="592" spans="1:10" hidden="1" x14ac:dyDescent="0.35">
      <c r="A592" s="20">
        <f>INDEX(signals_2020_05!$A$2:$A$680, MATCH(B592, signals_2020_05!$B$2:$B$680, 0))</f>
        <v>4334</v>
      </c>
      <c r="B592" s="2" t="str">
        <f>signals_2020_05!B582</f>
        <v>Temp. cooling water return, StdDev</v>
      </c>
      <c r="C592" s="9" t="str">
        <f>INDEX(signals_2020_05!$C$2:$AJ$680, MATCH($B592, signals_2020_05!$B$2:$B$680, 0), MATCH(C$2, signals_2020_05!$C$1:$AJ$1, 0))</f>
        <v>NaT</v>
      </c>
      <c r="D592" s="14">
        <f t="shared" si="54"/>
        <v>0</v>
      </c>
      <c r="E592" s="11">
        <f t="shared" si="55"/>
        <v>0</v>
      </c>
      <c r="F592" s="11">
        <f t="shared" ca="1" si="56"/>
        <v>0</v>
      </c>
      <c r="G592" s="9" t="e">
        <f>INDEX(signals_2019_10!$C$2:$AJ$682, MATCH($B592, signals_2019_10!$B$2:$B$682, 0), MATCH(C$2, signals_2019_10!$C$1:$AJ$1, 0))</f>
        <v>#N/A</v>
      </c>
      <c r="H592" s="14">
        <f t="shared" si="57"/>
        <v>0</v>
      </c>
      <c r="I592" s="11">
        <f t="shared" si="58"/>
        <v>0</v>
      </c>
      <c r="J592" s="11">
        <f t="shared" ca="1" si="59"/>
        <v>0</v>
      </c>
    </row>
    <row r="593" spans="1:10" hidden="1" x14ac:dyDescent="0.35">
      <c r="A593" s="20">
        <f>INDEX(signals_2020_05!$A$2:$A$680, MATCH(B593, signals_2020_05!$B$2:$B$680, 0))</f>
        <v>256</v>
      </c>
      <c r="B593" s="2" t="str">
        <f>signals_2020_05!B583</f>
        <v>Temp. gearbox</v>
      </c>
      <c r="C593" s="9" t="str">
        <f>INDEX(signals_2020_05!$C$2:$AJ$680, MATCH($B593, signals_2020_05!$B$2:$B$680, 0), MATCH(C$2, signals_2020_05!$C$1:$AJ$1, 0))</f>
        <v>NaT</v>
      </c>
      <c r="D593" s="14">
        <f t="shared" si="54"/>
        <v>0</v>
      </c>
      <c r="E593" s="11">
        <f t="shared" si="55"/>
        <v>0</v>
      </c>
      <c r="F593" s="11">
        <f t="shared" ca="1" si="56"/>
        <v>0</v>
      </c>
      <c r="G593" s="9" t="str">
        <f>INDEX(signals_2019_10!$C$2:$AJ$682, MATCH($B593, signals_2019_10!$B$2:$B$682, 0), MATCH(C$2, signals_2019_10!$C$1:$AJ$1, 0))</f>
        <v>NaT</v>
      </c>
      <c r="H593" s="14">
        <f t="shared" si="57"/>
        <v>0</v>
      </c>
      <c r="I593" s="11">
        <f t="shared" si="58"/>
        <v>0</v>
      </c>
      <c r="J593" s="11">
        <f t="shared" ca="1" si="59"/>
        <v>0</v>
      </c>
    </row>
    <row r="594" spans="1:10" hidden="1" x14ac:dyDescent="0.35">
      <c r="A594" s="20">
        <f>INDEX(signals_2020_05!$A$2:$A$680, MATCH(B594, signals_2020_05!$B$2:$B$680, 0))</f>
        <v>393</v>
      </c>
      <c r="B594" s="2" t="str">
        <f>signals_2020_05!B584</f>
        <v>Temp. gearbox oil heat exchanger</v>
      </c>
      <c r="C594" s="9" t="str">
        <f>INDEX(signals_2020_05!$C$2:$AJ$680, MATCH($B594, signals_2020_05!$B$2:$B$680, 0), MATCH(C$2, signals_2020_05!$C$1:$AJ$1, 0))</f>
        <v>NaT</v>
      </c>
      <c r="D594" s="14">
        <f t="shared" si="54"/>
        <v>0</v>
      </c>
      <c r="E594" s="11">
        <f t="shared" si="55"/>
        <v>0</v>
      </c>
      <c r="F594" s="11">
        <f t="shared" ca="1" si="56"/>
        <v>0</v>
      </c>
      <c r="G594" s="9" t="str">
        <f>INDEX(signals_2019_10!$C$2:$AJ$682, MATCH($B594, signals_2019_10!$B$2:$B$682, 0), MATCH(C$2, signals_2019_10!$C$1:$AJ$1, 0))</f>
        <v>NaT</v>
      </c>
      <c r="H594" s="14">
        <f t="shared" si="57"/>
        <v>0</v>
      </c>
      <c r="I594" s="11">
        <f t="shared" si="58"/>
        <v>0</v>
      </c>
      <c r="J594" s="11">
        <f t="shared" ca="1" si="59"/>
        <v>0</v>
      </c>
    </row>
    <row r="595" spans="1:10" hidden="1" x14ac:dyDescent="0.35">
      <c r="A595" s="20">
        <f>INDEX(signals_2020_05!$A$2:$A$680, MATCH(B595, signals_2020_05!$B$2:$B$680, 0))</f>
        <v>942</v>
      </c>
      <c r="B595" s="2" t="str">
        <f>signals_2020_05!B585</f>
        <v>Temp. gearbox, Max</v>
      </c>
      <c r="C595" s="9" t="str">
        <f>INDEX(signals_2020_05!$C$2:$AJ$680, MATCH($B595, signals_2020_05!$B$2:$B$680, 0), MATCH(C$2, signals_2020_05!$C$1:$AJ$1, 0))</f>
        <v>NaT</v>
      </c>
      <c r="D595" s="14">
        <f t="shared" si="54"/>
        <v>0</v>
      </c>
      <c r="E595" s="11">
        <f t="shared" si="55"/>
        <v>0</v>
      </c>
      <c r="F595" s="11">
        <f t="shared" ca="1" si="56"/>
        <v>0</v>
      </c>
      <c r="G595" s="9" t="e">
        <f>INDEX(signals_2019_10!$C$2:$AJ$682, MATCH($B595, signals_2019_10!$B$2:$B$682, 0), MATCH(C$2, signals_2019_10!$C$1:$AJ$1, 0))</f>
        <v>#N/A</v>
      </c>
      <c r="H595" s="14">
        <f t="shared" si="57"/>
        <v>0</v>
      </c>
      <c r="I595" s="11">
        <f t="shared" si="58"/>
        <v>0</v>
      </c>
      <c r="J595" s="11">
        <f t="shared" ca="1" si="59"/>
        <v>0</v>
      </c>
    </row>
    <row r="596" spans="1:10" hidden="1" x14ac:dyDescent="0.35">
      <c r="A596" s="20">
        <f>INDEX(signals_2020_05!$A$2:$A$680, MATCH(B596, signals_2020_05!$B$2:$B$680, 0))</f>
        <v>943</v>
      </c>
      <c r="B596" s="2" t="str">
        <f>signals_2020_05!B586</f>
        <v>Temp. gearbox, Min</v>
      </c>
      <c r="C596" s="9" t="str">
        <f>INDEX(signals_2020_05!$C$2:$AJ$680, MATCH($B596, signals_2020_05!$B$2:$B$680, 0), MATCH(C$2, signals_2020_05!$C$1:$AJ$1, 0))</f>
        <v>NaT</v>
      </c>
      <c r="D596" s="14">
        <f t="shared" si="54"/>
        <v>0</v>
      </c>
      <c r="E596" s="11">
        <f t="shared" si="55"/>
        <v>0</v>
      </c>
      <c r="F596" s="11">
        <f t="shared" ca="1" si="56"/>
        <v>0</v>
      </c>
      <c r="G596" s="9" t="e">
        <f>INDEX(signals_2019_10!$C$2:$AJ$682, MATCH($B596, signals_2019_10!$B$2:$B$682, 0), MATCH(C$2, signals_2019_10!$C$1:$AJ$1, 0))</f>
        <v>#N/A</v>
      </c>
      <c r="H596" s="14">
        <f t="shared" si="57"/>
        <v>0</v>
      </c>
      <c r="I596" s="11">
        <f t="shared" si="58"/>
        <v>0</v>
      </c>
      <c r="J596" s="11">
        <f t="shared" ca="1" si="59"/>
        <v>0</v>
      </c>
    </row>
    <row r="597" spans="1:10" hidden="1" x14ac:dyDescent="0.35">
      <c r="A597" s="20">
        <f>INDEX(signals_2020_05!$A$2:$A$680, MATCH(B597, signals_2020_05!$B$2:$B$680, 0))</f>
        <v>944</v>
      </c>
      <c r="B597" s="2" t="str">
        <f>signals_2020_05!B587</f>
        <v>Temp. gearbox, Standard deviation</v>
      </c>
      <c r="C597" s="9" t="str">
        <f>INDEX(signals_2020_05!$C$2:$AJ$680, MATCH($B597, signals_2020_05!$B$2:$B$680, 0), MATCH(C$2, signals_2020_05!$C$1:$AJ$1, 0))</f>
        <v>NaT</v>
      </c>
      <c r="D597" s="14">
        <f t="shared" si="54"/>
        <v>0</v>
      </c>
      <c r="E597" s="11">
        <f t="shared" si="55"/>
        <v>0</v>
      </c>
      <c r="F597" s="11">
        <f t="shared" ca="1" si="56"/>
        <v>0</v>
      </c>
      <c r="G597" s="9" t="e">
        <f>INDEX(signals_2019_10!$C$2:$AJ$682, MATCH($B597, signals_2019_10!$B$2:$B$682, 0), MATCH(C$2, signals_2019_10!$C$1:$AJ$1, 0))</f>
        <v>#N/A</v>
      </c>
      <c r="H597" s="14">
        <f t="shared" si="57"/>
        <v>0</v>
      </c>
      <c r="I597" s="11">
        <f t="shared" si="58"/>
        <v>0</v>
      </c>
      <c r="J597" s="11">
        <f t="shared" ca="1" si="59"/>
        <v>0</v>
      </c>
    </row>
    <row r="598" spans="1:10" hidden="1" x14ac:dyDescent="0.35">
      <c r="A598" s="20">
        <f>INDEX(signals_2020_05!$A$2:$A$680, MATCH(B598, signals_2020_05!$B$2:$B$680, 0))</f>
        <v>258</v>
      </c>
      <c r="B598" s="2" t="str">
        <f>signals_2020_05!B588</f>
        <v>Temp. shaft bearing</v>
      </c>
      <c r="C598" s="9" t="str">
        <f>INDEX(signals_2020_05!$C$2:$AJ$680, MATCH($B598, signals_2020_05!$B$2:$B$680, 0), MATCH(C$2, signals_2020_05!$C$1:$AJ$1, 0))</f>
        <v>NaT</v>
      </c>
      <c r="D598" s="14">
        <f t="shared" si="54"/>
        <v>0</v>
      </c>
      <c r="E598" s="11">
        <f t="shared" si="55"/>
        <v>0</v>
      </c>
      <c r="F598" s="11">
        <f t="shared" ca="1" si="56"/>
        <v>0</v>
      </c>
      <c r="G598" s="9" t="str">
        <f>INDEX(signals_2019_10!$C$2:$AJ$682, MATCH($B598, signals_2019_10!$B$2:$B$682, 0), MATCH(C$2, signals_2019_10!$C$1:$AJ$1, 0))</f>
        <v>NaT</v>
      </c>
      <c r="H598" s="14">
        <f t="shared" si="57"/>
        <v>0</v>
      </c>
      <c r="I598" s="11">
        <f t="shared" si="58"/>
        <v>0</v>
      </c>
      <c r="J598" s="11">
        <f t="shared" ca="1" si="59"/>
        <v>0</v>
      </c>
    </row>
    <row r="599" spans="1:10" hidden="1" x14ac:dyDescent="0.35">
      <c r="A599" s="20">
        <f>INDEX(signals_2020_05!$A$2:$A$680, MATCH(B599, signals_2020_05!$B$2:$B$680, 0))</f>
        <v>4335</v>
      </c>
      <c r="B599" s="2" t="str">
        <f>signals_2020_05!B589</f>
        <v>Temp. shaft bearing, Max</v>
      </c>
      <c r="C599" s="9" t="str">
        <f>INDEX(signals_2020_05!$C$2:$AJ$680, MATCH($B599, signals_2020_05!$B$2:$B$680, 0), MATCH(C$2, signals_2020_05!$C$1:$AJ$1, 0))</f>
        <v>NaT</v>
      </c>
      <c r="D599" s="14">
        <f t="shared" si="54"/>
        <v>0</v>
      </c>
      <c r="E599" s="11">
        <f t="shared" si="55"/>
        <v>0</v>
      </c>
      <c r="F599" s="11">
        <f t="shared" ca="1" si="56"/>
        <v>0</v>
      </c>
      <c r="G599" s="9" t="e">
        <f>INDEX(signals_2019_10!$C$2:$AJ$682, MATCH($B599, signals_2019_10!$B$2:$B$682, 0), MATCH(C$2, signals_2019_10!$C$1:$AJ$1, 0))</f>
        <v>#N/A</v>
      </c>
      <c r="H599" s="14">
        <f t="shared" si="57"/>
        <v>0</v>
      </c>
      <c r="I599" s="11">
        <f t="shared" si="58"/>
        <v>0</v>
      </c>
      <c r="J599" s="11">
        <f t="shared" ca="1" si="59"/>
        <v>0</v>
      </c>
    </row>
    <row r="600" spans="1:10" hidden="1" x14ac:dyDescent="0.35">
      <c r="A600" s="20">
        <f>INDEX(signals_2020_05!$A$2:$A$680, MATCH(B600, signals_2020_05!$B$2:$B$680, 0))</f>
        <v>4336</v>
      </c>
      <c r="B600" s="2" t="str">
        <f>signals_2020_05!B590</f>
        <v>Temp. shaft bearing, Min</v>
      </c>
      <c r="C600" s="9" t="str">
        <f>INDEX(signals_2020_05!$C$2:$AJ$680, MATCH($B600, signals_2020_05!$B$2:$B$680, 0), MATCH(C$2, signals_2020_05!$C$1:$AJ$1, 0))</f>
        <v>NaT</v>
      </c>
      <c r="D600" s="14">
        <f t="shared" si="54"/>
        <v>0</v>
      </c>
      <c r="E600" s="11">
        <f t="shared" si="55"/>
        <v>0</v>
      </c>
      <c r="F600" s="11">
        <f t="shared" ca="1" si="56"/>
        <v>0</v>
      </c>
      <c r="G600" s="9" t="e">
        <f>INDEX(signals_2019_10!$C$2:$AJ$682, MATCH($B600, signals_2019_10!$B$2:$B$682, 0), MATCH(C$2, signals_2019_10!$C$1:$AJ$1, 0))</f>
        <v>#N/A</v>
      </c>
      <c r="H600" s="14">
        <f t="shared" si="57"/>
        <v>0</v>
      </c>
      <c r="I600" s="11">
        <f t="shared" si="58"/>
        <v>0</v>
      </c>
      <c r="J600" s="11">
        <f t="shared" ca="1" si="59"/>
        <v>0</v>
      </c>
    </row>
    <row r="601" spans="1:10" hidden="1" x14ac:dyDescent="0.35">
      <c r="A601" s="20">
        <f>INDEX(signals_2020_05!$A$2:$A$680, MATCH(B601, signals_2020_05!$B$2:$B$680, 0))</f>
        <v>4337</v>
      </c>
      <c r="B601" s="2" t="str">
        <f>signals_2020_05!B591</f>
        <v>Temp. shaft bearing, StdDev</v>
      </c>
      <c r="C601" s="9" t="str">
        <f>INDEX(signals_2020_05!$C$2:$AJ$680, MATCH($B601, signals_2020_05!$B$2:$B$680, 0), MATCH(C$2, signals_2020_05!$C$1:$AJ$1, 0))</f>
        <v>NaT</v>
      </c>
      <c r="D601" s="14">
        <f t="shared" si="54"/>
        <v>0</v>
      </c>
      <c r="E601" s="11">
        <f t="shared" si="55"/>
        <v>0</v>
      </c>
      <c r="F601" s="11">
        <f t="shared" ca="1" si="56"/>
        <v>0</v>
      </c>
      <c r="G601" s="9" t="e">
        <f>INDEX(signals_2019_10!$C$2:$AJ$682, MATCH($B601, signals_2019_10!$B$2:$B$682, 0), MATCH(C$2, signals_2019_10!$C$1:$AJ$1, 0))</f>
        <v>#N/A</v>
      </c>
      <c r="H601" s="14">
        <f t="shared" si="57"/>
        <v>0</v>
      </c>
      <c r="I601" s="11">
        <f t="shared" si="58"/>
        <v>0</v>
      </c>
      <c r="J601" s="11">
        <f t="shared" ca="1" si="59"/>
        <v>0</v>
      </c>
    </row>
    <row r="602" spans="1:10" hidden="1" x14ac:dyDescent="0.35">
      <c r="A602" s="20">
        <f>INDEX(signals_2020_05!$A$2:$A$680, MATCH(B602, signals_2020_05!$B$2:$B$680, 0))</f>
        <v>260</v>
      </c>
      <c r="B602" s="2" t="str">
        <f>signals_2020_05!B592</f>
        <v>Temp. top box</v>
      </c>
      <c r="C602" s="9" t="str">
        <f>INDEX(signals_2020_05!$C$2:$AJ$680, MATCH($B602, signals_2020_05!$B$2:$B$680, 0), MATCH(C$2, signals_2020_05!$C$1:$AJ$1, 0))</f>
        <v>NaT</v>
      </c>
      <c r="D602" s="14">
        <f t="shared" si="54"/>
        <v>0</v>
      </c>
      <c r="E602" s="11">
        <f t="shared" si="55"/>
        <v>0</v>
      </c>
      <c r="F602" s="11">
        <f t="shared" ca="1" si="56"/>
        <v>0</v>
      </c>
      <c r="G602" s="9" t="str">
        <f>INDEX(signals_2019_10!$C$2:$AJ$682, MATCH($B602, signals_2019_10!$B$2:$B$682, 0), MATCH(C$2, signals_2019_10!$C$1:$AJ$1, 0))</f>
        <v>NaT</v>
      </c>
      <c r="H602" s="14">
        <f t="shared" si="57"/>
        <v>0</v>
      </c>
      <c r="I602" s="11">
        <f t="shared" si="58"/>
        <v>0</v>
      </c>
      <c r="J602" s="11">
        <f t="shared" ca="1" si="59"/>
        <v>0</v>
      </c>
    </row>
    <row r="603" spans="1:10" hidden="1" x14ac:dyDescent="0.35">
      <c r="A603" s="20">
        <f>INDEX(signals_2020_05!$A$2:$A$680, MATCH(B603, signals_2020_05!$B$2:$B$680, 0))</f>
        <v>383</v>
      </c>
      <c r="B603" s="2" t="str">
        <f>signals_2020_05!B593</f>
        <v>Temp. top box 1</v>
      </c>
      <c r="C603" s="9" t="str">
        <f>INDEX(signals_2020_05!$C$2:$AJ$680, MATCH($B603, signals_2020_05!$B$2:$B$680, 0), MATCH(C$2, signals_2020_05!$C$1:$AJ$1, 0))</f>
        <v>NaT</v>
      </c>
      <c r="D603" s="14">
        <f t="shared" si="54"/>
        <v>0</v>
      </c>
      <c r="E603" s="11">
        <f t="shared" si="55"/>
        <v>0</v>
      </c>
      <c r="F603" s="11">
        <f t="shared" ca="1" si="56"/>
        <v>0</v>
      </c>
      <c r="G603" s="9" t="str">
        <f>INDEX(signals_2019_10!$C$2:$AJ$682, MATCH($B603, signals_2019_10!$B$2:$B$682, 0), MATCH(C$2, signals_2019_10!$C$1:$AJ$1, 0))</f>
        <v>NaT</v>
      </c>
      <c r="H603" s="14">
        <f t="shared" si="57"/>
        <v>0</v>
      </c>
      <c r="I603" s="11">
        <f t="shared" si="58"/>
        <v>0</v>
      </c>
      <c r="J603" s="11">
        <f t="shared" ca="1" si="59"/>
        <v>0</v>
      </c>
    </row>
    <row r="604" spans="1:10" hidden="1" x14ac:dyDescent="0.35">
      <c r="A604" s="20">
        <f>INDEX(signals_2020_05!$A$2:$A$680, MATCH(B604, signals_2020_05!$B$2:$B$680, 0))</f>
        <v>384</v>
      </c>
      <c r="B604" s="2" t="str">
        <f>signals_2020_05!B594</f>
        <v>Temp. top box 2</v>
      </c>
      <c r="C604" s="9" t="str">
        <f>INDEX(signals_2020_05!$C$2:$AJ$680, MATCH($B604, signals_2020_05!$B$2:$B$680, 0), MATCH(C$2, signals_2020_05!$C$1:$AJ$1, 0))</f>
        <v>NaT</v>
      </c>
      <c r="D604" s="14">
        <f t="shared" si="54"/>
        <v>0</v>
      </c>
      <c r="E604" s="11">
        <f t="shared" si="55"/>
        <v>0</v>
      </c>
      <c r="F604" s="11">
        <f t="shared" ca="1" si="56"/>
        <v>0</v>
      </c>
      <c r="G604" s="9" t="str">
        <f>INDEX(signals_2019_10!$C$2:$AJ$682, MATCH($B604, signals_2019_10!$B$2:$B$682, 0), MATCH(C$2, signals_2019_10!$C$1:$AJ$1, 0))</f>
        <v>NaT</v>
      </c>
      <c r="H604" s="14">
        <f t="shared" si="57"/>
        <v>0</v>
      </c>
      <c r="I604" s="11">
        <f t="shared" si="58"/>
        <v>0</v>
      </c>
      <c r="J604" s="11">
        <f t="shared" ca="1" si="59"/>
        <v>0</v>
      </c>
    </row>
    <row r="605" spans="1:10" hidden="1" x14ac:dyDescent="0.35">
      <c r="A605" s="20">
        <f>INDEX(signals_2020_05!$A$2:$A$680, MATCH(B605, signals_2020_05!$B$2:$B$680, 0))</f>
        <v>4254</v>
      </c>
      <c r="B605" s="2" t="str">
        <f>signals_2020_05!B595</f>
        <v>Temp. top box, Max</v>
      </c>
      <c r="C605" s="9" t="str">
        <f>INDEX(signals_2020_05!$C$2:$AJ$680, MATCH($B605, signals_2020_05!$B$2:$B$680, 0), MATCH(C$2, signals_2020_05!$C$1:$AJ$1, 0))</f>
        <v>NaT</v>
      </c>
      <c r="D605" s="14">
        <f t="shared" si="54"/>
        <v>0</v>
      </c>
      <c r="E605" s="11">
        <f t="shared" si="55"/>
        <v>0</v>
      </c>
      <c r="F605" s="11">
        <f t="shared" ca="1" si="56"/>
        <v>0</v>
      </c>
      <c r="G605" s="9" t="e">
        <f>INDEX(signals_2019_10!$C$2:$AJ$682, MATCH($B605, signals_2019_10!$B$2:$B$682, 0), MATCH(C$2, signals_2019_10!$C$1:$AJ$1, 0))</f>
        <v>#N/A</v>
      </c>
      <c r="H605" s="14">
        <f t="shared" si="57"/>
        <v>0</v>
      </c>
      <c r="I605" s="11">
        <f t="shared" si="58"/>
        <v>0</v>
      </c>
      <c r="J605" s="11">
        <f t="shared" ca="1" si="59"/>
        <v>0</v>
      </c>
    </row>
    <row r="606" spans="1:10" hidden="1" x14ac:dyDescent="0.35">
      <c r="A606" s="20">
        <f>INDEX(signals_2020_05!$A$2:$A$680, MATCH(B606, signals_2020_05!$B$2:$B$680, 0))</f>
        <v>4255</v>
      </c>
      <c r="B606" s="2" t="str">
        <f>signals_2020_05!B596</f>
        <v>Temp. top box, Min</v>
      </c>
      <c r="C606" s="9" t="str">
        <f>INDEX(signals_2020_05!$C$2:$AJ$680, MATCH($B606, signals_2020_05!$B$2:$B$680, 0), MATCH(C$2, signals_2020_05!$C$1:$AJ$1, 0))</f>
        <v>NaT</v>
      </c>
      <c r="D606" s="14">
        <f t="shared" si="54"/>
        <v>0</v>
      </c>
      <c r="E606" s="11">
        <f t="shared" si="55"/>
        <v>0</v>
      </c>
      <c r="F606" s="11">
        <f t="shared" ca="1" si="56"/>
        <v>0</v>
      </c>
      <c r="G606" s="9" t="e">
        <f>INDEX(signals_2019_10!$C$2:$AJ$682, MATCH($B606, signals_2019_10!$B$2:$B$682, 0), MATCH(C$2, signals_2019_10!$C$1:$AJ$1, 0))</f>
        <v>#N/A</v>
      </c>
      <c r="H606" s="14">
        <f t="shared" si="57"/>
        <v>0</v>
      </c>
      <c r="I606" s="11">
        <f t="shared" si="58"/>
        <v>0</v>
      </c>
      <c r="J606" s="11">
        <f t="shared" ca="1" si="59"/>
        <v>0</v>
      </c>
    </row>
    <row r="607" spans="1:10" hidden="1" x14ac:dyDescent="0.35">
      <c r="A607" s="20">
        <f>INDEX(signals_2020_05!$A$2:$A$680, MATCH(B607, signals_2020_05!$B$2:$B$680, 0))</f>
        <v>4256</v>
      </c>
      <c r="B607" s="2" t="str">
        <f>signals_2020_05!B597</f>
        <v>Temp. top box, StdDev</v>
      </c>
      <c r="C607" s="9" t="str">
        <f>INDEX(signals_2020_05!$C$2:$AJ$680, MATCH($B607, signals_2020_05!$B$2:$B$680, 0), MATCH(C$2, signals_2020_05!$C$1:$AJ$1, 0))</f>
        <v>NaT</v>
      </c>
      <c r="D607" s="14">
        <f t="shared" si="54"/>
        <v>0</v>
      </c>
      <c r="E607" s="11">
        <f t="shared" si="55"/>
        <v>0</v>
      </c>
      <c r="F607" s="11">
        <f t="shared" ca="1" si="56"/>
        <v>0</v>
      </c>
      <c r="G607" s="9" t="e">
        <f>INDEX(signals_2019_10!$C$2:$AJ$682, MATCH($B607, signals_2019_10!$B$2:$B$682, 0), MATCH(C$2, signals_2019_10!$C$1:$AJ$1, 0))</f>
        <v>#N/A</v>
      </c>
      <c r="H607" s="14">
        <f t="shared" si="57"/>
        <v>0</v>
      </c>
      <c r="I607" s="11">
        <f t="shared" si="58"/>
        <v>0</v>
      </c>
      <c r="J607" s="11">
        <f t="shared" ca="1" si="59"/>
        <v>0</v>
      </c>
    </row>
    <row r="608" spans="1:10" hidden="1" x14ac:dyDescent="0.35">
      <c r="A608" s="20">
        <f>INDEX(signals_2020_05!$A$2:$A$680, MATCH(B608, signals_2020_05!$B$2:$B$680, 0))</f>
        <v>391</v>
      </c>
      <c r="B608" s="2" t="str">
        <f>signals_2020_05!B598</f>
        <v>Temperature G1</v>
      </c>
      <c r="C608" s="9" t="str">
        <f>INDEX(signals_2020_05!$C$2:$AJ$680, MATCH($B608, signals_2020_05!$B$2:$B$680, 0), MATCH(C$2, signals_2020_05!$C$1:$AJ$1, 0))</f>
        <v>NaT</v>
      </c>
      <c r="D608" s="14">
        <f t="shared" si="54"/>
        <v>0</v>
      </c>
      <c r="E608" s="11">
        <f t="shared" si="55"/>
        <v>0</v>
      </c>
      <c r="F608" s="11">
        <f t="shared" ca="1" si="56"/>
        <v>0</v>
      </c>
      <c r="G608" s="9" t="str">
        <f>INDEX(signals_2019_10!$C$2:$AJ$682, MATCH($B608, signals_2019_10!$B$2:$B$682, 0), MATCH(C$2, signals_2019_10!$C$1:$AJ$1, 0))</f>
        <v>NaT</v>
      </c>
      <c r="H608" s="14">
        <f t="shared" si="57"/>
        <v>0</v>
      </c>
      <c r="I608" s="11">
        <f t="shared" si="58"/>
        <v>0</v>
      </c>
      <c r="J608" s="11">
        <f t="shared" ca="1" si="59"/>
        <v>0</v>
      </c>
    </row>
    <row r="609" spans="1:10" hidden="1" x14ac:dyDescent="0.35">
      <c r="A609" s="20">
        <f>INDEX(signals_2020_05!$A$2:$A$680, MATCH(B609, signals_2020_05!$B$2:$B$680, 0))</f>
        <v>2893</v>
      </c>
      <c r="B609" s="2" t="str">
        <f>signals_2020_05!B599</f>
        <v>Temperature G1, max</v>
      </c>
      <c r="C609" s="9" t="str">
        <f>INDEX(signals_2020_05!$C$2:$AJ$680, MATCH($B609, signals_2020_05!$B$2:$B$680, 0), MATCH(C$2, signals_2020_05!$C$1:$AJ$1, 0))</f>
        <v>NaT</v>
      </c>
      <c r="D609" s="14">
        <f t="shared" si="54"/>
        <v>0</v>
      </c>
      <c r="E609" s="11">
        <f t="shared" si="55"/>
        <v>0</v>
      </c>
      <c r="F609" s="11">
        <f t="shared" ca="1" si="56"/>
        <v>0</v>
      </c>
      <c r="G609" s="9" t="e">
        <f>INDEX(signals_2019_10!$C$2:$AJ$682, MATCH($B609, signals_2019_10!$B$2:$B$682, 0), MATCH(C$2, signals_2019_10!$C$1:$AJ$1, 0))</f>
        <v>#N/A</v>
      </c>
      <c r="H609" s="14">
        <f t="shared" si="57"/>
        <v>0</v>
      </c>
      <c r="I609" s="11">
        <f t="shared" si="58"/>
        <v>0</v>
      </c>
      <c r="J609" s="11">
        <f t="shared" ca="1" si="59"/>
        <v>0</v>
      </c>
    </row>
    <row r="610" spans="1:10" hidden="1" x14ac:dyDescent="0.35">
      <c r="A610" s="20">
        <f>INDEX(signals_2020_05!$A$2:$A$680, MATCH(B610, signals_2020_05!$B$2:$B$680, 0))</f>
        <v>2892</v>
      </c>
      <c r="B610" s="2" t="str">
        <f>signals_2020_05!B600</f>
        <v>Temperature G1, min</v>
      </c>
      <c r="C610" s="9" t="str">
        <f>INDEX(signals_2020_05!$C$2:$AJ$680, MATCH($B610, signals_2020_05!$B$2:$B$680, 0), MATCH(C$2, signals_2020_05!$C$1:$AJ$1, 0))</f>
        <v>NaT</v>
      </c>
      <c r="D610" s="14">
        <f t="shared" si="54"/>
        <v>0</v>
      </c>
      <c r="E610" s="11">
        <f t="shared" si="55"/>
        <v>0</v>
      </c>
      <c r="F610" s="11">
        <f t="shared" ca="1" si="56"/>
        <v>0</v>
      </c>
      <c r="G610" s="9" t="e">
        <f>INDEX(signals_2019_10!$C$2:$AJ$682, MATCH($B610, signals_2019_10!$B$2:$B$682, 0), MATCH(C$2, signals_2019_10!$C$1:$AJ$1, 0))</f>
        <v>#N/A</v>
      </c>
      <c r="H610" s="14">
        <f t="shared" si="57"/>
        <v>0</v>
      </c>
      <c r="I610" s="11">
        <f t="shared" si="58"/>
        <v>0</v>
      </c>
      <c r="J610" s="11">
        <f t="shared" ca="1" si="59"/>
        <v>0</v>
      </c>
    </row>
    <row r="611" spans="1:10" hidden="1" x14ac:dyDescent="0.35">
      <c r="A611" s="20">
        <f>INDEX(signals_2020_05!$A$2:$A$680, MATCH(B611, signals_2020_05!$B$2:$B$680, 0))</f>
        <v>2894</v>
      </c>
      <c r="B611" s="2" t="str">
        <f>signals_2020_05!B601</f>
        <v>Temperature G1, StdDev</v>
      </c>
      <c r="C611" s="9" t="str">
        <f>INDEX(signals_2020_05!$C$2:$AJ$680, MATCH($B611, signals_2020_05!$B$2:$B$680, 0), MATCH(C$2, signals_2020_05!$C$1:$AJ$1, 0))</f>
        <v>NaT</v>
      </c>
      <c r="D611" s="14">
        <f t="shared" si="54"/>
        <v>0</v>
      </c>
      <c r="E611" s="11">
        <f t="shared" si="55"/>
        <v>0</v>
      </c>
      <c r="F611" s="11">
        <f t="shared" ca="1" si="56"/>
        <v>0</v>
      </c>
      <c r="G611" s="9" t="e">
        <f>INDEX(signals_2019_10!$C$2:$AJ$682, MATCH($B611, signals_2019_10!$B$2:$B$682, 0), MATCH(C$2, signals_2019_10!$C$1:$AJ$1, 0))</f>
        <v>#N/A</v>
      </c>
      <c r="H611" s="14">
        <f t="shared" si="57"/>
        <v>0</v>
      </c>
      <c r="I611" s="11">
        <f t="shared" si="58"/>
        <v>0</v>
      </c>
      <c r="J611" s="11">
        <f t="shared" ca="1" si="59"/>
        <v>0</v>
      </c>
    </row>
    <row r="612" spans="1:10" hidden="1" x14ac:dyDescent="0.35">
      <c r="A612" s="20">
        <f>INDEX(signals_2020_05!$A$2:$A$680, MATCH(B612, signals_2020_05!$B$2:$B$680, 0))</f>
        <v>392</v>
      </c>
      <c r="B612" s="2" t="str">
        <f>signals_2020_05!B602</f>
        <v>Temperature G2</v>
      </c>
      <c r="C612" s="9" t="str">
        <f>INDEX(signals_2020_05!$C$2:$AJ$680, MATCH($B612, signals_2020_05!$B$2:$B$680, 0), MATCH(C$2, signals_2020_05!$C$1:$AJ$1, 0))</f>
        <v>NaT</v>
      </c>
      <c r="D612" s="14">
        <f t="shared" si="54"/>
        <v>0</v>
      </c>
      <c r="E612" s="11">
        <f t="shared" si="55"/>
        <v>0</v>
      </c>
      <c r="F612" s="11">
        <f t="shared" ca="1" si="56"/>
        <v>0</v>
      </c>
      <c r="G612" s="9" t="str">
        <f>INDEX(signals_2019_10!$C$2:$AJ$682, MATCH($B612, signals_2019_10!$B$2:$B$682, 0), MATCH(C$2, signals_2019_10!$C$1:$AJ$1, 0))</f>
        <v>NaT</v>
      </c>
      <c r="H612" s="14">
        <f t="shared" si="57"/>
        <v>0</v>
      </c>
      <c r="I612" s="11">
        <f t="shared" si="58"/>
        <v>0</v>
      </c>
      <c r="J612" s="11">
        <f t="shared" ca="1" si="59"/>
        <v>0</v>
      </c>
    </row>
    <row r="613" spans="1:10" hidden="1" x14ac:dyDescent="0.35">
      <c r="A613" s="20">
        <f>INDEX(signals_2020_05!$A$2:$A$680, MATCH(B613, signals_2020_05!$B$2:$B$680, 0))</f>
        <v>2896</v>
      </c>
      <c r="B613" s="2" t="str">
        <f>signals_2020_05!B603</f>
        <v>Temperature G2, max</v>
      </c>
      <c r="C613" s="9" t="str">
        <f>INDEX(signals_2020_05!$C$2:$AJ$680, MATCH($B613, signals_2020_05!$B$2:$B$680, 0), MATCH(C$2, signals_2020_05!$C$1:$AJ$1, 0))</f>
        <v>NaT</v>
      </c>
      <c r="D613" s="14">
        <f t="shared" si="54"/>
        <v>0</v>
      </c>
      <c r="E613" s="11">
        <f t="shared" si="55"/>
        <v>0</v>
      </c>
      <c r="F613" s="11">
        <f t="shared" ca="1" si="56"/>
        <v>0</v>
      </c>
      <c r="G613" s="9" t="e">
        <f>INDEX(signals_2019_10!$C$2:$AJ$682, MATCH($B613, signals_2019_10!$B$2:$B$682, 0), MATCH(C$2, signals_2019_10!$C$1:$AJ$1, 0))</f>
        <v>#N/A</v>
      </c>
      <c r="H613" s="14">
        <f t="shared" si="57"/>
        <v>0</v>
      </c>
      <c r="I613" s="11">
        <f t="shared" si="58"/>
        <v>0</v>
      </c>
      <c r="J613" s="11">
        <f t="shared" ca="1" si="59"/>
        <v>0</v>
      </c>
    </row>
    <row r="614" spans="1:10" hidden="1" x14ac:dyDescent="0.35">
      <c r="A614" s="20">
        <f>INDEX(signals_2020_05!$A$2:$A$680, MATCH(B614, signals_2020_05!$B$2:$B$680, 0))</f>
        <v>2895</v>
      </c>
      <c r="B614" s="2" t="str">
        <f>signals_2020_05!B604</f>
        <v>Temperature G2, min</v>
      </c>
      <c r="C614" s="9" t="str">
        <f>INDEX(signals_2020_05!$C$2:$AJ$680, MATCH($B614, signals_2020_05!$B$2:$B$680, 0), MATCH(C$2, signals_2020_05!$C$1:$AJ$1, 0))</f>
        <v>NaT</v>
      </c>
      <c r="D614" s="14">
        <f t="shared" si="54"/>
        <v>0</v>
      </c>
      <c r="E614" s="11">
        <f t="shared" si="55"/>
        <v>0</v>
      </c>
      <c r="F614" s="11">
        <f t="shared" ca="1" si="56"/>
        <v>0</v>
      </c>
      <c r="G614" s="9" t="e">
        <f>INDEX(signals_2019_10!$C$2:$AJ$682, MATCH($B614, signals_2019_10!$B$2:$B$682, 0), MATCH(C$2, signals_2019_10!$C$1:$AJ$1, 0))</f>
        <v>#N/A</v>
      </c>
      <c r="H614" s="14">
        <f t="shared" si="57"/>
        <v>0</v>
      </c>
      <c r="I614" s="11">
        <f t="shared" si="58"/>
        <v>0</v>
      </c>
      <c r="J614" s="11">
        <f t="shared" ca="1" si="59"/>
        <v>0</v>
      </c>
    </row>
    <row r="615" spans="1:10" hidden="1" x14ac:dyDescent="0.35">
      <c r="A615" s="20">
        <f>INDEX(signals_2020_05!$A$2:$A$680, MATCH(B615, signals_2020_05!$B$2:$B$680, 0))</f>
        <v>2897</v>
      </c>
      <c r="B615" s="2" t="str">
        <f>signals_2020_05!B605</f>
        <v>Temperature G2, StdDev</v>
      </c>
      <c r="C615" s="9" t="str">
        <f>INDEX(signals_2020_05!$C$2:$AJ$680, MATCH($B615, signals_2020_05!$B$2:$B$680, 0), MATCH(C$2, signals_2020_05!$C$1:$AJ$1, 0))</f>
        <v>NaT</v>
      </c>
      <c r="D615" s="14">
        <f t="shared" si="54"/>
        <v>0</v>
      </c>
      <c r="E615" s="11">
        <f t="shared" si="55"/>
        <v>0</v>
      </c>
      <c r="F615" s="11">
        <f t="shared" ca="1" si="56"/>
        <v>0</v>
      </c>
      <c r="G615" s="9" t="e">
        <f>INDEX(signals_2019_10!$C$2:$AJ$682, MATCH($B615, signals_2019_10!$B$2:$B$682, 0), MATCH(C$2, signals_2019_10!$C$1:$AJ$1, 0))</f>
        <v>#N/A</v>
      </c>
      <c r="H615" s="14">
        <f t="shared" si="57"/>
        <v>0</v>
      </c>
      <c r="I615" s="11">
        <f t="shared" si="58"/>
        <v>0</v>
      </c>
      <c r="J615" s="11">
        <f t="shared" ca="1" si="59"/>
        <v>0</v>
      </c>
    </row>
    <row r="616" spans="1:10" hidden="1" x14ac:dyDescent="0.35">
      <c r="A616" s="20">
        <f>INDEX(signals_2020_05!$A$2:$A$680, MATCH(B616, signals_2020_05!$B$2:$B$680, 0))</f>
        <v>394</v>
      </c>
      <c r="B616" s="2" t="str">
        <f>signals_2020_05!B606</f>
        <v>Temperature switchboard</v>
      </c>
      <c r="C616" s="9" t="str">
        <f>INDEX(signals_2020_05!$C$2:$AJ$680, MATCH($B616, signals_2020_05!$B$2:$B$680, 0), MATCH(C$2, signals_2020_05!$C$1:$AJ$1, 0))</f>
        <v>NaT</v>
      </c>
      <c r="D616" s="14">
        <f t="shared" si="54"/>
        <v>0</v>
      </c>
      <c r="E616" s="11">
        <f t="shared" si="55"/>
        <v>0</v>
      </c>
      <c r="F616" s="11">
        <f t="shared" ca="1" si="56"/>
        <v>0</v>
      </c>
      <c r="G616" s="9" t="str">
        <f>INDEX(signals_2019_10!$C$2:$AJ$682, MATCH($B616, signals_2019_10!$B$2:$B$682, 0), MATCH(C$2, signals_2019_10!$C$1:$AJ$1, 0))</f>
        <v>NaT</v>
      </c>
      <c r="H616" s="14">
        <f t="shared" si="57"/>
        <v>0</v>
      </c>
      <c r="I616" s="11">
        <f t="shared" si="58"/>
        <v>0</v>
      </c>
      <c r="J616" s="11">
        <f t="shared" ca="1" si="59"/>
        <v>0</v>
      </c>
    </row>
    <row r="617" spans="1:10" hidden="1" x14ac:dyDescent="0.35">
      <c r="A617" s="20">
        <f>INDEX(signals_2020_05!$A$2:$A$680, MATCH(B617, signals_2020_05!$B$2:$B$680, 0))</f>
        <v>390</v>
      </c>
      <c r="B617" s="2" t="str">
        <f>signals_2020_05!B607</f>
        <v>Temperature Thyristor</v>
      </c>
      <c r="C617" s="9" t="str">
        <f>INDEX(signals_2020_05!$C$2:$AJ$680, MATCH($B617, signals_2020_05!$B$2:$B$680, 0), MATCH(C$2, signals_2020_05!$C$1:$AJ$1, 0))</f>
        <v>NaT</v>
      </c>
      <c r="D617" s="14">
        <f t="shared" si="54"/>
        <v>0</v>
      </c>
      <c r="E617" s="11">
        <f t="shared" si="55"/>
        <v>0</v>
      </c>
      <c r="F617" s="11">
        <f t="shared" ca="1" si="56"/>
        <v>0</v>
      </c>
      <c r="G617" s="9" t="str">
        <f>INDEX(signals_2019_10!$C$2:$AJ$682, MATCH($B617, signals_2019_10!$B$2:$B$682, 0), MATCH(C$2, signals_2019_10!$C$1:$AJ$1, 0))</f>
        <v>NaT</v>
      </c>
      <c r="H617" s="14">
        <f t="shared" si="57"/>
        <v>0</v>
      </c>
      <c r="I617" s="11">
        <f t="shared" si="58"/>
        <v>0</v>
      </c>
      <c r="J617" s="11">
        <f t="shared" ca="1" si="59"/>
        <v>0</v>
      </c>
    </row>
    <row r="618" spans="1:10" hidden="1" x14ac:dyDescent="0.35">
      <c r="A618" s="20">
        <f>INDEX(signals_2020_05!$A$2:$A$680, MATCH(B618, signals_2020_05!$B$2:$B$680, 0))</f>
        <v>4434</v>
      </c>
      <c r="B618" s="2" t="str">
        <f>signals_2020_05!B608</f>
        <v>Temperature Thyristor, Max</v>
      </c>
      <c r="C618" s="9" t="str">
        <f>INDEX(signals_2020_05!$C$2:$AJ$680, MATCH($B618, signals_2020_05!$B$2:$B$680, 0), MATCH(C$2, signals_2020_05!$C$1:$AJ$1, 0))</f>
        <v>NaT</v>
      </c>
      <c r="D618" s="14">
        <f t="shared" si="54"/>
        <v>0</v>
      </c>
      <c r="E618" s="11">
        <f t="shared" si="55"/>
        <v>0</v>
      </c>
      <c r="F618" s="11">
        <f t="shared" ca="1" si="56"/>
        <v>0</v>
      </c>
      <c r="G618" s="9" t="e">
        <f>INDEX(signals_2019_10!$C$2:$AJ$682, MATCH($B618, signals_2019_10!$B$2:$B$682, 0), MATCH(C$2, signals_2019_10!$C$1:$AJ$1, 0))</f>
        <v>#N/A</v>
      </c>
      <c r="H618" s="14">
        <f t="shared" si="57"/>
        <v>0</v>
      </c>
      <c r="I618" s="11">
        <f t="shared" si="58"/>
        <v>0</v>
      </c>
      <c r="J618" s="11">
        <f t="shared" ca="1" si="59"/>
        <v>0</v>
      </c>
    </row>
    <row r="619" spans="1:10" hidden="1" x14ac:dyDescent="0.35">
      <c r="A619" s="20">
        <f>INDEX(signals_2020_05!$A$2:$A$680, MATCH(B619, signals_2020_05!$B$2:$B$680, 0))</f>
        <v>4435</v>
      </c>
      <c r="B619" s="2" t="str">
        <f>signals_2020_05!B609</f>
        <v>Temperature Thyristor, Min</v>
      </c>
      <c r="C619" s="9" t="str">
        <f>INDEX(signals_2020_05!$C$2:$AJ$680, MATCH($B619, signals_2020_05!$B$2:$B$680, 0), MATCH(C$2, signals_2020_05!$C$1:$AJ$1, 0))</f>
        <v>NaT</v>
      </c>
      <c r="D619" s="14">
        <f t="shared" si="54"/>
        <v>0</v>
      </c>
      <c r="E619" s="11">
        <f t="shared" si="55"/>
        <v>0</v>
      </c>
      <c r="F619" s="11">
        <f t="shared" ca="1" si="56"/>
        <v>0</v>
      </c>
      <c r="G619" s="9" t="e">
        <f>INDEX(signals_2019_10!$C$2:$AJ$682, MATCH($B619, signals_2019_10!$B$2:$B$682, 0), MATCH(C$2, signals_2019_10!$C$1:$AJ$1, 0))</f>
        <v>#N/A</v>
      </c>
      <c r="H619" s="14">
        <f t="shared" si="57"/>
        <v>0</v>
      </c>
      <c r="I619" s="11">
        <f t="shared" si="58"/>
        <v>0</v>
      </c>
      <c r="J619" s="11">
        <f t="shared" ca="1" si="59"/>
        <v>0</v>
      </c>
    </row>
    <row r="620" spans="1:10" hidden="1" x14ac:dyDescent="0.35">
      <c r="A620" s="20">
        <f>INDEX(signals_2020_05!$A$2:$A$680, MATCH(B620, signals_2020_05!$B$2:$B$680, 0))</f>
        <v>4436</v>
      </c>
      <c r="B620" s="2" t="str">
        <f>signals_2020_05!B610</f>
        <v>Temperature Thyristor, StdDev</v>
      </c>
      <c r="C620" s="9" t="str">
        <f>INDEX(signals_2020_05!$C$2:$AJ$680, MATCH($B620, signals_2020_05!$B$2:$B$680, 0), MATCH(C$2, signals_2020_05!$C$1:$AJ$1, 0))</f>
        <v>NaT</v>
      </c>
      <c r="D620" s="14">
        <f t="shared" si="54"/>
        <v>0</v>
      </c>
      <c r="E620" s="11">
        <f t="shared" si="55"/>
        <v>0</v>
      </c>
      <c r="F620" s="11">
        <f t="shared" ca="1" si="56"/>
        <v>0</v>
      </c>
      <c r="G620" s="9" t="e">
        <f>INDEX(signals_2019_10!$C$2:$AJ$682, MATCH($B620, signals_2019_10!$B$2:$B$682, 0), MATCH(C$2, signals_2019_10!$C$1:$AJ$1, 0))</f>
        <v>#N/A</v>
      </c>
      <c r="H620" s="14">
        <f t="shared" si="57"/>
        <v>0</v>
      </c>
      <c r="I620" s="11">
        <f t="shared" si="58"/>
        <v>0</v>
      </c>
      <c r="J620" s="11">
        <f t="shared" ca="1" si="59"/>
        <v>0</v>
      </c>
    </row>
    <row r="621" spans="1:10" hidden="1" x14ac:dyDescent="0.35">
      <c r="A621" s="20">
        <f>INDEX(signals_2020_05!$A$2:$A$680, MATCH(B621, signals_2020_05!$B$2:$B$680, 0))</f>
        <v>382</v>
      </c>
      <c r="B621" s="2" t="str">
        <f>signals_2020_05!B611</f>
        <v>Tip pressure</v>
      </c>
      <c r="C621" s="9" t="str">
        <f>INDEX(signals_2020_05!$C$2:$AJ$680, MATCH($B621, signals_2020_05!$B$2:$B$680, 0), MATCH(C$2, signals_2020_05!$C$1:$AJ$1, 0))</f>
        <v>NaT</v>
      </c>
      <c r="D621" s="14">
        <f t="shared" si="54"/>
        <v>0</v>
      </c>
      <c r="E621" s="11">
        <f t="shared" si="55"/>
        <v>0</v>
      </c>
      <c r="F621" s="11">
        <f t="shared" ca="1" si="56"/>
        <v>0</v>
      </c>
      <c r="G621" s="9" t="str">
        <f>INDEX(signals_2019_10!$C$2:$AJ$682, MATCH($B621, signals_2019_10!$B$2:$B$682, 0), MATCH(C$2, signals_2019_10!$C$1:$AJ$1, 0))</f>
        <v>NaT</v>
      </c>
      <c r="H621" s="14">
        <f t="shared" si="57"/>
        <v>0</v>
      </c>
      <c r="I621" s="11">
        <f t="shared" si="58"/>
        <v>0</v>
      </c>
      <c r="J621" s="11">
        <f t="shared" ca="1" si="59"/>
        <v>0</v>
      </c>
    </row>
    <row r="622" spans="1:10" hidden="1" x14ac:dyDescent="0.35">
      <c r="A622" s="20">
        <f>INDEX(signals_2020_05!$A$2:$A$680, MATCH(B622, signals_2020_05!$B$2:$B$680, 0))</f>
        <v>3751</v>
      </c>
      <c r="B622" s="2" t="str">
        <f>signals_2020_05!B612</f>
        <v>Top controller temp, Max</v>
      </c>
      <c r="C622" s="9" t="str">
        <f>INDEX(signals_2020_05!$C$2:$AJ$680, MATCH($B622, signals_2020_05!$B$2:$B$680, 0), MATCH(C$2, signals_2020_05!$C$1:$AJ$1, 0))</f>
        <v>NaT</v>
      </c>
      <c r="D622" s="14">
        <f t="shared" si="54"/>
        <v>0</v>
      </c>
      <c r="E622" s="11">
        <f t="shared" si="55"/>
        <v>0</v>
      </c>
      <c r="F622" s="11">
        <f t="shared" ca="1" si="56"/>
        <v>0</v>
      </c>
      <c r="G622" s="9" t="e">
        <f>INDEX(signals_2019_10!$C$2:$AJ$682, MATCH($B622, signals_2019_10!$B$2:$B$682, 0), MATCH(C$2, signals_2019_10!$C$1:$AJ$1, 0))</f>
        <v>#N/A</v>
      </c>
      <c r="H622" s="14">
        <f t="shared" si="57"/>
        <v>0</v>
      </c>
      <c r="I622" s="11">
        <f t="shared" si="58"/>
        <v>0</v>
      </c>
      <c r="J622" s="11">
        <f t="shared" ca="1" si="59"/>
        <v>0</v>
      </c>
    </row>
    <row r="623" spans="1:10" hidden="1" x14ac:dyDescent="0.35">
      <c r="A623" s="20">
        <f>INDEX(signals_2020_05!$A$2:$A$680, MATCH(B623, signals_2020_05!$B$2:$B$680, 0))</f>
        <v>3752</v>
      </c>
      <c r="B623" s="2" t="str">
        <f>signals_2020_05!B613</f>
        <v>Top controller temp, Min</v>
      </c>
      <c r="C623" s="9" t="str">
        <f>INDEX(signals_2020_05!$C$2:$AJ$680, MATCH($B623, signals_2020_05!$B$2:$B$680, 0), MATCH(C$2, signals_2020_05!$C$1:$AJ$1, 0))</f>
        <v>NaT</v>
      </c>
      <c r="D623" s="14">
        <f t="shared" si="54"/>
        <v>0</v>
      </c>
      <c r="E623" s="11">
        <f t="shared" si="55"/>
        <v>0</v>
      </c>
      <c r="F623" s="11">
        <f t="shared" ca="1" si="56"/>
        <v>0</v>
      </c>
      <c r="G623" s="9" t="e">
        <f>INDEX(signals_2019_10!$C$2:$AJ$682, MATCH($B623, signals_2019_10!$B$2:$B$682, 0), MATCH(C$2, signals_2019_10!$C$1:$AJ$1, 0))</f>
        <v>#N/A</v>
      </c>
      <c r="H623" s="14">
        <f t="shared" si="57"/>
        <v>0</v>
      </c>
      <c r="I623" s="11">
        <f t="shared" si="58"/>
        <v>0</v>
      </c>
      <c r="J623" s="11">
        <f t="shared" ca="1" si="59"/>
        <v>0</v>
      </c>
    </row>
    <row r="624" spans="1:10" hidden="1" x14ac:dyDescent="0.35">
      <c r="A624" s="20">
        <f>INDEX(signals_2020_05!$A$2:$A$680, MATCH(B624, signals_2020_05!$B$2:$B$680, 0))</f>
        <v>3753</v>
      </c>
      <c r="B624" s="2" t="str">
        <f>signals_2020_05!B614</f>
        <v>Top controller temp, Standard deviation</v>
      </c>
      <c r="C624" s="9" t="str">
        <f>INDEX(signals_2020_05!$C$2:$AJ$680, MATCH($B624, signals_2020_05!$B$2:$B$680, 0), MATCH(C$2, signals_2020_05!$C$1:$AJ$1, 0))</f>
        <v>NaT</v>
      </c>
      <c r="D624" s="14">
        <f t="shared" si="54"/>
        <v>0</v>
      </c>
      <c r="E624" s="11">
        <f t="shared" si="55"/>
        <v>0</v>
      </c>
      <c r="F624" s="11">
        <f t="shared" ca="1" si="56"/>
        <v>0</v>
      </c>
      <c r="G624" s="9" t="e">
        <f>INDEX(signals_2019_10!$C$2:$AJ$682, MATCH($B624, signals_2019_10!$B$2:$B$682, 0), MATCH(C$2, signals_2019_10!$C$1:$AJ$1, 0))</f>
        <v>#N/A</v>
      </c>
      <c r="H624" s="14">
        <f t="shared" si="57"/>
        <v>0</v>
      </c>
      <c r="I624" s="11">
        <f t="shared" si="58"/>
        <v>0</v>
      </c>
      <c r="J624" s="11">
        <f t="shared" ca="1" si="59"/>
        <v>0</v>
      </c>
    </row>
    <row r="625" spans="1:10" hidden="1" x14ac:dyDescent="0.35">
      <c r="A625" s="20">
        <f>INDEX(signals_2020_05!$A$2:$A$680, MATCH(B625, signals_2020_05!$B$2:$B$680, 0))</f>
        <v>176</v>
      </c>
      <c r="B625" s="2" t="str">
        <f>signals_2020_05!B615</f>
        <v>Top controller temp.</v>
      </c>
      <c r="C625" s="9" t="str">
        <f>INDEX(signals_2020_05!$C$2:$AJ$680, MATCH($B625, signals_2020_05!$B$2:$B$680, 0), MATCH(C$2, signals_2020_05!$C$1:$AJ$1, 0))</f>
        <v>NaT</v>
      </c>
      <c r="D625" s="14">
        <f t="shared" si="54"/>
        <v>0</v>
      </c>
      <c r="E625" s="11">
        <f t="shared" si="55"/>
        <v>0</v>
      </c>
      <c r="F625" s="11">
        <f t="shared" ca="1" si="56"/>
        <v>0</v>
      </c>
      <c r="G625" s="9" t="str">
        <f>INDEX(signals_2019_10!$C$2:$AJ$682, MATCH($B625, signals_2019_10!$B$2:$B$682, 0), MATCH(C$2, signals_2019_10!$C$1:$AJ$1, 0))</f>
        <v>NaT</v>
      </c>
      <c r="H625" s="14">
        <f t="shared" si="57"/>
        <v>0</v>
      </c>
      <c r="I625" s="11">
        <f t="shared" si="58"/>
        <v>0</v>
      </c>
      <c r="J625" s="11">
        <f t="shared" ca="1" si="59"/>
        <v>0</v>
      </c>
    </row>
    <row r="626" spans="1:10" hidden="1" x14ac:dyDescent="0.35">
      <c r="A626" s="20">
        <f>INDEX(signals_2020_05!$A$2:$A$680, MATCH(B626, signals_2020_05!$B$2:$B$680, 0))</f>
        <v>429</v>
      </c>
      <c r="B626" s="2" t="str">
        <f>signals_2020_05!B616</f>
        <v>Tower base temp</v>
      </c>
      <c r="C626" s="9" t="str">
        <f>INDEX(signals_2020_05!$C$2:$AJ$680, MATCH($B626, signals_2020_05!$B$2:$B$680, 0), MATCH(C$2, signals_2020_05!$C$1:$AJ$1, 0))</f>
        <v>NaT</v>
      </c>
      <c r="D626" s="14">
        <f t="shared" si="54"/>
        <v>0</v>
      </c>
      <c r="E626" s="11">
        <f t="shared" si="55"/>
        <v>0</v>
      </c>
      <c r="F626" s="11">
        <f t="shared" ca="1" si="56"/>
        <v>0</v>
      </c>
      <c r="G626" s="9" t="str">
        <f>INDEX(signals_2019_10!$C$2:$AJ$682, MATCH($B626, signals_2019_10!$B$2:$B$682, 0), MATCH(C$2, signals_2019_10!$C$1:$AJ$1, 0))</f>
        <v>NaT</v>
      </c>
      <c r="H626" s="14">
        <f t="shared" si="57"/>
        <v>0</v>
      </c>
      <c r="I626" s="11">
        <f t="shared" si="58"/>
        <v>0</v>
      </c>
      <c r="J626" s="11">
        <f t="shared" ca="1" si="59"/>
        <v>0</v>
      </c>
    </row>
    <row r="627" spans="1:10" hidden="1" x14ac:dyDescent="0.35">
      <c r="A627" s="20">
        <f>INDEX(signals_2020_05!$A$2:$A$680, MATCH(B627, signals_2020_05!$B$2:$B$680, 0))</f>
        <v>4218</v>
      </c>
      <c r="B627" s="2" t="str">
        <f>signals_2020_05!B617</f>
        <v>Tower base temp, Max</v>
      </c>
      <c r="C627" s="9" t="str">
        <f>INDEX(signals_2020_05!$C$2:$AJ$680, MATCH($B627, signals_2020_05!$B$2:$B$680, 0), MATCH(C$2, signals_2020_05!$C$1:$AJ$1, 0))</f>
        <v>NaT</v>
      </c>
      <c r="D627" s="14">
        <f t="shared" si="54"/>
        <v>0</v>
      </c>
      <c r="E627" s="11">
        <f t="shared" si="55"/>
        <v>0</v>
      </c>
      <c r="F627" s="11">
        <f t="shared" ca="1" si="56"/>
        <v>0</v>
      </c>
      <c r="G627" s="9" t="e">
        <f>INDEX(signals_2019_10!$C$2:$AJ$682, MATCH($B627, signals_2019_10!$B$2:$B$682, 0), MATCH(C$2, signals_2019_10!$C$1:$AJ$1, 0))</f>
        <v>#N/A</v>
      </c>
      <c r="H627" s="14">
        <f t="shared" si="57"/>
        <v>0</v>
      </c>
      <c r="I627" s="11">
        <f t="shared" si="58"/>
        <v>0</v>
      </c>
      <c r="J627" s="11">
        <f t="shared" ca="1" si="59"/>
        <v>0</v>
      </c>
    </row>
    <row r="628" spans="1:10" hidden="1" x14ac:dyDescent="0.35">
      <c r="A628" s="20">
        <f>INDEX(signals_2020_05!$A$2:$A$680, MATCH(B628, signals_2020_05!$B$2:$B$680, 0))</f>
        <v>4219</v>
      </c>
      <c r="B628" s="2" t="str">
        <f>signals_2020_05!B618</f>
        <v>Tower base temp, Min</v>
      </c>
      <c r="C628" s="9" t="str">
        <f>INDEX(signals_2020_05!$C$2:$AJ$680, MATCH($B628, signals_2020_05!$B$2:$B$680, 0), MATCH(C$2, signals_2020_05!$C$1:$AJ$1, 0))</f>
        <v>NaT</v>
      </c>
      <c r="D628" s="14">
        <f t="shared" si="54"/>
        <v>0</v>
      </c>
      <c r="E628" s="11">
        <f t="shared" si="55"/>
        <v>0</v>
      </c>
      <c r="F628" s="11">
        <f t="shared" ca="1" si="56"/>
        <v>0</v>
      </c>
      <c r="G628" s="9" t="e">
        <f>INDEX(signals_2019_10!$C$2:$AJ$682, MATCH($B628, signals_2019_10!$B$2:$B$682, 0), MATCH(C$2, signals_2019_10!$C$1:$AJ$1, 0))</f>
        <v>#N/A</v>
      </c>
      <c r="H628" s="14">
        <f t="shared" si="57"/>
        <v>0</v>
      </c>
      <c r="I628" s="11">
        <f t="shared" si="58"/>
        <v>0</v>
      </c>
      <c r="J628" s="11">
        <f t="shared" ca="1" si="59"/>
        <v>0</v>
      </c>
    </row>
    <row r="629" spans="1:10" hidden="1" x14ac:dyDescent="0.35">
      <c r="A629" s="20">
        <f>INDEX(signals_2020_05!$A$2:$A$680, MATCH(B629, signals_2020_05!$B$2:$B$680, 0))</f>
        <v>4220</v>
      </c>
      <c r="B629" s="2" t="str">
        <f>signals_2020_05!B619</f>
        <v>Tower base temp, StdDev</v>
      </c>
      <c r="C629" s="9" t="str">
        <f>INDEX(signals_2020_05!$C$2:$AJ$680, MATCH($B629, signals_2020_05!$B$2:$B$680, 0), MATCH(C$2, signals_2020_05!$C$1:$AJ$1, 0))</f>
        <v>NaT</v>
      </c>
      <c r="D629" s="14">
        <f t="shared" si="54"/>
        <v>0</v>
      </c>
      <c r="E629" s="11">
        <f t="shared" si="55"/>
        <v>0</v>
      </c>
      <c r="F629" s="11">
        <f t="shared" ca="1" si="56"/>
        <v>0</v>
      </c>
      <c r="G629" s="9" t="e">
        <f>INDEX(signals_2019_10!$C$2:$AJ$682, MATCH($B629, signals_2019_10!$B$2:$B$682, 0), MATCH(C$2, signals_2019_10!$C$1:$AJ$1, 0))</f>
        <v>#N/A</v>
      </c>
      <c r="H629" s="14">
        <f t="shared" si="57"/>
        <v>0</v>
      </c>
      <c r="I629" s="11">
        <f t="shared" si="58"/>
        <v>0</v>
      </c>
      <c r="J629" s="11">
        <f t="shared" ca="1" si="59"/>
        <v>0</v>
      </c>
    </row>
    <row r="630" spans="1:10" hidden="1" x14ac:dyDescent="0.35">
      <c r="A630" s="20">
        <f>INDEX(signals_2020_05!$A$2:$A$680, MATCH(B630, signals_2020_05!$B$2:$B$680, 0))</f>
        <v>32</v>
      </c>
      <c r="B630" s="2" t="str">
        <f>signals_2020_05!B620</f>
        <v>Tower temperature</v>
      </c>
      <c r="C630" s="9" t="str">
        <f>INDEX(signals_2020_05!$C$2:$AJ$680, MATCH($B630, signals_2020_05!$B$2:$B$680, 0), MATCH(C$2, signals_2020_05!$C$1:$AJ$1, 0))</f>
        <v>NaT</v>
      </c>
      <c r="D630" s="14">
        <f t="shared" si="54"/>
        <v>0</v>
      </c>
      <c r="E630" s="11">
        <f t="shared" si="55"/>
        <v>0</v>
      </c>
      <c r="F630" s="11">
        <f t="shared" ca="1" si="56"/>
        <v>0</v>
      </c>
      <c r="G630" s="9" t="str">
        <f>INDEX(signals_2019_10!$C$2:$AJ$682, MATCH($B630, signals_2019_10!$B$2:$B$682, 0), MATCH(C$2, signals_2019_10!$C$1:$AJ$1, 0))</f>
        <v>NaT</v>
      </c>
      <c r="H630" s="14">
        <f t="shared" si="57"/>
        <v>0</v>
      </c>
      <c r="I630" s="11">
        <f t="shared" si="58"/>
        <v>0</v>
      </c>
      <c r="J630" s="11">
        <f t="shared" ca="1" si="59"/>
        <v>0</v>
      </c>
    </row>
    <row r="631" spans="1:10" hidden="1" x14ac:dyDescent="0.35">
      <c r="A631" s="20">
        <f>INDEX(signals_2020_05!$A$2:$A$680, MATCH(B631, signals_2020_05!$B$2:$B$680, 0))</f>
        <v>4348</v>
      </c>
      <c r="B631" s="2" t="str">
        <f>signals_2020_05!B621</f>
        <v>Tower temperature, Max</v>
      </c>
      <c r="C631" s="9" t="str">
        <f>INDEX(signals_2020_05!$C$2:$AJ$680, MATCH($B631, signals_2020_05!$B$2:$B$680, 0), MATCH(C$2, signals_2020_05!$C$1:$AJ$1, 0))</f>
        <v>NaT</v>
      </c>
      <c r="D631" s="14">
        <f t="shared" si="54"/>
        <v>0</v>
      </c>
      <c r="E631" s="11">
        <f t="shared" si="55"/>
        <v>0</v>
      </c>
      <c r="F631" s="11">
        <f t="shared" ca="1" si="56"/>
        <v>0</v>
      </c>
      <c r="G631" s="9" t="e">
        <f>INDEX(signals_2019_10!$C$2:$AJ$682, MATCH($B631, signals_2019_10!$B$2:$B$682, 0), MATCH(C$2, signals_2019_10!$C$1:$AJ$1, 0))</f>
        <v>#N/A</v>
      </c>
      <c r="H631" s="14">
        <f t="shared" si="57"/>
        <v>0</v>
      </c>
      <c r="I631" s="11">
        <f t="shared" si="58"/>
        <v>0</v>
      </c>
      <c r="J631" s="11">
        <f t="shared" ca="1" si="59"/>
        <v>0</v>
      </c>
    </row>
    <row r="632" spans="1:10" hidden="1" x14ac:dyDescent="0.35">
      <c r="A632" s="20">
        <f>INDEX(signals_2020_05!$A$2:$A$680, MATCH(B632, signals_2020_05!$B$2:$B$680, 0))</f>
        <v>4349</v>
      </c>
      <c r="B632" s="2" t="str">
        <f>signals_2020_05!B622</f>
        <v>Tower temperature, Min</v>
      </c>
      <c r="C632" s="9" t="str">
        <f>INDEX(signals_2020_05!$C$2:$AJ$680, MATCH($B632, signals_2020_05!$B$2:$B$680, 0), MATCH(C$2, signals_2020_05!$C$1:$AJ$1, 0))</f>
        <v>NaT</v>
      </c>
      <c r="D632" s="14">
        <f t="shared" si="54"/>
        <v>0</v>
      </c>
      <c r="E632" s="11">
        <f t="shared" si="55"/>
        <v>0</v>
      </c>
      <c r="F632" s="11">
        <f t="shared" ca="1" si="56"/>
        <v>0</v>
      </c>
      <c r="G632" s="9" t="e">
        <f>INDEX(signals_2019_10!$C$2:$AJ$682, MATCH($B632, signals_2019_10!$B$2:$B$682, 0), MATCH(C$2, signals_2019_10!$C$1:$AJ$1, 0))</f>
        <v>#N/A</v>
      </c>
      <c r="H632" s="14">
        <f t="shared" si="57"/>
        <v>0</v>
      </c>
      <c r="I632" s="11">
        <f t="shared" si="58"/>
        <v>0</v>
      </c>
      <c r="J632" s="11">
        <f t="shared" ca="1" si="59"/>
        <v>0</v>
      </c>
    </row>
    <row r="633" spans="1:10" hidden="1" x14ac:dyDescent="0.35">
      <c r="A633" s="20">
        <f>INDEX(signals_2020_05!$A$2:$A$680, MATCH(B633, signals_2020_05!$B$2:$B$680, 0))</f>
        <v>4350</v>
      </c>
      <c r="B633" s="2" t="str">
        <f>signals_2020_05!B623</f>
        <v>Tower temperature, StdDev</v>
      </c>
      <c r="C633" s="9" t="str">
        <f>INDEX(signals_2020_05!$C$2:$AJ$680, MATCH($B633, signals_2020_05!$B$2:$B$680, 0), MATCH(C$2, signals_2020_05!$C$1:$AJ$1, 0))</f>
        <v>NaT</v>
      </c>
      <c r="D633" s="14">
        <f t="shared" si="54"/>
        <v>0</v>
      </c>
      <c r="E633" s="11">
        <f t="shared" si="55"/>
        <v>0</v>
      </c>
      <c r="F633" s="11">
        <f t="shared" ca="1" si="56"/>
        <v>0</v>
      </c>
      <c r="G633" s="9" t="e">
        <f>INDEX(signals_2019_10!$C$2:$AJ$682, MATCH($B633, signals_2019_10!$B$2:$B$682, 0), MATCH(C$2, signals_2019_10!$C$1:$AJ$1, 0))</f>
        <v>#N/A</v>
      </c>
      <c r="H633" s="14">
        <f t="shared" si="57"/>
        <v>0</v>
      </c>
      <c r="I633" s="11">
        <f t="shared" si="58"/>
        <v>0</v>
      </c>
      <c r="J633" s="11">
        <f t="shared" ca="1" si="59"/>
        <v>0</v>
      </c>
    </row>
    <row r="634" spans="1:10" hidden="1" x14ac:dyDescent="0.35">
      <c r="A634" s="20">
        <f>INDEX(signals_2020_05!$A$2:$A$680, MATCH(B634, signals_2020_05!$B$2:$B$680, 0))</f>
        <v>299</v>
      </c>
      <c r="B634" s="2" t="str">
        <f>signals_2020_05!B624</f>
        <v>Trafo temperature</v>
      </c>
      <c r="C634" s="9" t="str">
        <f>INDEX(signals_2020_05!$C$2:$AJ$680, MATCH($B634, signals_2020_05!$B$2:$B$680, 0), MATCH(C$2, signals_2020_05!$C$1:$AJ$1, 0))</f>
        <v>NaT</v>
      </c>
      <c r="D634" s="14">
        <f t="shared" si="54"/>
        <v>0</v>
      </c>
      <c r="E634" s="11">
        <f t="shared" si="55"/>
        <v>0</v>
      </c>
      <c r="F634" s="11">
        <f t="shared" ca="1" si="56"/>
        <v>0</v>
      </c>
      <c r="G634" s="9" t="str">
        <f>INDEX(signals_2019_10!$C$2:$AJ$682, MATCH($B634, signals_2019_10!$B$2:$B$682, 0), MATCH(C$2, signals_2019_10!$C$1:$AJ$1, 0))</f>
        <v>NaT</v>
      </c>
      <c r="H634" s="14">
        <f t="shared" si="57"/>
        <v>0</v>
      </c>
      <c r="I634" s="11">
        <f t="shared" si="58"/>
        <v>0</v>
      </c>
      <c r="J634" s="11">
        <f t="shared" ca="1" si="59"/>
        <v>0</v>
      </c>
    </row>
    <row r="635" spans="1:10" hidden="1" x14ac:dyDescent="0.35">
      <c r="A635" s="20">
        <f>INDEX(signals_2020_05!$A$2:$A$680, MATCH(B635, signals_2020_05!$B$2:$B$680, 0))</f>
        <v>4293</v>
      </c>
      <c r="B635" s="2" t="str">
        <f>signals_2020_05!B625</f>
        <v>Trafo temperature, Max</v>
      </c>
      <c r="C635" s="9" t="str">
        <f>INDEX(signals_2020_05!$C$2:$AJ$680, MATCH($B635, signals_2020_05!$B$2:$B$680, 0), MATCH(C$2, signals_2020_05!$C$1:$AJ$1, 0))</f>
        <v>NaT</v>
      </c>
      <c r="D635" s="14">
        <f t="shared" si="54"/>
        <v>0</v>
      </c>
      <c r="E635" s="11">
        <f t="shared" si="55"/>
        <v>0</v>
      </c>
      <c r="F635" s="11">
        <f t="shared" ca="1" si="56"/>
        <v>0</v>
      </c>
      <c r="G635" s="9" t="e">
        <f>INDEX(signals_2019_10!$C$2:$AJ$682, MATCH($B635, signals_2019_10!$B$2:$B$682, 0), MATCH(C$2, signals_2019_10!$C$1:$AJ$1, 0))</f>
        <v>#N/A</v>
      </c>
      <c r="H635" s="14">
        <f t="shared" si="57"/>
        <v>0</v>
      </c>
      <c r="I635" s="11">
        <f t="shared" si="58"/>
        <v>0</v>
      </c>
      <c r="J635" s="11">
        <f t="shared" ca="1" si="59"/>
        <v>0</v>
      </c>
    </row>
    <row r="636" spans="1:10" hidden="1" x14ac:dyDescent="0.35">
      <c r="A636" s="20">
        <f>INDEX(signals_2020_05!$A$2:$A$680, MATCH(B636, signals_2020_05!$B$2:$B$680, 0))</f>
        <v>4294</v>
      </c>
      <c r="B636" s="2" t="str">
        <f>signals_2020_05!B626</f>
        <v>Trafo temperature, Min</v>
      </c>
      <c r="C636" s="9" t="str">
        <f>INDEX(signals_2020_05!$C$2:$AJ$680, MATCH($B636, signals_2020_05!$B$2:$B$680, 0), MATCH(C$2, signals_2020_05!$C$1:$AJ$1, 0))</f>
        <v>NaT</v>
      </c>
      <c r="D636" s="14">
        <f t="shared" si="54"/>
        <v>0</v>
      </c>
      <c r="E636" s="11">
        <f t="shared" si="55"/>
        <v>0</v>
      </c>
      <c r="F636" s="11">
        <f t="shared" ca="1" si="56"/>
        <v>0</v>
      </c>
      <c r="G636" s="9" t="e">
        <f>INDEX(signals_2019_10!$C$2:$AJ$682, MATCH($B636, signals_2019_10!$B$2:$B$682, 0), MATCH(C$2, signals_2019_10!$C$1:$AJ$1, 0))</f>
        <v>#N/A</v>
      </c>
      <c r="H636" s="14">
        <f t="shared" si="57"/>
        <v>0</v>
      </c>
      <c r="I636" s="11">
        <f t="shared" si="58"/>
        <v>0</v>
      </c>
      <c r="J636" s="11">
        <f t="shared" ca="1" si="59"/>
        <v>0</v>
      </c>
    </row>
    <row r="637" spans="1:10" hidden="1" x14ac:dyDescent="0.35">
      <c r="A637" s="20">
        <f>INDEX(signals_2020_05!$A$2:$A$680, MATCH(B637, signals_2020_05!$B$2:$B$680, 0))</f>
        <v>4295</v>
      </c>
      <c r="B637" s="2" t="str">
        <f>signals_2020_05!B627</f>
        <v>Trafo temperature, StdDev</v>
      </c>
      <c r="C637" s="9" t="str">
        <f>INDEX(signals_2020_05!$C$2:$AJ$680, MATCH($B637, signals_2020_05!$B$2:$B$680, 0), MATCH(C$2, signals_2020_05!$C$1:$AJ$1, 0))</f>
        <v>NaT</v>
      </c>
      <c r="D637" s="14">
        <f t="shared" si="54"/>
        <v>0</v>
      </c>
      <c r="E637" s="11">
        <f t="shared" si="55"/>
        <v>0</v>
      </c>
      <c r="F637" s="11">
        <f t="shared" ca="1" si="56"/>
        <v>0</v>
      </c>
      <c r="G637" s="9" t="e">
        <f>INDEX(signals_2019_10!$C$2:$AJ$682, MATCH($B637, signals_2019_10!$B$2:$B$682, 0), MATCH(C$2, signals_2019_10!$C$1:$AJ$1, 0))</f>
        <v>#N/A</v>
      </c>
      <c r="H637" s="14">
        <f t="shared" si="57"/>
        <v>0</v>
      </c>
      <c r="I637" s="11">
        <f t="shared" si="58"/>
        <v>0</v>
      </c>
      <c r="J637" s="11">
        <f t="shared" ca="1" si="59"/>
        <v>0</v>
      </c>
    </row>
    <row r="638" spans="1:10" hidden="1" x14ac:dyDescent="0.35">
      <c r="A638" s="20">
        <f>INDEX(signals_2020_05!$A$2:$A$680, MATCH(B638, signals_2020_05!$B$2:$B$680, 0))</f>
        <v>34</v>
      </c>
      <c r="B638" s="2" t="str">
        <f>signals_2020_05!B628</f>
        <v>Transformer temperature</v>
      </c>
      <c r="C638" s="9" t="str">
        <f>INDEX(signals_2020_05!$C$2:$AJ$680, MATCH($B638, signals_2020_05!$B$2:$B$680, 0), MATCH(C$2, signals_2020_05!$C$1:$AJ$1, 0))</f>
        <v>NaT</v>
      </c>
      <c r="D638" s="14">
        <f t="shared" si="54"/>
        <v>0</v>
      </c>
      <c r="E638" s="11">
        <f t="shared" si="55"/>
        <v>0</v>
      </c>
      <c r="F638" s="11">
        <f t="shared" ca="1" si="56"/>
        <v>0</v>
      </c>
      <c r="G638" s="9" t="str">
        <f>INDEX(signals_2019_10!$C$2:$AJ$682, MATCH($B638, signals_2019_10!$B$2:$B$682, 0), MATCH(C$2, signals_2019_10!$C$1:$AJ$1, 0))</f>
        <v>NaT</v>
      </c>
      <c r="H638" s="14">
        <f t="shared" si="57"/>
        <v>0</v>
      </c>
      <c r="I638" s="11">
        <f t="shared" si="58"/>
        <v>0</v>
      </c>
      <c r="J638" s="11">
        <f t="shared" ca="1" si="59"/>
        <v>0</v>
      </c>
    </row>
    <row r="639" spans="1:10" hidden="1" x14ac:dyDescent="0.35">
      <c r="A639" s="20">
        <f>INDEX(signals_2020_05!$A$2:$A$680, MATCH(B639, signals_2020_05!$B$2:$B$680, 0))</f>
        <v>4212</v>
      </c>
      <c r="B639" s="2" t="str">
        <f>signals_2020_05!B629</f>
        <v>Transformer temperature, Max</v>
      </c>
      <c r="C639" s="9" t="str">
        <f>INDEX(signals_2020_05!$C$2:$AJ$680, MATCH($B639, signals_2020_05!$B$2:$B$680, 0), MATCH(C$2, signals_2020_05!$C$1:$AJ$1, 0))</f>
        <v>NaT</v>
      </c>
      <c r="D639" s="14">
        <f t="shared" si="54"/>
        <v>0</v>
      </c>
      <c r="E639" s="11">
        <f t="shared" si="55"/>
        <v>0</v>
      </c>
      <c r="F639" s="11">
        <f t="shared" ca="1" si="56"/>
        <v>0</v>
      </c>
      <c r="G639" s="9" t="e">
        <f>INDEX(signals_2019_10!$C$2:$AJ$682, MATCH($B639, signals_2019_10!$B$2:$B$682, 0), MATCH(C$2, signals_2019_10!$C$1:$AJ$1, 0))</f>
        <v>#N/A</v>
      </c>
      <c r="H639" s="14">
        <f t="shared" si="57"/>
        <v>0</v>
      </c>
      <c r="I639" s="11">
        <f t="shared" si="58"/>
        <v>0</v>
      </c>
      <c r="J639" s="11">
        <f t="shared" ca="1" si="59"/>
        <v>0</v>
      </c>
    </row>
    <row r="640" spans="1:10" hidden="1" x14ac:dyDescent="0.35">
      <c r="A640" s="20">
        <f>INDEX(signals_2020_05!$A$2:$A$680, MATCH(B640, signals_2020_05!$B$2:$B$680, 0))</f>
        <v>4213</v>
      </c>
      <c r="B640" s="2" t="str">
        <f>signals_2020_05!B630</f>
        <v>Transformer temperature, Min</v>
      </c>
      <c r="C640" s="9" t="str">
        <f>INDEX(signals_2020_05!$C$2:$AJ$680, MATCH($B640, signals_2020_05!$B$2:$B$680, 0), MATCH(C$2, signals_2020_05!$C$1:$AJ$1, 0))</f>
        <v>NaT</v>
      </c>
      <c r="D640" s="14">
        <f t="shared" si="54"/>
        <v>0</v>
      </c>
      <c r="E640" s="11">
        <f t="shared" si="55"/>
        <v>0</v>
      </c>
      <c r="F640" s="11">
        <f t="shared" ca="1" si="56"/>
        <v>0</v>
      </c>
      <c r="G640" s="9" t="e">
        <f>INDEX(signals_2019_10!$C$2:$AJ$682, MATCH($B640, signals_2019_10!$B$2:$B$682, 0), MATCH(C$2, signals_2019_10!$C$1:$AJ$1, 0))</f>
        <v>#N/A</v>
      </c>
      <c r="H640" s="14">
        <f t="shared" si="57"/>
        <v>0</v>
      </c>
      <c r="I640" s="11">
        <f t="shared" si="58"/>
        <v>0</v>
      </c>
      <c r="J640" s="11">
        <f t="shared" ca="1" si="59"/>
        <v>0</v>
      </c>
    </row>
    <row r="641" spans="1:10" hidden="1" x14ac:dyDescent="0.35">
      <c r="A641" s="20">
        <f>INDEX(signals_2020_05!$A$2:$A$680, MATCH(B641, signals_2020_05!$B$2:$B$680, 0))</f>
        <v>4214</v>
      </c>
      <c r="B641" s="2" t="str">
        <f>signals_2020_05!B631</f>
        <v>Transformer temperature, StdDev</v>
      </c>
      <c r="C641" s="9" t="str">
        <f>INDEX(signals_2020_05!$C$2:$AJ$680, MATCH($B641, signals_2020_05!$B$2:$B$680, 0), MATCH(C$2, signals_2020_05!$C$1:$AJ$1, 0))</f>
        <v>NaT</v>
      </c>
      <c r="D641" s="14">
        <f t="shared" si="54"/>
        <v>0</v>
      </c>
      <c r="E641" s="11">
        <f t="shared" si="55"/>
        <v>0</v>
      </c>
      <c r="F641" s="11">
        <f t="shared" ca="1" si="56"/>
        <v>0</v>
      </c>
      <c r="G641" s="9" t="e">
        <f>INDEX(signals_2019_10!$C$2:$AJ$682, MATCH($B641, signals_2019_10!$B$2:$B$682, 0), MATCH(C$2, signals_2019_10!$C$1:$AJ$1, 0))</f>
        <v>#N/A</v>
      </c>
      <c r="H641" s="14">
        <f t="shared" si="57"/>
        <v>0</v>
      </c>
      <c r="I641" s="11">
        <f t="shared" si="58"/>
        <v>0</v>
      </c>
      <c r="J641" s="11">
        <f t="shared" ca="1" si="59"/>
        <v>0</v>
      </c>
    </row>
    <row r="642" spans="1:10" hidden="1" x14ac:dyDescent="0.35">
      <c r="A642" s="20">
        <f>INDEX(signals_2020_05!$A$2:$A$680, MATCH(B642, signals_2020_05!$B$2:$B$680, 0))</f>
        <v>373</v>
      </c>
      <c r="B642" s="2" t="str">
        <f>signals_2020_05!B632</f>
        <v>Transformer winding temp 1</v>
      </c>
      <c r="C642" s="9" t="str">
        <f>INDEX(signals_2020_05!$C$2:$AJ$680, MATCH($B642, signals_2020_05!$B$2:$B$680, 0), MATCH(C$2, signals_2020_05!$C$1:$AJ$1, 0))</f>
        <v>NaT</v>
      </c>
      <c r="D642" s="14">
        <f t="shared" si="54"/>
        <v>0</v>
      </c>
      <c r="E642" s="11">
        <f t="shared" si="55"/>
        <v>0</v>
      </c>
      <c r="F642" s="11">
        <f t="shared" ca="1" si="56"/>
        <v>0</v>
      </c>
      <c r="G642" s="9" t="str">
        <f>INDEX(signals_2019_10!$C$2:$AJ$682, MATCH($B642, signals_2019_10!$B$2:$B$682, 0), MATCH(C$2, signals_2019_10!$C$1:$AJ$1, 0))</f>
        <v>NaT</v>
      </c>
      <c r="H642" s="14">
        <f t="shared" si="57"/>
        <v>0</v>
      </c>
      <c r="I642" s="11">
        <f t="shared" si="58"/>
        <v>0</v>
      </c>
      <c r="J642" s="11">
        <f t="shared" ca="1" si="59"/>
        <v>0</v>
      </c>
    </row>
    <row r="643" spans="1:10" hidden="1" x14ac:dyDescent="0.35">
      <c r="A643" s="20">
        <f>INDEX(signals_2020_05!$A$2:$A$680, MATCH(B643, signals_2020_05!$B$2:$B$680, 0))</f>
        <v>4375</v>
      </c>
      <c r="B643" s="2" t="str">
        <f>signals_2020_05!B633</f>
        <v>Transformer winding temp 1, Max</v>
      </c>
      <c r="C643" s="9" t="str">
        <f>INDEX(signals_2020_05!$C$2:$AJ$680, MATCH($B643, signals_2020_05!$B$2:$B$680, 0), MATCH(C$2, signals_2020_05!$C$1:$AJ$1, 0))</f>
        <v>NaT</v>
      </c>
      <c r="D643" s="14">
        <f t="shared" si="54"/>
        <v>0</v>
      </c>
      <c r="E643" s="11">
        <f t="shared" si="55"/>
        <v>0</v>
      </c>
      <c r="F643" s="11">
        <f t="shared" ca="1" si="56"/>
        <v>0</v>
      </c>
      <c r="G643" s="9" t="e">
        <f>INDEX(signals_2019_10!$C$2:$AJ$682, MATCH($B643, signals_2019_10!$B$2:$B$682, 0), MATCH(C$2, signals_2019_10!$C$1:$AJ$1, 0))</f>
        <v>#N/A</v>
      </c>
      <c r="H643" s="14">
        <f t="shared" si="57"/>
        <v>0</v>
      </c>
      <c r="I643" s="11">
        <f t="shared" si="58"/>
        <v>0</v>
      </c>
      <c r="J643" s="11">
        <f t="shared" ca="1" si="59"/>
        <v>0</v>
      </c>
    </row>
    <row r="644" spans="1:10" hidden="1" x14ac:dyDescent="0.35">
      <c r="A644" s="20">
        <f>INDEX(signals_2020_05!$A$2:$A$680, MATCH(B644, signals_2020_05!$B$2:$B$680, 0))</f>
        <v>4376</v>
      </c>
      <c r="B644" s="2" t="str">
        <f>signals_2020_05!B634</f>
        <v>Transformer winding temp 1, Min</v>
      </c>
      <c r="C644" s="9" t="str">
        <f>INDEX(signals_2020_05!$C$2:$AJ$680, MATCH($B644, signals_2020_05!$B$2:$B$680, 0), MATCH(C$2, signals_2020_05!$C$1:$AJ$1, 0))</f>
        <v>NaT</v>
      </c>
      <c r="D644" s="14">
        <f t="shared" si="54"/>
        <v>0</v>
      </c>
      <c r="E644" s="11">
        <f t="shared" si="55"/>
        <v>0</v>
      </c>
      <c r="F644" s="11">
        <f t="shared" ca="1" si="56"/>
        <v>0</v>
      </c>
      <c r="G644" s="9" t="e">
        <f>INDEX(signals_2019_10!$C$2:$AJ$682, MATCH($B644, signals_2019_10!$B$2:$B$682, 0), MATCH(C$2, signals_2019_10!$C$1:$AJ$1, 0))</f>
        <v>#N/A</v>
      </c>
      <c r="H644" s="14">
        <f t="shared" si="57"/>
        <v>0</v>
      </c>
      <c r="I644" s="11">
        <f t="shared" si="58"/>
        <v>0</v>
      </c>
      <c r="J644" s="11">
        <f t="shared" ca="1" si="59"/>
        <v>0</v>
      </c>
    </row>
    <row r="645" spans="1:10" hidden="1" x14ac:dyDescent="0.35">
      <c r="A645" s="20">
        <f>INDEX(signals_2020_05!$A$2:$A$680, MATCH(B645, signals_2020_05!$B$2:$B$680, 0))</f>
        <v>4377</v>
      </c>
      <c r="B645" s="2" t="str">
        <f>signals_2020_05!B635</f>
        <v>Transformer winding temp 1, StdDev</v>
      </c>
      <c r="C645" s="9" t="str">
        <f>INDEX(signals_2020_05!$C$2:$AJ$680, MATCH($B645, signals_2020_05!$B$2:$B$680, 0), MATCH(C$2, signals_2020_05!$C$1:$AJ$1, 0))</f>
        <v>NaT</v>
      </c>
      <c r="D645" s="14">
        <f t="shared" si="54"/>
        <v>0</v>
      </c>
      <c r="E645" s="11">
        <f t="shared" si="55"/>
        <v>0</v>
      </c>
      <c r="F645" s="11">
        <f t="shared" ca="1" si="56"/>
        <v>0</v>
      </c>
      <c r="G645" s="9" t="e">
        <f>INDEX(signals_2019_10!$C$2:$AJ$682, MATCH($B645, signals_2019_10!$B$2:$B$682, 0), MATCH(C$2, signals_2019_10!$C$1:$AJ$1, 0))</f>
        <v>#N/A</v>
      </c>
      <c r="H645" s="14">
        <f t="shared" si="57"/>
        <v>0</v>
      </c>
      <c r="I645" s="11">
        <f t="shared" si="58"/>
        <v>0</v>
      </c>
      <c r="J645" s="11">
        <f t="shared" ca="1" si="59"/>
        <v>0</v>
      </c>
    </row>
    <row r="646" spans="1:10" hidden="1" x14ac:dyDescent="0.35">
      <c r="A646" s="20">
        <f>INDEX(signals_2020_05!$A$2:$A$680, MATCH(B646, signals_2020_05!$B$2:$B$680, 0))</f>
        <v>374</v>
      </c>
      <c r="B646" s="2" t="str">
        <f>signals_2020_05!B636</f>
        <v>Transformer winding temp 2</v>
      </c>
      <c r="C646" s="9" t="str">
        <f>INDEX(signals_2020_05!$C$2:$AJ$680, MATCH($B646, signals_2020_05!$B$2:$B$680, 0), MATCH(C$2, signals_2020_05!$C$1:$AJ$1, 0))</f>
        <v>NaT</v>
      </c>
      <c r="D646" s="14">
        <f t="shared" si="54"/>
        <v>0</v>
      </c>
      <c r="E646" s="11">
        <f t="shared" si="55"/>
        <v>0</v>
      </c>
      <c r="F646" s="11">
        <f t="shared" ca="1" si="56"/>
        <v>0</v>
      </c>
      <c r="G646" s="9" t="str">
        <f>INDEX(signals_2019_10!$C$2:$AJ$682, MATCH($B646, signals_2019_10!$B$2:$B$682, 0), MATCH(C$2, signals_2019_10!$C$1:$AJ$1, 0))</f>
        <v>NaT</v>
      </c>
      <c r="H646" s="14">
        <f t="shared" si="57"/>
        <v>0</v>
      </c>
      <c r="I646" s="11">
        <f t="shared" si="58"/>
        <v>0</v>
      </c>
      <c r="J646" s="11">
        <f t="shared" ca="1" si="59"/>
        <v>0</v>
      </c>
    </row>
    <row r="647" spans="1:10" hidden="1" x14ac:dyDescent="0.35">
      <c r="A647" s="20">
        <f>INDEX(signals_2020_05!$A$2:$A$680, MATCH(B647, signals_2020_05!$B$2:$B$680, 0))</f>
        <v>4378</v>
      </c>
      <c r="B647" s="2" t="str">
        <f>signals_2020_05!B637</f>
        <v>Transformer winding temp 2, Max</v>
      </c>
      <c r="C647" s="9" t="str">
        <f>INDEX(signals_2020_05!$C$2:$AJ$680, MATCH($B647, signals_2020_05!$B$2:$B$680, 0), MATCH(C$2, signals_2020_05!$C$1:$AJ$1, 0))</f>
        <v>NaT</v>
      </c>
      <c r="D647" s="14">
        <f t="shared" si="54"/>
        <v>0</v>
      </c>
      <c r="E647" s="11">
        <f t="shared" si="55"/>
        <v>0</v>
      </c>
      <c r="F647" s="11">
        <f t="shared" ca="1" si="56"/>
        <v>0</v>
      </c>
      <c r="G647" s="9" t="e">
        <f>INDEX(signals_2019_10!$C$2:$AJ$682, MATCH($B647, signals_2019_10!$B$2:$B$682, 0), MATCH(C$2, signals_2019_10!$C$1:$AJ$1, 0))</f>
        <v>#N/A</v>
      </c>
      <c r="H647" s="14">
        <f t="shared" si="57"/>
        <v>0</v>
      </c>
      <c r="I647" s="11">
        <f t="shared" si="58"/>
        <v>0</v>
      </c>
      <c r="J647" s="11">
        <f t="shared" ca="1" si="59"/>
        <v>0</v>
      </c>
    </row>
    <row r="648" spans="1:10" hidden="1" x14ac:dyDescent="0.35">
      <c r="A648" s="20">
        <f>INDEX(signals_2020_05!$A$2:$A$680, MATCH(B648, signals_2020_05!$B$2:$B$680, 0))</f>
        <v>4379</v>
      </c>
      <c r="B648" s="2" t="str">
        <f>signals_2020_05!B638</f>
        <v>Transformer winding temp 2, Min</v>
      </c>
      <c r="C648" s="9" t="str">
        <f>INDEX(signals_2020_05!$C$2:$AJ$680, MATCH($B648, signals_2020_05!$B$2:$B$680, 0), MATCH(C$2, signals_2020_05!$C$1:$AJ$1, 0))</f>
        <v>NaT</v>
      </c>
      <c r="D648" s="14">
        <f t="shared" si="54"/>
        <v>0</v>
      </c>
      <c r="E648" s="11">
        <f t="shared" si="55"/>
        <v>0</v>
      </c>
      <c r="F648" s="11">
        <f t="shared" ca="1" si="56"/>
        <v>0</v>
      </c>
      <c r="G648" s="9" t="e">
        <f>INDEX(signals_2019_10!$C$2:$AJ$682, MATCH($B648, signals_2019_10!$B$2:$B$682, 0), MATCH(C$2, signals_2019_10!$C$1:$AJ$1, 0))</f>
        <v>#N/A</v>
      </c>
      <c r="H648" s="14">
        <f t="shared" si="57"/>
        <v>0</v>
      </c>
      <c r="I648" s="11">
        <f t="shared" si="58"/>
        <v>0</v>
      </c>
      <c r="J648" s="11">
        <f t="shared" ca="1" si="59"/>
        <v>0</v>
      </c>
    </row>
    <row r="649" spans="1:10" hidden="1" x14ac:dyDescent="0.35">
      <c r="A649" s="20">
        <f>INDEX(signals_2020_05!$A$2:$A$680, MATCH(B649, signals_2020_05!$B$2:$B$680, 0))</f>
        <v>4380</v>
      </c>
      <c r="B649" s="2" t="str">
        <f>signals_2020_05!B639</f>
        <v>Transformer winding temp 2, StdDev</v>
      </c>
      <c r="C649" s="9" t="str">
        <f>INDEX(signals_2020_05!$C$2:$AJ$680, MATCH($B649, signals_2020_05!$B$2:$B$680, 0), MATCH(C$2, signals_2020_05!$C$1:$AJ$1, 0))</f>
        <v>NaT</v>
      </c>
      <c r="D649" s="14">
        <f t="shared" si="54"/>
        <v>0</v>
      </c>
      <c r="E649" s="11">
        <f t="shared" si="55"/>
        <v>0</v>
      </c>
      <c r="F649" s="11">
        <f t="shared" ca="1" si="56"/>
        <v>0</v>
      </c>
      <c r="G649" s="9" t="e">
        <f>INDEX(signals_2019_10!$C$2:$AJ$682, MATCH($B649, signals_2019_10!$B$2:$B$682, 0), MATCH(C$2, signals_2019_10!$C$1:$AJ$1, 0))</f>
        <v>#N/A</v>
      </c>
      <c r="H649" s="14">
        <f t="shared" si="57"/>
        <v>0</v>
      </c>
      <c r="I649" s="11">
        <f t="shared" si="58"/>
        <v>0</v>
      </c>
      <c r="J649" s="11">
        <f t="shared" ca="1" si="59"/>
        <v>0</v>
      </c>
    </row>
    <row r="650" spans="1:10" hidden="1" x14ac:dyDescent="0.35">
      <c r="A650" s="20">
        <f>INDEX(signals_2020_05!$A$2:$A$680, MATCH(B650, signals_2020_05!$B$2:$B$680, 0))</f>
        <v>375</v>
      </c>
      <c r="B650" s="2" t="str">
        <f>signals_2020_05!B640</f>
        <v>Transformer winding temp 3</v>
      </c>
      <c r="C650" s="9" t="str">
        <f>INDEX(signals_2020_05!$C$2:$AJ$680, MATCH($B650, signals_2020_05!$B$2:$B$680, 0), MATCH(C$2, signals_2020_05!$C$1:$AJ$1, 0))</f>
        <v>NaT</v>
      </c>
      <c r="D650" s="14">
        <f t="shared" si="54"/>
        <v>0</v>
      </c>
      <c r="E650" s="11">
        <f t="shared" si="55"/>
        <v>0</v>
      </c>
      <c r="F650" s="11">
        <f t="shared" ca="1" si="56"/>
        <v>0</v>
      </c>
      <c r="G650" s="9" t="str">
        <f>INDEX(signals_2019_10!$C$2:$AJ$682, MATCH($B650, signals_2019_10!$B$2:$B$682, 0), MATCH(C$2, signals_2019_10!$C$1:$AJ$1, 0))</f>
        <v>NaT</v>
      </c>
      <c r="H650" s="14">
        <f t="shared" si="57"/>
        <v>0</v>
      </c>
      <c r="I650" s="11">
        <f t="shared" si="58"/>
        <v>0</v>
      </c>
      <c r="J650" s="11">
        <f t="shared" ca="1" si="59"/>
        <v>0</v>
      </c>
    </row>
    <row r="651" spans="1:10" hidden="1" x14ac:dyDescent="0.35">
      <c r="A651" s="20">
        <f>INDEX(signals_2020_05!$A$2:$A$680, MATCH(B651, signals_2020_05!$B$2:$B$680, 0))</f>
        <v>4381</v>
      </c>
      <c r="B651" s="2" t="str">
        <f>signals_2020_05!B641</f>
        <v>Transformer winding temp 3, Max</v>
      </c>
      <c r="C651" s="9" t="str">
        <f>INDEX(signals_2020_05!$C$2:$AJ$680, MATCH($B651, signals_2020_05!$B$2:$B$680, 0), MATCH(C$2, signals_2020_05!$C$1:$AJ$1, 0))</f>
        <v>NaT</v>
      </c>
      <c r="D651" s="14">
        <f t="shared" si="54"/>
        <v>0</v>
      </c>
      <c r="E651" s="11">
        <f t="shared" si="55"/>
        <v>0</v>
      </c>
      <c r="F651" s="11">
        <f t="shared" ca="1" si="56"/>
        <v>0</v>
      </c>
      <c r="G651" s="9" t="e">
        <f>INDEX(signals_2019_10!$C$2:$AJ$682, MATCH($B651, signals_2019_10!$B$2:$B$682, 0), MATCH(C$2, signals_2019_10!$C$1:$AJ$1, 0))</f>
        <v>#N/A</v>
      </c>
      <c r="H651" s="14">
        <f t="shared" si="57"/>
        <v>0</v>
      </c>
      <c r="I651" s="11">
        <f t="shared" si="58"/>
        <v>0</v>
      </c>
      <c r="J651" s="11">
        <f t="shared" ca="1" si="59"/>
        <v>0</v>
      </c>
    </row>
    <row r="652" spans="1:10" hidden="1" x14ac:dyDescent="0.35">
      <c r="A652" s="20">
        <f>INDEX(signals_2020_05!$A$2:$A$680, MATCH(B652, signals_2020_05!$B$2:$B$680, 0))</f>
        <v>4382</v>
      </c>
      <c r="B652" s="2" t="str">
        <f>signals_2020_05!B642</f>
        <v>Transformer winding temp 3, Min</v>
      </c>
      <c r="C652" s="9" t="str">
        <f>INDEX(signals_2020_05!$C$2:$AJ$680, MATCH($B652, signals_2020_05!$B$2:$B$680, 0), MATCH(C$2, signals_2020_05!$C$1:$AJ$1, 0))</f>
        <v>NaT</v>
      </c>
      <c r="D652" s="14">
        <f t="shared" si="54"/>
        <v>0</v>
      </c>
      <c r="E652" s="11">
        <f t="shared" si="55"/>
        <v>0</v>
      </c>
      <c r="F652" s="11">
        <f t="shared" ca="1" si="56"/>
        <v>0</v>
      </c>
      <c r="G652" s="9" t="e">
        <f>INDEX(signals_2019_10!$C$2:$AJ$682, MATCH($B652, signals_2019_10!$B$2:$B$682, 0), MATCH(C$2, signals_2019_10!$C$1:$AJ$1, 0))</f>
        <v>#N/A</v>
      </c>
      <c r="H652" s="14">
        <f t="shared" si="57"/>
        <v>0</v>
      </c>
      <c r="I652" s="11">
        <f t="shared" si="58"/>
        <v>0</v>
      </c>
      <c r="J652" s="11">
        <f t="shared" ca="1" si="59"/>
        <v>0</v>
      </c>
    </row>
    <row r="653" spans="1:10" hidden="1" x14ac:dyDescent="0.35">
      <c r="A653" s="20">
        <f>INDEX(signals_2020_05!$A$2:$A$680, MATCH(B653, signals_2020_05!$B$2:$B$680, 0))</f>
        <v>4383</v>
      </c>
      <c r="B653" s="2" t="str">
        <f>signals_2020_05!B643</f>
        <v>Transformer winding temp 3, StdDev</v>
      </c>
      <c r="C653" s="9" t="str">
        <f>INDEX(signals_2020_05!$C$2:$AJ$680, MATCH($B653, signals_2020_05!$B$2:$B$680, 0), MATCH(C$2, signals_2020_05!$C$1:$AJ$1, 0))</f>
        <v>NaT</v>
      </c>
      <c r="D653" s="14">
        <f t="shared" ref="D653:D693" si="60">IF(ISERROR(C653), 0, IF(C653="NaT", 0, 1))</f>
        <v>0</v>
      </c>
      <c r="E653" s="11">
        <f t="shared" ref="E653:E693" si="61">IF(D653, IF(FLOOR($C653, 1) = FLOOR($C$5, 1), 1, 0), 0)</f>
        <v>0</v>
      </c>
      <c r="F653" s="11">
        <f t="shared" ref="F653:F693" ca="1" si="62">IF(ISERROR(C653), 0, IF(C653="NaT", 0,ROUND(((NOW()-C653)/365.25)*10, 0)/10))</f>
        <v>0</v>
      </c>
      <c r="G653" s="9" t="e">
        <f>INDEX(signals_2019_10!$C$2:$AJ$682, MATCH($B653, signals_2019_10!$B$2:$B$682, 0), MATCH(C$2, signals_2019_10!$C$1:$AJ$1, 0))</f>
        <v>#N/A</v>
      </c>
      <c r="H653" s="14">
        <f t="shared" ref="H653:H693" si="63">IF(ISERROR(G653), 0, IF(G653="NaT", 0, 1))</f>
        <v>0</v>
      </c>
      <c r="I653" s="11">
        <f t="shared" ref="I653:I693" si="64">IF(H653, IF(FLOOR($C653, 1) = FLOOR($C$5, 1), 1, 0), 0)</f>
        <v>0</v>
      </c>
      <c r="J653" s="11">
        <f t="shared" ref="J653:J693" ca="1" si="65">IF(ISERROR(G653), 0, IF(G653="NaT", 0,ROUND(((NOW()-G653)/365.25)*10, 0)/10))</f>
        <v>0</v>
      </c>
    </row>
    <row r="654" spans="1:10" hidden="1" x14ac:dyDescent="0.35">
      <c r="A654" s="20">
        <f>INDEX(signals_2020_05!$A$2:$A$680, MATCH(B654, signals_2020_05!$B$2:$B$680, 0))</f>
        <v>156</v>
      </c>
      <c r="B654" s="2" t="str">
        <f>signals_2020_05!B644</f>
        <v>Turbine OK Time</v>
      </c>
      <c r="C654" s="9" t="str">
        <f>INDEX(signals_2020_05!$C$2:$AJ$680, MATCH($B654, signals_2020_05!$B$2:$B$680, 0), MATCH(C$2, signals_2020_05!$C$1:$AJ$1, 0))</f>
        <v>NaT</v>
      </c>
      <c r="D654" s="14">
        <f t="shared" si="60"/>
        <v>0</v>
      </c>
      <c r="E654" s="11">
        <f t="shared" si="61"/>
        <v>0</v>
      </c>
      <c r="F654" s="11">
        <f t="shared" ca="1" si="62"/>
        <v>0</v>
      </c>
      <c r="G654" s="9" t="str">
        <f>INDEX(signals_2019_10!$C$2:$AJ$682, MATCH($B654, signals_2019_10!$B$2:$B$682, 0), MATCH(C$2, signals_2019_10!$C$1:$AJ$1, 0))</f>
        <v>NaT</v>
      </c>
      <c r="H654" s="14">
        <f t="shared" si="63"/>
        <v>0</v>
      </c>
      <c r="I654" s="11">
        <f t="shared" si="64"/>
        <v>0</v>
      </c>
      <c r="J654" s="11">
        <f t="shared" ca="1" si="65"/>
        <v>0</v>
      </c>
    </row>
    <row r="655" spans="1:10" hidden="1" x14ac:dyDescent="0.35">
      <c r="A655" s="20">
        <f>INDEX(signals_2020_05!$A$2:$A$680, MATCH(B655, signals_2020_05!$B$2:$B$680, 0))</f>
        <v>1702</v>
      </c>
      <c r="B655" s="2" t="str">
        <f>signals_2020_05!B645</f>
        <v>Turbine Power setpoint</v>
      </c>
      <c r="C655" s="9" t="str">
        <f>INDEX(signals_2020_05!$C$2:$AJ$680, MATCH($B655, signals_2020_05!$B$2:$B$680, 0), MATCH(C$2, signals_2020_05!$C$1:$AJ$1, 0))</f>
        <v>NaT</v>
      </c>
      <c r="D655" s="14">
        <f t="shared" si="60"/>
        <v>0</v>
      </c>
      <c r="E655" s="11">
        <f t="shared" si="61"/>
        <v>0</v>
      </c>
      <c r="F655" s="11">
        <f t="shared" ca="1" si="62"/>
        <v>0</v>
      </c>
      <c r="G655" s="9" t="str">
        <f>INDEX(signals_2019_10!$C$2:$AJ$682, MATCH($B655, signals_2019_10!$B$2:$B$682, 0), MATCH(C$2, signals_2019_10!$C$1:$AJ$1, 0))</f>
        <v>NaT</v>
      </c>
      <c r="H655" s="14">
        <f t="shared" si="63"/>
        <v>0</v>
      </c>
      <c r="I655" s="11">
        <f t="shared" si="64"/>
        <v>0</v>
      </c>
      <c r="J655" s="11">
        <f t="shared" ca="1" si="65"/>
        <v>0</v>
      </c>
    </row>
    <row r="656" spans="1:10" hidden="1" x14ac:dyDescent="0.35">
      <c r="A656" s="20">
        <f>INDEX(signals_2020_05!$A$2:$A$680, MATCH(B656, signals_2020_05!$B$2:$B$680, 0))</f>
        <v>404</v>
      </c>
      <c r="B656" s="2" t="str">
        <f>signals_2020_05!B646</f>
        <v>Vibration y-direction</v>
      </c>
      <c r="C656" s="9" t="str">
        <f>INDEX(signals_2020_05!$C$2:$AJ$680, MATCH($B656, signals_2020_05!$B$2:$B$680, 0), MATCH(C$2, signals_2020_05!$C$1:$AJ$1, 0))</f>
        <v>NaT</v>
      </c>
      <c r="D656" s="14">
        <f t="shared" si="60"/>
        <v>0</v>
      </c>
      <c r="E656" s="11">
        <f t="shared" si="61"/>
        <v>0</v>
      </c>
      <c r="F656" s="11">
        <f t="shared" ca="1" si="62"/>
        <v>0</v>
      </c>
      <c r="G656" s="9" t="str">
        <f>INDEX(signals_2019_10!$C$2:$AJ$682, MATCH($B656, signals_2019_10!$B$2:$B$682, 0), MATCH(C$2, signals_2019_10!$C$1:$AJ$1, 0))</f>
        <v>NaT</v>
      </c>
      <c r="H656" s="14">
        <f t="shared" si="63"/>
        <v>0</v>
      </c>
      <c r="I656" s="11">
        <f t="shared" si="64"/>
        <v>0</v>
      </c>
      <c r="J656" s="11">
        <f t="shared" ca="1" si="65"/>
        <v>0</v>
      </c>
    </row>
    <row r="657" spans="1:10" hidden="1" x14ac:dyDescent="0.35">
      <c r="A657" s="20">
        <f>INDEX(signals_2020_05!$A$2:$A$680, MATCH(B657, signals_2020_05!$B$2:$B$680, 0))</f>
        <v>4162</v>
      </c>
      <c r="B657" s="2" t="str">
        <f>signals_2020_05!B647</f>
        <v>Vibration y-direction, Max</v>
      </c>
      <c r="C657" s="9" t="str">
        <f>INDEX(signals_2020_05!$C$2:$AJ$680, MATCH($B657, signals_2020_05!$B$2:$B$680, 0), MATCH(C$2, signals_2020_05!$C$1:$AJ$1, 0))</f>
        <v>NaT</v>
      </c>
      <c r="D657" s="14">
        <f t="shared" si="60"/>
        <v>0</v>
      </c>
      <c r="E657" s="11">
        <f t="shared" si="61"/>
        <v>0</v>
      </c>
      <c r="F657" s="11">
        <f t="shared" ca="1" si="62"/>
        <v>0</v>
      </c>
      <c r="G657" s="9" t="e">
        <f>INDEX(signals_2019_10!$C$2:$AJ$682, MATCH($B657, signals_2019_10!$B$2:$B$682, 0), MATCH(C$2, signals_2019_10!$C$1:$AJ$1, 0))</f>
        <v>#N/A</v>
      </c>
      <c r="H657" s="14">
        <f t="shared" si="63"/>
        <v>0</v>
      </c>
      <c r="I657" s="11">
        <f t="shared" si="64"/>
        <v>0</v>
      </c>
      <c r="J657" s="11">
        <f t="shared" ca="1" si="65"/>
        <v>0</v>
      </c>
    </row>
    <row r="658" spans="1:10" hidden="1" x14ac:dyDescent="0.35">
      <c r="A658" s="20">
        <f>INDEX(signals_2020_05!$A$2:$A$680, MATCH(B658, signals_2020_05!$B$2:$B$680, 0))</f>
        <v>4163</v>
      </c>
      <c r="B658" s="2" t="str">
        <f>signals_2020_05!B648</f>
        <v>Vibration y-direction, Min</v>
      </c>
      <c r="C658" s="9" t="str">
        <f>INDEX(signals_2020_05!$C$2:$AJ$680, MATCH($B658, signals_2020_05!$B$2:$B$680, 0), MATCH(C$2, signals_2020_05!$C$1:$AJ$1, 0))</f>
        <v>NaT</v>
      </c>
      <c r="D658" s="14">
        <f t="shared" si="60"/>
        <v>0</v>
      </c>
      <c r="E658" s="11">
        <f t="shared" si="61"/>
        <v>0</v>
      </c>
      <c r="F658" s="11">
        <f t="shared" ca="1" si="62"/>
        <v>0</v>
      </c>
      <c r="G658" s="9" t="e">
        <f>INDEX(signals_2019_10!$C$2:$AJ$682, MATCH($B658, signals_2019_10!$B$2:$B$682, 0), MATCH(C$2, signals_2019_10!$C$1:$AJ$1, 0))</f>
        <v>#N/A</v>
      </c>
      <c r="H658" s="14">
        <f t="shared" si="63"/>
        <v>0</v>
      </c>
      <c r="I658" s="11">
        <f t="shared" si="64"/>
        <v>0</v>
      </c>
      <c r="J658" s="11">
        <f t="shared" ca="1" si="65"/>
        <v>0</v>
      </c>
    </row>
    <row r="659" spans="1:10" hidden="1" x14ac:dyDescent="0.35">
      <c r="A659" s="20">
        <f>INDEX(signals_2020_05!$A$2:$A$680, MATCH(B659, signals_2020_05!$B$2:$B$680, 0))</f>
        <v>4164</v>
      </c>
      <c r="B659" s="2" t="str">
        <f>signals_2020_05!B649</f>
        <v>Vibration y-direction, StdDev</v>
      </c>
      <c r="C659" s="9" t="str">
        <f>INDEX(signals_2020_05!$C$2:$AJ$680, MATCH($B659, signals_2020_05!$B$2:$B$680, 0), MATCH(C$2, signals_2020_05!$C$1:$AJ$1, 0))</f>
        <v>NaT</v>
      </c>
      <c r="D659" s="14">
        <f t="shared" si="60"/>
        <v>0</v>
      </c>
      <c r="E659" s="11">
        <f t="shared" si="61"/>
        <v>0</v>
      </c>
      <c r="F659" s="11">
        <f t="shared" ca="1" si="62"/>
        <v>0</v>
      </c>
      <c r="G659" s="9" t="e">
        <f>INDEX(signals_2019_10!$C$2:$AJ$682, MATCH($B659, signals_2019_10!$B$2:$B$682, 0), MATCH(C$2, signals_2019_10!$C$1:$AJ$1, 0))</f>
        <v>#N/A</v>
      </c>
      <c r="H659" s="14">
        <f t="shared" si="63"/>
        <v>0</v>
      </c>
      <c r="I659" s="11">
        <f t="shared" si="64"/>
        <v>0</v>
      </c>
      <c r="J659" s="11">
        <f t="shared" ca="1" si="65"/>
        <v>0</v>
      </c>
    </row>
    <row r="660" spans="1:10" hidden="1" x14ac:dyDescent="0.35">
      <c r="A660" s="20">
        <f>INDEX(signals_2020_05!$A$2:$A$680, MATCH(B660, signals_2020_05!$B$2:$B$680, 0))</f>
        <v>405</v>
      </c>
      <c r="B660" s="2" t="str">
        <f>signals_2020_05!B650</f>
        <v>Vibration z-direction</v>
      </c>
      <c r="C660" s="9" t="str">
        <f>INDEX(signals_2020_05!$C$2:$AJ$680, MATCH($B660, signals_2020_05!$B$2:$B$680, 0), MATCH(C$2, signals_2020_05!$C$1:$AJ$1, 0))</f>
        <v>NaT</v>
      </c>
      <c r="D660" s="14">
        <f t="shared" si="60"/>
        <v>0</v>
      </c>
      <c r="E660" s="11">
        <f t="shared" si="61"/>
        <v>0</v>
      </c>
      <c r="F660" s="11">
        <f t="shared" ca="1" si="62"/>
        <v>0</v>
      </c>
      <c r="G660" s="9" t="str">
        <f>INDEX(signals_2019_10!$C$2:$AJ$682, MATCH($B660, signals_2019_10!$B$2:$B$682, 0), MATCH(C$2, signals_2019_10!$C$1:$AJ$1, 0))</f>
        <v>NaT</v>
      </c>
      <c r="H660" s="14">
        <f t="shared" si="63"/>
        <v>0</v>
      </c>
      <c r="I660" s="11">
        <f t="shared" si="64"/>
        <v>0</v>
      </c>
      <c r="J660" s="11">
        <f t="shared" ca="1" si="65"/>
        <v>0</v>
      </c>
    </row>
    <row r="661" spans="1:10" hidden="1" x14ac:dyDescent="0.35">
      <c r="A661" s="20">
        <f>INDEX(signals_2020_05!$A$2:$A$680, MATCH(B661, signals_2020_05!$B$2:$B$680, 0))</f>
        <v>4165</v>
      </c>
      <c r="B661" s="2" t="str">
        <f>signals_2020_05!B651</f>
        <v>Vibration z-direction, Max</v>
      </c>
      <c r="C661" s="9" t="str">
        <f>INDEX(signals_2020_05!$C$2:$AJ$680, MATCH($B661, signals_2020_05!$B$2:$B$680, 0), MATCH(C$2, signals_2020_05!$C$1:$AJ$1, 0))</f>
        <v>NaT</v>
      </c>
      <c r="D661" s="14">
        <f t="shared" si="60"/>
        <v>0</v>
      </c>
      <c r="E661" s="11">
        <f t="shared" si="61"/>
        <v>0</v>
      </c>
      <c r="F661" s="11">
        <f t="shared" ca="1" si="62"/>
        <v>0</v>
      </c>
      <c r="G661" s="9" t="e">
        <f>INDEX(signals_2019_10!$C$2:$AJ$682, MATCH($B661, signals_2019_10!$B$2:$B$682, 0), MATCH(C$2, signals_2019_10!$C$1:$AJ$1, 0))</f>
        <v>#N/A</v>
      </c>
      <c r="H661" s="14">
        <f t="shared" si="63"/>
        <v>0</v>
      </c>
      <c r="I661" s="11">
        <f t="shared" si="64"/>
        <v>0</v>
      </c>
      <c r="J661" s="11">
        <f t="shared" ca="1" si="65"/>
        <v>0</v>
      </c>
    </row>
    <row r="662" spans="1:10" hidden="1" x14ac:dyDescent="0.35">
      <c r="A662" s="20">
        <f>INDEX(signals_2020_05!$A$2:$A$680, MATCH(B662, signals_2020_05!$B$2:$B$680, 0))</f>
        <v>4166</v>
      </c>
      <c r="B662" s="2" t="str">
        <f>signals_2020_05!B652</f>
        <v>Vibration z-direction, Min</v>
      </c>
      <c r="C662" s="9" t="str">
        <f>INDEX(signals_2020_05!$C$2:$AJ$680, MATCH($B662, signals_2020_05!$B$2:$B$680, 0), MATCH(C$2, signals_2020_05!$C$1:$AJ$1, 0))</f>
        <v>NaT</v>
      </c>
      <c r="D662" s="14">
        <f t="shared" si="60"/>
        <v>0</v>
      </c>
      <c r="E662" s="11">
        <f t="shared" si="61"/>
        <v>0</v>
      </c>
      <c r="F662" s="11">
        <f t="shared" ca="1" si="62"/>
        <v>0</v>
      </c>
      <c r="G662" s="9" t="e">
        <f>INDEX(signals_2019_10!$C$2:$AJ$682, MATCH($B662, signals_2019_10!$B$2:$B$682, 0), MATCH(C$2, signals_2019_10!$C$1:$AJ$1, 0))</f>
        <v>#N/A</v>
      </c>
      <c r="H662" s="14">
        <f t="shared" si="63"/>
        <v>0</v>
      </c>
      <c r="I662" s="11">
        <f t="shared" si="64"/>
        <v>0</v>
      </c>
      <c r="J662" s="11">
        <f t="shared" ca="1" si="65"/>
        <v>0</v>
      </c>
    </row>
    <row r="663" spans="1:10" hidden="1" x14ac:dyDescent="0.35">
      <c r="A663" s="20">
        <f>INDEX(signals_2020_05!$A$2:$A$680, MATCH(B663, signals_2020_05!$B$2:$B$680, 0))</f>
        <v>4167</v>
      </c>
      <c r="B663" s="2" t="str">
        <f>signals_2020_05!B653</f>
        <v>Vibration z-direction, StdDev</v>
      </c>
      <c r="C663" s="9" t="str">
        <f>INDEX(signals_2020_05!$C$2:$AJ$680, MATCH($B663, signals_2020_05!$B$2:$B$680, 0), MATCH(C$2, signals_2020_05!$C$1:$AJ$1, 0))</f>
        <v>NaT</v>
      </c>
      <c r="D663" s="14">
        <f t="shared" si="60"/>
        <v>0</v>
      </c>
      <c r="E663" s="11">
        <f t="shared" si="61"/>
        <v>0</v>
      </c>
      <c r="F663" s="11">
        <f t="shared" ca="1" si="62"/>
        <v>0</v>
      </c>
      <c r="G663" s="9" t="e">
        <f>INDEX(signals_2019_10!$C$2:$AJ$682, MATCH($B663, signals_2019_10!$B$2:$B$682, 0), MATCH(C$2, signals_2019_10!$C$1:$AJ$1, 0))</f>
        <v>#N/A</v>
      </c>
      <c r="H663" s="14">
        <f t="shared" si="63"/>
        <v>0</v>
      </c>
      <c r="I663" s="11">
        <f t="shared" si="64"/>
        <v>0</v>
      </c>
      <c r="J663" s="11">
        <f t="shared" ca="1" si="65"/>
        <v>0</v>
      </c>
    </row>
    <row r="664" spans="1:10" x14ac:dyDescent="0.35">
      <c r="A664" s="20">
        <f>INDEX(signals_2020_05!$A$2:$A$680, MATCH(B664, signals_2020_05!$B$2:$B$680, 0))</f>
        <v>46</v>
      </c>
      <c r="B664" s="2" t="str">
        <f>signals_2020_05!B654</f>
        <v>Voltage L1 / U</v>
      </c>
      <c r="C664" s="9">
        <f>INDEX(signals_2020_05!$C$2:$AJ$680, MATCH($B664, signals_2020_05!$B$2:$B$680, 0), MATCH(C$2, signals_2020_05!$C$1:$AJ$1, 0))</f>
        <v>43054.631944444445</v>
      </c>
      <c r="D664" s="14">
        <f t="shared" si="60"/>
        <v>1</v>
      </c>
      <c r="E664" s="11">
        <f t="shared" si="61"/>
        <v>1</v>
      </c>
      <c r="F664" s="11">
        <f t="shared" ca="1" si="62"/>
        <v>2.7</v>
      </c>
      <c r="G664" s="9">
        <f>INDEX(signals_2019_10!$C$2:$AJ$682, MATCH($B664, signals_2019_10!$B$2:$B$682, 0), MATCH(C$2, signals_2019_10!$C$1:$AJ$1, 0))</f>
        <v>43054.631944444445</v>
      </c>
      <c r="H664" s="14">
        <f t="shared" si="63"/>
        <v>1</v>
      </c>
      <c r="I664" s="11">
        <f t="shared" si="64"/>
        <v>1</v>
      </c>
      <c r="J664" s="11">
        <f t="shared" ca="1" si="65"/>
        <v>2.7</v>
      </c>
    </row>
    <row r="665" spans="1:10" hidden="1" x14ac:dyDescent="0.35">
      <c r="A665" s="20">
        <f>INDEX(signals_2020_05!$A$2:$A$680, MATCH(B665, signals_2020_05!$B$2:$B$680, 0))</f>
        <v>3734</v>
      </c>
      <c r="B665" s="2" t="str">
        <f>signals_2020_05!B655</f>
        <v>Voltage L1 / U, Max</v>
      </c>
      <c r="C665" s="9" t="str">
        <f>INDEX(signals_2020_05!$C$2:$AJ$680, MATCH($B665, signals_2020_05!$B$2:$B$680, 0), MATCH(C$2, signals_2020_05!$C$1:$AJ$1, 0))</f>
        <v>NaT</v>
      </c>
      <c r="D665" s="14">
        <f t="shared" si="60"/>
        <v>0</v>
      </c>
      <c r="E665" s="11">
        <f t="shared" si="61"/>
        <v>0</v>
      </c>
      <c r="F665" s="11">
        <f t="shared" ca="1" si="62"/>
        <v>0</v>
      </c>
      <c r="G665" s="9" t="e">
        <f>INDEX(signals_2019_10!$C$2:$AJ$682, MATCH($B665, signals_2019_10!$B$2:$B$682, 0), MATCH(C$2, signals_2019_10!$C$1:$AJ$1, 0))</f>
        <v>#N/A</v>
      </c>
      <c r="H665" s="14">
        <f t="shared" si="63"/>
        <v>0</v>
      </c>
      <c r="I665" s="11">
        <f t="shared" si="64"/>
        <v>0</v>
      </c>
      <c r="J665" s="11">
        <f t="shared" ca="1" si="65"/>
        <v>0</v>
      </c>
    </row>
    <row r="666" spans="1:10" hidden="1" x14ac:dyDescent="0.35">
      <c r="A666" s="20">
        <f>INDEX(signals_2020_05!$A$2:$A$680, MATCH(B666, signals_2020_05!$B$2:$B$680, 0))</f>
        <v>3733</v>
      </c>
      <c r="B666" s="2" t="str">
        <f>signals_2020_05!B656</f>
        <v>Voltage L1 / U, Min</v>
      </c>
      <c r="C666" s="9" t="str">
        <f>INDEX(signals_2020_05!$C$2:$AJ$680, MATCH($B666, signals_2020_05!$B$2:$B$680, 0), MATCH(C$2, signals_2020_05!$C$1:$AJ$1, 0))</f>
        <v>NaT</v>
      </c>
      <c r="D666" s="14">
        <f t="shared" si="60"/>
        <v>0</v>
      </c>
      <c r="E666" s="11">
        <f t="shared" si="61"/>
        <v>0</v>
      </c>
      <c r="F666" s="11">
        <f t="shared" ca="1" si="62"/>
        <v>0</v>
      </c>
      <c r="G666" s="9" t="e">
        <f>INDEX(signals_2019_10!$C$2:$AJ$682, MATCH($B666, signals_2019_10!$B$2:$B$682, 0), MATCH(C$2, signals_2019_10!$C$1:$AJ$1, 0))</f>
        <v>#N/A</v>
      </c>
      <c r="H666" s="14">
        <f t="shared" si="63"/>
        <v>0</v>
      </c>
      <c r="I666" s="11">
        <f t="shared" si="64"/>
        <v>0</v>
      </c>
      <c r="J666" s="11">
        <f t="shared" ca="1" si="65"/>
        <v>0</v>
      </c>
    </row>
    <row r="667" spans="1:10" hidden="1" x14ac:dyDescent="0.35">
      <c r="A667" s="20">
        <f>INDEX(signals_2020_05!$A$2:$A$680, MATCH(B667, signals_2020_05!$B$2:$B$680, 0))</f>
        <v>3735</v>
      </c>
      <c r="B667" s="2" t="str">
        <f>signals_2020_05!B657</f>
        <v>Voltage L1 / U, Standard deviation</v>
      </c>
      <c r="C667" s="9" t="str">
        <f>INDEX(signals_2020_05!$C$2:$AJ$680, MATCH($B667, signals_2020_05!$B$2:$B$680, 0), MATCH(C$2, signals_2020_05!$C$1:$AJ$1, 0))</f>
        <v>NaT</v>
      </c>
      <c r="D667" s="14">
        <f t="shared" si="60"/>
        <v>0</v>
      </c>
      <c r="E667" s="11">
        <f t="shared" si="61"/>
        <v>0</v>
      </c>
      <c r="F667" s="11">
        <f t="shared" ca="1" si="62"/>
        <v>0</v>
      </c>
      <c r="G667" s="9" t="e">
        <f>INDEX(signals_2019_10!$C$2:$AJ$682, MATCH($B667, signals_2019_10!$B$2:$B$682, 0), MATCH(C$2, signals_2019_10!$C$1:$AJ$1, 0))</f>
        <v>#N/A</v>
      </c>
      <c r="H667" s="14">
        <f t="shared" si="63"/>
        <v>0</v>
      </c>
      <c r="I667" s="11">
        <f t="shared" si="64"/>
        <v>0</v>
      </c>
      <c r="J667" s="11">
        <f t="shared" ca="1" si="65"/>
        <v>0</v>
      </c>
    </row>
    <row r="668" spans="1:10" x14ac:dyDescent="0.35">
      <c r="A668" s="20">
        <f>INDEX(signals_2020_05!$A$2:$A$680, MATCH(B668, signals_2020_05!$B$2:$B$680, 0))</f>
        <v>47</v>
      </c>
      <c r="B668" s="2" t="str">
        <f>signals_2020_05!B658</f>
        <v>Voltage L2 / V</v>
      </c>
      <c r="C668" s="9">
        <f>INDEX(signals_2020_05!$C$2:$AJ$680, MATCH($B668, signals_2020_05!$B$2:$B$680, 0), MATCH(C$2, signals_2020_05!$C$1:$AJ$1, 0))</f>
        <v>43054.631944444445</v>
      </c>
      <c r="D668" s="14">
        <f t="shared" si="60"/>
        <v>1</v>
      </c>
      <c r="E668" s="11">
        <f t="shared" si="61"/>
        <v>1</v>
      </c>
      <c r="F668" s="11">
        <f t="shared" ca="1" si="62"/>
        <v>2.7</v>
      </c>
      <c r="G668" s="9">
        <f>INDEX(signals_2019_10!$C$2:$AJ$682, MATCH($B668, signals_2019_10!$B$2:$B$682, 0), MATCH(C$2, signals_2019_10!$C$1:$AJ$1, 0))</f>
        <v>43054.631944444445</v>
      </c>
      <c r="H668" s="14">
        <f t="shared" si="63"/>
        <v>1</v>
      </c>
      <c r="I668" s="11">
        <f t="shared" si="64"/>
        <v>1</v>
      </c>
      <c r="J668" s="11">
        <f t="shared" ca="1" si="65"/>
        <v>2.7</v>
      </c>
    </row>
    <row r="669" spans="1:10" hidden="1" x14ac:dyDescent="0.35">
      <c r="A669" s="20">
        <f>INDEX(signals_2020_05!$A$2:$A$680, MATCH(B669, signals_2020_05!$B$2:$B$680, 0))</f>
        <v>3737</v>
      </c>
      <c r="B669" s="2" t="str">
        <f>signals_2020_05!B659</f>
        <v>Voltage L2 / V, Max</v>
      </c>
      <c r="C669" s="9" t="str">
        <f>INDEX(signals_2020_05!$C$2:$AJ$680, MATCH($B669, signals_2020_05!$B$2:$B$680, 0), MATCH(C$2, signals_2020_05!$C$1:$AJ$1, 0))</f>
        <v>NaT</v>
      </c>
      <c r="D669" s="14">
        <f t="shared" si="60"/>
        <v>0</v>
      </c>
      <c r="E669" s="11">
        <f t="shared" si="61"/>
        <v>0</v>
      </c>
      <c r="F669" s="11">
        <f t="shared" ca="1" si="62"/>
        <v>0</v>
      </c>
      <c r="G669" s="9" t="e">
        <f>INDEX(signals_2019_10!$C$2:$AJ$682, MATCH($B669, signals_2019_10!$B$2:$B$682, 0), MATCH(C$2, signals_2019_10!$C$1:$AJ$1, 0))</f>
        <v>#N/A</v>
      </c>
      <c r="H669" s="14">
        <f t="shared" si="63"/>
        <v>0</v>
      </c>
      <c r="I669" s="11">
        <f t="shared" si="64"/>
        <v>0</v>
      </c>
      <c r="J669" s="11">
        <f t="shared" ca="1" si="65"/>
        <v>0</v>
      </c>
    </row>
    <row r="670" spans="1:10" hidden="1" x14ac:dyDescent="0.35">
      <c r="A670" s="20">
        <f>INDEX(signals_2020_05!$A$2:$A$680, MATCH(B670, signals_2020_05!$B$2:$B$680, 0))</f>
        <v>3736</v>
      </c>
      <c r="B670" s="2" t="str">
        <f>signals_2020_05!B660</f>
        <v>Voltage L2 / V, Min</v>
      </c>
      <c r="C670" s="9" t="str">
        <f>INDEX(signals_2020_05!$C$2:$AJ$680, MATCH($B670, signals_2020_05!$B$2:$B$680, 0), MATCH(C$2, signals_2020_05!$C$1:$AJ$1, 0))</f>
        <v>NaT</v>
      </c>
      <c r="D670" s="14">
        <f t="shared" si="60"/>
        <v>0</v>
      </c>
      <c r="E670" s="11">
        <f t="shared" si="61"/>
        <v>0</v>
      </c>
      <c r="F670" s="11">
        <f t="shared" ca="1" si="62"/>
        <v>0</v>
      </c>
      <c r="G670" s="9" t="e">
        <f>INDEX(signals_2019_10!$C$2:$AJ$682, MATCH($B670, signals_2019_10!$B$2:$B$682, 0), MATCH(C$2, signals_2019_10!$C$1:$AJ$1, 0))</f>
        <v>#N/A</v>
      </c>
      <c r="H670" s="14">
        <f t="shared" si="63"/>
        <v>0</v>
      </c>
      <c r="I670" s="11">
        <f t="shared" si="64"/>
        <v>0</v>
      </c>
      <c r="J670" s="11">
        <f t="shared" ca="1" si="65"/>
        <v>0</v>
      </c>
    </row>
    <row r="671" spans="1:10" hidden="1" x14ac:dyDescent="0.35">
      <c r="A671" s="20">
        <f>INDEX(signals_2020_05!$A$2:$A$680, MATCH(B671, signals_2020_05!$B$2:$B$680, 0))</f>
        <v>3738</v>
      </c>
      <c r="B671" s="2" t="str">
        <f>signals_2020_05!B661</f>
        <v>Voltage L2 / V, Standard deviation</v>
      </c>
      <c r="C671" s="9" t="str">
        <f>INDEX(signals_2020_05!$C$2:$AJ$680, MATCH($B671, signals_2020_05!$B$2:$B$680, 0), MATCH(C$2, signals_2020_05!$C$1:$AJ$1, 0))</f>
        <v>NaT</v>
      </c>
      <c r="D671" s="14">
        <f t="shared" si="60"/>
        <v>0</v>
      </c>
      <c r="E671" s="11">
        <f t="shared" si="61"/>
        <v>0</v>
      </c>
      <c r="F671" s="11">
        <f t="shared" ca="1" si="62"/>
        <v>0</v>
      </c>
      <c r="G671" s="9" t="e">
        <f>INDEX(signals_2019_10!$C$2:$AJ$682, MATCH($B671, signals_2019_10!$B$2:$B$682, 0), MATCH(C$2, signals_2019_10!$C$1:$AJ$1, 0))</f>
        <v>#N/A</v>
      </c>
      <c r="H671" s="14">
        <f t="shared" si="63"/>
        <v>0</v>
      </c>
      <c r="I671" s="11">
        <f t="shared" si="64"/>
        <v>0</v>
      </c>
      <c r="J671" s="11">
        <f t="shared" ca="1" si="65"/>
        <v>0</v>
      </c>
    </row>
    <row r="672" spans="1:10" x14ac:dyDescent="0.35">
      <c r="A672" s="20">
        <f>INDEX(signals_2020_05!$A$2:$A$680, MATCH(B672, signals_2020_05!$B$2:$B$680, 0))</f>
        <v>48</v>
      </c>
      <c r="B672" s="2" t="str">
        <f>signals_2020_05!B662</f>
        <v>Voltage L3 / W</v>
      </c>
      <c r="C672" s="9">
        <f>INDEX(signals_2020_05!$C$2:$AJ$680, MATCH($B672, signals_2020_05!$B$2:$B$680, 0), MATCH(C$2, signals_2020_05!$C$1:$AJ$1, 0))</f>
        <v>43054.631944444445</v>
      </c>
      <c r="D672" s="14">
        <f t="shared" si="60"/>
        <v>1</v>
      </c>
      <c r="E672" s="11">
        <f t="shared" si="61"/>
        <v>1</v>
      </c>
      <c r="F672" s="11">
        <f t="shared" ca="1" si="62"/>
        <v>2.7</v>
      </c>
      <c r="G672" s="9">
        <f>INDEX(signals_2019_10!$C$2:$AJ$682, MATCH($B672, signals_2019_10!$B$2:$B$682, 0), MATCH(C$2, signals_2019_10!$C$1:$AJ$1, 0))</f>
        <v>43054.631944444445</v>
      </c>
      <c r="H672" s="14">
        <f t="shared" si="63"/>
        <v>1</v>
      </c>
      <c r="I672" s="11">
        <f t="shared" si="64"/>
        <v>1</v>
      </c>
      <c r="J672" s="11">
        <f t="shared" ca="1" si="65"/>
        <v>2.7</v>
      </c>
    </row>
    <row r="673" spans="1:10" hidden="1" x14ac:dyDescent="0.35">
      <c r="A673" s="20">
        <f>INDEX(signals_2020_05!$A$2:$A$680, MATCH(B673, signals_2020_05!$B$2:$B$680, 0))</f>
        <v>3740</v>
      </c>
      <c r="B673" s="2" t="str">
        <f>signals_2020_05!B663</f>
        <v>Voltage L3 / W, Max</v>
      </c>
      <c r="C673" s="9" t="str">
        <f>INDEX(signals_2020_05!$C$2:$AJ$680, MATCH($B673, signals_2020_05!$B$2:$B$680, 0), MATCH(C$2, signals_2020_05!$C$1:$AJ$1, 0))</f>
        <v>NaT</v>
      </c>
      <c r="D673" s="14">
        <f t="shared" si="60"/>
        <v>0</v>
      </c>
      <c r="E673" s="11">
        <f t="shared" si="61"/>
        <v>0</v>
      </c>
      <c r="F673" s="11">
        <f t="shared" ca="1" si="62"/>
        <v>0</v>
      </c>
      <c r="G673" s="9" t="e">
        <f>INDEX(signals_2019_10!$C$2:$AJ$682, MATCH($B673, signals_2019_10!$B$2:$B$682, 0), MATCH(C$2, signals_2019_10!$C$1:$AJ$1, 0))</f>
        <v>#N/A</v>
      </c>
      <c r="H673" s="14">
        <f t="shared" si="63"/>
        <v>0</v>
      </c>
      <c r="I673" s="11">
        <f t="shared" si="64"/>
        <v>0</v>
      </c>
      <c r="J673" s="11">
        <f t="shared" ca="1" si="65"/>
        <v>0</v>
      </c>
    </row>
    <row r="674" spans="1:10" hidden="1" x14ac:dyDescent="0.35">
      <c r="A674" s="20">
        <f>INDEX(signals_2020_05!$A$2:$A$680, MATCH(B674, signals_2020_05!$B$2:$B$680, 0))</f>
        <v>3739</v>
      </c>
      <c r="B674" s="2" t="str">
        <f>signals_2020_05!B664</f>
        <v>Voltage L3 / W, Min</v>
      </c>
      <c r="C674" s="9" t="str">
        <f>INDEX(signals_2020_05!$C$2:$AJ$680, MATCH($B674, signals_2020_05!$B$2:$B$680, 0), MATCH(C$2, signals_2020_05!$C$1:$AJ$1, 0))</f>
        <v>NaT</v>
      </c>
      <c r="D674" s="14">
        <f t="shared" si="60"/>
        <v>0</v>
      </c>
      <c r="E674" s="11">
        <f t="shared" si="61"/>
        <v>0</v>
      </c>
      <c r="F674" s="11">
        <f t="shared" ca="1" si="62"/>
        <v>0</v>
      </c>
      <c r="G674" s="9" t="e">
        <f>INDEX(signals_2019_10!$C$2:$AJ$682, MATCH($B674, signals_2019_10!$B$2:$B$682, 0), MATCH(C$2, signals_2019_10!$C$1:$AJ$1, 0))</f>
        <v>#N/A</v>
      </c>
      <c r="H674" s="14">
        <f t="shared" si="63"/>
        <v>0</v>
      </c>
      <c r="I674" s="11">
        <f t="shared" si="64"/>
        <v>0</v>
      </c>
      <c r="J674" s="11">
        <f t="shared" ca="1" si="65"/>
        <v>0</v>
      </c>
    </row>
    <row r="675" spans="1:10" hidden="1" x14ac:dyDescent="0.35">
      <c r="A675" s="20">
        <f>INDEX(signals_2020_05!$A$2:$A$680, MATCH(B675, signals_2020_05!$B$2:$B$680, 0))</f>
        <v>3741</v>
      </c>
      <c r="B675" s="2" t="str">
        <f>signals_2020_05!B665</f>
        <v>Voltage L3 / W, Standard deviation</v>
      </c>
      <c r="C675" s="9" t="str">
        <f>INDEX(signals_2020_05!$C$2:$AJ$680, MATCH($B675, signals_2020_05!$B$2:$B$680, 0), MATCH(C$2, signals_2020_05!$C$1:$AJ$1, 0))</f>
        <v>NaT</v>
      </c>
      <c r="D675" s="14">
        <f t="shared" si="60"/>
        <v>0</v>
      </c>
      <c r="E675" s="11">
        <f t="shared" si="61"/>
        <v>0</v>
      </c>
      <c r="F675" s="11">
        <f t="shared" ca="1" si="62"/>
        <v>0</v>
      </c>
      <c r="G675" s="9" t="e">
        <f>INDEX(signals_2019_10!$C$2:$AJ$682, MATCH($B675, signals_2019_10!$B$2:$B$682, 0), MATCH(C$2, signals_2019_10!$C$1:$AJ$1, 0))</f>
        <v>#N/A</v>
      </c>
      <c r="H675" s="14">
        <f t="shared" si="63"/>
        <v>0</v>
      </c>
      <c r="I675" s="11">
        <f t="shared" si="64"/>
        <v>0</v>
      </c>
      <c r="J675" s="11">
        <f t="shared" ca="1" si="65"/>
        <v>0</v>
      </c>
    </row>
    <row r="676" spans="1:10" hidden="1" x14ac:dyDescent="0.35">
      <c r="A676" s="20">
        <f>INDEX(signals_2020_05!$A$2:$A$680, MATCH(B676, signals_2020_05!$B$2:$B$680, 0))</f>
        <v>274</v>
      </c>
      <c r="B676" s="2" t="str">
        <f>signals_2020_05!B666</f>
        <v>Weather Out Time</v>
      </c>
      <c r="C676" s="9" t="str">
        <f>INDEX(signals_2020_05!$C$2:$AJ$680, MATCH($B676, signals_2020_05!$B$2:$B$680, 0), MATCH(C$2, signals_2020_05!$C$1:$AJ$1, 0))</f>
        <v>NaT</v>
      </c>
      <c r="D676" s="14">
        <f t="shared" si="60"/>
        <v>0</v>
      </c>
      <c r="E676" s="11">
        <f t="shared" si="61"/>
        <v>0</v>
      </c>
      <c r="F676" s="11">
        <f t="shared" ca="1" si="62"/>
        <v>0</v>
      </c>
      <c r="G676" s="9" t="str">
        <f>INDEX(signals_2019_10!$C$2:$AJ$682, MATCH($B676, signals_2019_10!$B$2:$B$682, 0), MATCH(C$2, signals_2019_10!$C$1:$AJ$1, 0))</f>
        <v>NaT</v>
      </c>
      <c r="H676" s="14">
        <f t="shared" si="63"/>
        <v>0</v>
      </c>
      <c r="I676" s="11">
        <f t="shared" si="64"/>
        <v>0</v>
      </c>
      <c r="J676" s="11">
        <f t="shared" ca="1" si="65"/>
        <v>0</v>
      </c>
    </row>
    <row r="677" spans="1:10" hidden="1" x14ac:dyDescent="0.35">
      <c r="A677" s="20">
        <f>INDEX(signals_2020_05!$A$2:$A$680, MATCH(B677, signals_2020_05!$B$2:$B$680, 0))</f>
        <v>2</v>
      </c>
      <c r="B677" s="2" t="str">
        <f>signals_2020_05!B667</f>
        <v>Wind direction</v>
      </c>
      <c r="C677" s="9" t="str">
        <f>INDEX(signals_2020_05!$C$2:$AJ$680, MATCH($B677, signals_2020_05!$B$2:$B$680, 0), MATCH(C$2, signals_2020_05!$C$1:$AJ$1, 0))</f>
        <v>NaT</v>
      </c>
      <c r="D677" s="14">
        <f t="shared" si="60"/>
        <v>0</v>
      </c>
      <c r="E677" s="11">
        <f t="shared" si="61"/>
        <v>0</v>
      </c>
      <c r="F677" s="11">
        <f t="shared" ca="1" si="62"/>
        <v>0</v>
      </c>
      <c r="G677" s="9" t="str">
        <f>INDEX(signals_2019_10!$C$2:$AJ$682, MATCH($B677, signals_2019_10!$B$2:$B$682, 0), MATCH(C$2, signals_2019_10!$C$1:$AJ$1, 0))</f>
        <v>NaT</v>
      </c>
      <c r="H677" s="14">
        <f t="shared" si="63"/>
        <v>0</v>
      </c>
      <c r="I677" s="11">
        <f t="shared" si="64"/>
        <v>0</v>
      </c>
      <c r="J677" s="11">
        <f t="shared" ca="1" si="65"/>
        <v>0</v>
      </c>
    </row>
    <row r="678" spans="1:10" hidden="1" x14ac:dyDescent="0.35">
      <c r="A678" s="20">
        <f>INDEX(signals_2020_05!$A$2:$A$680, MATCH(B678, signals_2020_05!$B$2:$B$680, 0))</f>
        <v>70</v>
      </c>
      <c r="B678" s="2" t="str">
        <f>signals_2020_05!B668</f>
        <v>Wind direction, Maximum</v>
      </c>
      <c r="C678" s="9" t="str">
        <f>INDEX(signals_2020_05!$C$2:$AJ$680, MATCH($B678, signals_2020_05!$B$2:$B$680, 0), MATCH(C$2, signals_2020_05!$C$1:$AJ$1, 0))</f>
        <v>NaT</v>
      </c>
      <c r="D678" s="14">
        <f t="shared" si="60"/>
        <v>0</v>
      </c>
      <c r="E678" s="11">
        <f t="shared" si="61"/>
        <v>0</v>
      </c>
      <c r="F678" s="11">
        <f t="shared" ca="1" si="62"/>
        <v>0</v>
      </c>
      <c r="G678" s="9" t="e">
        <f>INDEX(signals_2019_10!$C$2:$AJ$682, MATCH($B678, signals_2019_10!$B$2:$B$682, 0), MATCH(C$2, signals_2019_10!$C$1:$AJ$1, 0))</f>
        <v>#N/A</v>
      </c>
      <c r="H678" s="14">
        <f t="shared" si="63"/>
        <v>0</v>
      </c>
      <c r="I678" s="11">
        <f t="shared" si="64"/>
        <v>0</v>
      </c>
      <c r="J678" s="11">
        <f t="shared" ca="1" si="65"/>
        <v>0</v>
      </c>
    </row>
    <row r="679" spans="1:10" hidden="1" x14ac:dyDescent="0.35">
      <c r="A679" s="20">
        <f>INDEX(signals_2020_05!$A$2:$A$680, MATCH(B679, signals_2020_05!$B$2:$B$680, 0))</f>
        <v>69</v>
      </c>
      <c r="B679" s="2" t="str">
        <f>signals_2020_05!B669</f>
        <v>Wind direction, Minimum</v>
      </c>
      <c r="C679" s="9" t="str">
        <f>INDEX(signals_2020_05!$C$2:$AJ$680, MATCH($B679, signals_2020_05!$B$2:$B$680, 0), MATCH(C$2, signals_2020_05!$C$1:$AJ$1, 0))</f>
        <v>NaT</v>
      </c>
      <c r="D679" s="14">
        <f t="shared" si="60"/>
        <v>0</v>
      </c>
      <c r="E679" s="11">
        <f t="shared" si="61"/>
        <v>0</v>
      </c>
      <c r="F679" s="11">
        <f t="shared" ca="1" si="62"/>
        <v>0</v>
      </c>
      <c r="G679" s="9" t="e">
        <f>INDEX(signals_2019_10!$C$2:$AJ$682, MATCH($B679, signals_2019_10!$B$2:$B$682, 0), MATCH(C$2, signals_2019_10!$C$1:$AJ$1, 0))</f>
        <v>#N/A</v>
      </c>
      <c r="H679" s="14">
        <f t="shared" si="63"/>
        <v>0</v>
      </c>
      <c r="I679" s="11">
        <f t="shared" si="64"/>
        <v>0</v>
      </c>
      <c r="J679" s="11">
        <f t="shared" ca="1" si="65"/>
        <v>0</v>
      </c>
    </row>
    <row r="680" spans="1:10" hidden="1" x14ac:dyDescent="0.35">
      <c r="A680" s="20">
        <f>INDEX(signals_2020_05!$A$2:$A$680, MATCH(B680, signals_2020_05!$B$2:$B$680, 0))</f>
        <v>68</v>
      </c>
      <c r="B680" s="2" t="str">
        <f>signals_2020_05!B670</f>
        <v>Wind direction, Standard deviation</v>
      </c>
      <c r="C680" s="9" t="str">
        <f>INDEX(signals_2020_05!$C$2:$AJ$680, MATCH($B680, signals_2020_05!$B$2:$B$680, 0), MATCH(C$2, signals_2020_05!$C$1:$AJ$1, 0))</f>
        <v>NaT</v>
      </c>
      <c r="D680" s="14">
        <f t="shared" si="60"/>
        <v>0</v>
      </c>
      <c r="E680" s="11">
        <f t="shared" si="61"/>
        <v>0</v>
      </c>
      <c r="F680" s="11">
        <f t="shared" ca="1" si="62"/>
        <v>0</v>
      </c>
      <c r="G680" s="9" t="e">
        <f>INDEX(signals_2019_10!$C$2:$AJ$682, MATCH($B680, signals_2019_10!$B$2:$B$682, 0), MATCH(C$2, signals_2019_10!$C$1:$AJ$1, 0))</f>
        <v>#N/A</v>
      </c>
      <c r="H680" s="14">
        <f t="shared" si="63"/>
        <v>0</v>
      </c>
      <c r="I680" s="11">
        <f t="shared" si="64"/>
        <v>0</v>
      </c>
      <c r="J680" s="11">
        <f t="shared" ca="1" si="65"/>
        <v>0</v>
      </c>
    </row>
    <row r="681" spans="1:10" hidden="1" x14ac:dyDescent="0.35">
      <c r="A681" s="20">
        <f>INDEX(signals_2020_05!$A$2:$A$680, MATCH(B681, signals_2020_05!$B$2:$B$680, 0))</f>
        <v>157</v>
      </c>
      <c r="B681" s="2" t="str">
        <f>signals_2020_05!B671</f>
        <v>Wind OK Time</v>
      </c>
      <c r="C681" s="9" t="str">
        <f>INDEX(signals_2020_05!$C$2:$AJ$680, MATCH($B681, signals_2020_05!$B$2:$B$680, 0), MATCH(C$2, signals_2020_05!$C$1:$AJ$1, 0))</f>
        <v>NaT</v>
      </c>
      <c r="D681" s="14">
        <f t="shared" si="60"/>
        <v>0</v>
      </c>
      <c r="E681" s="11">
        <f t="shared" si="61"/>
        <v>0</v>
      </c>
      <c r="F681" s="11">
        <f t="shared" ca="1" si="62"/>
        <v>0</v>
      </c>
      <c r="G681" s="9" t="str">
        <f>INDEX(signals_2019_10!$C$2:$AJ$682, MATCH($B681, signals_2019_10!$B$2:$B$682, 0), MATCH(C$2, signals_2019_10!$C$1:$AJ$1, 0))</f>
        <v>NaT</v>
      </c>
      <c r="H681" s="14">
        <f t="shared" si="63"/>
        <v>0</v>
      </c>
      <c r="I681" s="11">
        <f t="shared" si="64"/>
        <v>0</v>
      </c>
      <c r="J681" s="11">
        <f t="shared" ca="1" si="65"/>
        <v>0</v>
      </c>
    </row>
    <row r="682" spans="1:10" x14ac:dyDescent="0.35">
      <c r="A682" s="20">
        <f>INDEX(signals_2020_05!$A$2:$A$680, MATCH(B682, signals_2020_05!$B$2:$B$680, 0))</f>
        <v>1</v>
      </c>
      <c r="B682" s="2" t="str">
        <f>signals_2020_05!B672</f>
        <v>Wind speed</v>
      </c>
      <c r="C682" s="9">
        <f>INDEX(signals_2020_05!$C$2:$AJ$680, MATCH($B682, signals_2020_05!$B$2:$B$680, 0), MATCH(C$2, signals_2020_05!$C$1:$AJ$1, 0))</f>
        <v>43054.631944444445</v>
      </c>
      <c r="D682" s="14">
        <f t="shared" si="60"/>
        <v>1</v>
      </c>
      <c r="E682" s="11">
        <f t="shared" si="61"/>
        <v>1</v>
      </c>
      <c r="F682" s="11">
        <f t="shared" ca="1" si="62"/>
        <v>2.7</v>
      </c>
      <c r="G682" s="9">
        <f>INDEX(signals_2019_10!$C$2:$AJ$682, MATCH($B682, signals_2019_10!$B$2:$B$682, 0), MATCH(C$2, signals_2019_10!$C$1:$AJ$1, 0))</f>
        <v>43054.631944444445</v>
      </c>
      <c r="H682" s="14">
        <f t="shared" si="63"/>
        <v>1</v>
      </c>
      <c r="I682" s="11">
        <f t="shared" si="64"/>
        <v>1</v>
      </c>
      <c r="J682" s="11">
        <f t="shared" ca="1" si="65"/>
        <v>2.7</v>
      </c>
    </row>
    <row r="683" spans="1:10" x14ac:dyDescent="0.35">
      <c r="A683" s="20">
        <f>INDEX(signals_2020_05!$A$2:$A$680, MATCH(B683, signals_2020_05!$B$2:$B$680, 0))</f>
        <v>67</v>
      </c>
      <c r="B683" s="2" t="str">
        <f>signals_2020_05!B673</f>
        <v>Wind speed, Maximum</v>
      </c>
      <c r="C683" s="9">
        <f>INDEX(signals_2020_05!$C$2:$AJ$680, MATCH($B683, signals_2020_05!$B$2:$B$680, 0), MATCH(C$2, signals_2020_05!$C$1:$AJ$1, 0))</f>
        <v>43618.270833333336</v>
      </c>
      <c r="D683" s="14">
        <f t="shared" si="60"/>
        <v>1</v>
      </c>
      <c r="E683" s="11">
        <f t="shared" si="61"/>
        <v>0</v>
      </c>
      <c r="F683" s="11">
        <f t="shared" ca="1" si="62"/>
        <v>1.2</v>
      </c>
      <c r="G683" s="9">
        <f>INDEX(signals_2019_10!$C$2:$AJ$682, MATCH($B683, signals_2019_10!$B$2:$B$682, 0), MATCH(C$2, signals_2019_10!$C$1:$AJ$1, 0))</f>
        <v>43618.270833333336</v>
      </c>
      <c r="H683" s="14">
        <f t="shared" si="63"/>
        <v>1</v>
      </c>
      <c r="I683" s="11">
        <f t="shared" si="64"/>
        <v>0</v>
      </c>
      <c r="J683" s="11">
        <f t="shared" ca="1" si="65"/>
        <v>1.2</v>
      </c>
    </row>
    <row r="684" spans="1:10" x14ac:dyDescent="0.35">
      <c r="A684" s="20">
        <f>INDEX(signals_2020_05!$A$2:$A$680, MATCH(B684, signals_2020_05!$B$2:$B$680, 0))</f>
        <v>66</v>
      </c>
      <c r="B684" s="2" t="str">
        <f>signals_2020_05!B674</f>
        <v>Wind speed, Minimum</v>
      </c>
      <c r="C684" s="9">
        <f>INDEX(signals_2020_05!$C$2:$AJ$680, MATCH($B684, signals_2020_05!$B$2:$B$680, 0), MATCH(C$2, signals_2020_05!$C$1:$AJ$1, 0))</f>
        <v>43618.270833333336</v>
      </c>
      <c r="D684" s="14">
        <f t="shared" si="60"/>
        <v>1</v>
      </c>
      <c r="E684" s="11">
        <f t="shared" si="61"/>
        <v>0</v>
      </c>
      <c r="F684" s="11">
        <f t="shared" ca="1" si="62"/>
        <v>1.2</v>
      </c>
      <c r="G684" s="9">
        <f>INDEX(signals_2019_10!$C$2:$AJ$682, MATCH($B684, signals_2019_10!$B$2:$B$682, 0), MATCH(C$2, signals_2019_10!$C$1:$AJ$1, 0))</f>
        <v>43618.270833333336</v>
      </c>
      <c r="H684" s="14">
        <f t="shared" si="63"/>
        <v>1</v>
      </c>
      <c r="I684" s="11">
        <f t="shared" si="64"/>
        <v>0</v>
      </c>
      <c r="J684" s="11">
        <f t="shared" ca="1" si="65"/>
        <v>1.2</v>
      </c>
    </row>
    <row r="685" spans="1:10" x14ac:dyDescent="0.35">
      <c r="A685" s="20">
        <f>INDEX(signals_2020_05!$A$2:$A$680, MATCH(B685, signals_2020_05!$B$2:$B$680, 0))</f>
        <v>65</v>
      </c>
      <c r="B685" s="2" t="str">
        <f>signals_2020_05!B675</f>
        <v>Wind speed, Standard deviation</v>
      </c>
      <c r="C685" s="9">
        <f>INDEX(signals_2020_05!$C$2:$AJ$680, MATCH($B685, signals_2020_05!$B$2:$B$680, 0), MATCH(C$2, signals_2020_05!$C$1:$AJ$1, 0))</f>
        <v>43618.270833333336</v>
      </c>
      <c r="D685" s="14">
        <f t="shared" si="60"/>
        <v>1</v>
      </c>
      <c r="E685" s="11">
        <f t="shared" si="61"/>
        <v>0</v>
      </c>
      <c r="F685" s="11">
        <f t="shared" ca="1" si="62"/>
        <v>1.2</v>
      </c>
      <c r="G685" s="9">
        <f>INDEX(signals_2019_10!$C$2:$AJ$682, MATCH($B685, signals_2019_10!$B$2:$B$682, 0), MATCH(C$2, signals_2019_10!$C$1:$AJ$1, 0))</f>
        <v>43618.270833333336</v>
      </c>
      <c r="H685" s="14">
        <f t="shared" si="63"/>
        <v>1</v>
      </c>
      <c r="I685" s="11">
        <f t="shared" si="64"/>
        <v>0</v>
      </c>
      <c r="J685" s="11">
        <f t="shared" ca="1" si="65"/>
        <v>1.2</v>
      </c>
    </row>
    <row r="686" spans="1:10" hidden="1" x14ac:dyDescent="0.35">
      <c r="A686" s="20">
        <f>INDEX(signals_2020_05!$A$2:$A$680, MATCH(B686, signals_2020_05!$B$2:$B$680, 0))</f>
        <v>229</v>
      </c>
      <c r="B686" s="2" t="str">
        <f>signals_2020_05!B676</f>
        <v>WpsStatus</v>
      </c>
      <c r="C686" s="9" t="str">
        <f>INDEX(signals_2020_05!$C$2:$AJ$680, MATCH($B686, signals_2020_05!$B$2:$B$680, 0), MATCH(C$2, signals_2020_05!$C$1:$AJ$1, 0))</f>
        <v>NaT</v>
      </c>
      <c r="D686" s="14">
        <f t="shared" si="60"/>
        <v>0</v>
      </c>
      <c r="E686" s="11">
        <f t="shared" si="61"/>
        <v>0</v>
      </c>
      <c r="F686" s="11">
        <f t="shared" ca="1" si="62"/>
        <v>0</v>
      </c>
      <c r="G686" s="9" t="str">
        <f>INDEX(signals_2019_10!$C$2:$AJ$682, MATCH($B686, signals_2019_10!$B$2:$B$682, 0), MATCH(C$2, signals_2019_10!$C$1:$AJ$1, 0))</f>
        <v>NaT</v>
      </c>
      <c r="H686" s="14">
        <f t="shared" si="63"/>
        <v>0</v>
      </c>
      <c r="I686" s="11">
        <f t="shared" si="64"/>
        <v>0</v>
      </c>
      <c r="J686" s="11">
        <f t="shared" ca="1" si="65"/>
        <v>0</v>
      </c>
    </row>
    <row r="687" spans="1:10" hidden="1" x14ac:dyDescent="0.35">
      <c r="A687" s="20">
        <f>INDEX(signals_2020_05!$A$2:$A$680, MATCH(B687, signals_2020_05!$B$2:$B$680, 0))</f>
        <v>227</v>
      </c>
      <c r="B687" s="2" t="str">
        <f>signals_2020_05!B677</f>
        <v>WTOperationState</v>
      </c>
      <c r="C687" s="9" t="str">
        <f>INDEX(signals_2020_05!$C$2:$AJ$680, MATCH($B687, signals_2020_05!$B$2:$B$680, 0), MATCH(C$2, signals_2020_05!$C$1:$AJ$1, 0))</f>
        <v>NaT</v>
      </c>
      <c r="D687" s="14">
        <f t="shared" si="60"/>
        <v>0</v>
      </c>
      <c r="E687" s="11">
        <f t="shared" si="61"/>
        <v>0</v>
      </c>
      <c r="F687" s="11">
        <f t="shared" ca="1" si="62"/>
        <v>0</v>
      </c>
      <c r="G687" s="9" t="str">
        <f>INDEX(signals_2019_10!$C$2:$AJ$682, MATCH($B687, signals_2019_10!$B$2:$B$682, 0), MATCH(C$2, signals_2019_10!$C$1:$AJ$1, 0))</f>
        <v>NaT</v>
      </c>
      <c r="H687" s="14">
        <f t="shared" si="63"/>
        <v>0</v>
      </c>
      <c r="I687" s="11">
        <f t="shared" si="64"/>
        <v>0</v>
      </c>
      <c r="J687" s="11">
        <f t="shared" ca="1" si="65"/>
        <v>0</v>
      </c>
    </row>
    <row r="688" spans="1:10" x14ac:dyDescent="0.35">
      <c r="A688" s="20">
        <f>INDEX(signals_2020_05!$A$2:$A$680, MATCH(B688, signals_2020_05!$B$2:$B$680, 0))</f>
        <v>5126</v>
      </c>
      <c r="B688" s="2" t="str">
        <f>signals_2020_05!B678</f>
        <v>Yaw - operations</v>
      </c>
      <c r="C688" s="9">
        <f>INDEX(signals_2020_05!$C$2:$AJ$680, MATCH($B688, signals_2020_05!$B$2:$B$680, 0), MATCH(C$2, signals_2020_05!$C$1:$AJ$1, 0))</f>
        <v>43877.652777777781</v>
      </c>
      <c r="D688" s="14">
        <f t="shared" si="60"/>
        <v>1</v>
      </c>
      <c r="E688" s="11">
        <f t="shared" si="61"/>
        <v>0</v>
      </c>
      <c r="F688" s="11">
        <f t="shared" ca="1" si="62"/>
        <v>0.5</v>
      </c>
      <c r="G688" s="9" t="e">
        <f>INDEX(signals_2019_10!$C$2:$AJ$682, MATCH($B688, signals_2019_10!$B$2:$B$682, 0), MATCH(C$2, signals_2019_10!$C$1:$AJ$1, 0))</f>
        <v>#N/A</v>
      </c>
      <c r="H688" s="14">
        <f t="shared" si="63"/>
        <v>0</v>
      </c>
      <c r="I688" s="11">
        <f t="shared" si="64"/>
        <v>0</v>
      </c>
      <c r="J688" s="11">
        <f t="shared" ca="1" si="65"/>
        <v>0</v>
      </c>
    </row>
    <row r="689" spans="1:10" x14ac:dyDescent="0.35">
      <c r="A689" s="20">
        <f>INDEX(signals_2020_05!$A$2:$A$680, MATCH(B689, signals_2020_05!$B$2:$B$680, 0))</f>
        <v>5127</v>
      </c>
      <c r="B689" s="2" t="str">
        <f>signals_2020_05!B679</f>
        <v>Yaw - unwind operations</v>
      </c>
      <c r="C689" s="9">
        <f>INDEX(signals_2020_05!$C$2:$AJ$680, MATCH($B689, signals_2020_05!$B$2:$B$680, 0), MATCH(C$2, signals_2020_05!$C$1:$AJ$1, 0))</f>
        <v>43877.652777777781</v>
      </c>
      <c r="D689" s="14">
        <f t="shared" si="60"/>
        <v>1</v>
      </c>
      <c r="E689" s="11">
        <f t="shared" si="61"/>
        <v>0</v>
      </c>
      <c r="F689" s="11">
        <f t="shared" ca="1" si="62"/>
        <v>0.5</v>
      </c>
      <c r="G689" s="9" t="e">
        <f>INDEX(signals_2019_10!$C$2:$AJ$682, MATCH($B689, signals_2019_10!$B$2:$B$682, 0), MATCH(C$2, signals_2019_10!$C$1:$AJ$1, 0))</f>
        <v>#N/A</v>
      </c>
      <c r="H689" s="14">
        <f t="shared" si="63"/>
        <v>0</v>
      </c>
      <c r="I689" s="11">
        <f t="shared" si="64"/>
        <v>0</v>
      </c>
      <c r="J689" s="11">
        <f t="shared" ca="1" si="65"/>
        <v>0</v>
      </c>
    </row>
    <row r="690" spans="1:10" hidden="1" x14ac:dyDescent="0.35">
      <c r="A690" s="20">
        <f>INDEX(signals_2020_05!$A$2:$A$680, MATCH(B690, signals_2020_05!$B$2:$B$680, 0))</f>
        <v>158</v>
      </c>
      <c r="B690" s="2" t="str">
        <f>signals_2020_05!B680</f>
        <v>Yaw Time</v>
      </c>
      <c r="C690" s="9" t="str">
        <f>INDEX(signals_2020_05!$C$2:$AJ$680, MATCH($B690, signals_2020_05!$B$2:$B$680, 0), MATCH(C$2, signals_2020_05!$C$1:$AJ$1, 0))</f>
        <v>NaT</v>
      </c>
      <c r="D690" s="14">
        <f t="shared" si="60"/>
        <v>0</v>
      </c>
      <c r="E690" s="11">
        <f t="shared" si="61"/>
        <v>0</v>
      </c>
      <c r="F690" s="11">
        <f t="shared" ca="1" si="62"/>
        <v>0</v>
      </c>
      <c r="G690" s="9" t="str">
        <f>INDEX(signals_2019_10!$C$2:$AJ$682, MATCH($B690, signals_2019_10!$B$2:$B$682, 0), MATCH(C$2, signals_2019_10!$C$1:$AJ$1, 0))</f>
        <v>NaT</v>
      </c>
      <c r="H690" s="14">
        <f t="shared" si="63"/>
        <v>0</v>
      </c>
      <c r="I690" s="11">
        <f t="shared" si="64"/>
        <v>0</v>
      </c>
      <c r="J690" s="11">
        <f t="shared" ca="1" si="65"/>
        <v>0</v>
      </c>
    </row>
    <row r="691" spans="1:10" hidden="1" x14ac:dyDescent="0.35">
      <c r="A691" s="20" t="e">
        <f>INDEX(signals_2020_05!$A$2:$A$680, MATCH(B691, signals_2020_05!$B$2:$B$680, 0))</f>
        <v>#N/A</v>
      </c>
      <c r="B691" s="2">
        <f>signals_2020_05!B681</f>
        <v>0</v>
      </c>
      <c r="C691" s="9" t="e">
        <f>INDEX(signals_2020_05!$C$2:$AJ$680, MATCH($B691, signals_2020_05!$B$2:$B$680, 0), MATCH(C$2, signals_2020_05!$C$1:$AJ$1, 0))</f>
        <v>#N/A</v>
      </c>
      <c r="D691" s="14">
        <f t="shared" si="60"/>
        <v>0</v>
      </c>
      <c r="E691" s="11">
        <f t="shared" si="61"/>
        <v>0</v>
      </c>
      <c r="F691" s="11">
        <f t="shared" ca="1" si="62"/>
        <v>0</v>
      </c>
      <c r="G691" s="9" t="e">
        <f>INDEX(signals_2019_10!$C$2:$AJ$682, MATCH($B691, signals_2019_10!$B$2:$B$682, 0), MATCH(C$2, signals_2019_10!$C$1:$AJ$1, 0))</f>
        <v>#N/A</v>
      </c>
      <c r="H691" s="14">
        <f t="shared" si="63"/>
        <v>0</v>
      </c>
      <c r="I691" s="11">
        <f t="shared" si="64"/>
        <v>0</v>
      </c>
      <c r="J691" s="11">
        <f t="shared" ca="1" si="65"/>
        <v>0</v>
      </c>
    </row>
    <row r="692" spans="1:10" hidden="1" x14ac:dyDescent="0.35">
      <c r="A692" s="20" t="e">
        <f>INDEX(signals_2020_05!$A$2:$A$680, MATCH(B692, signals_2020_05!$B$2:$B$680, 0))</f>
        <v>#N/A</v>
      </c>
      <c r="B692" s="2">
        <f>signals_2020_05!B682</f>
        <v>0</v>
      </c>
      <c r="C692" s="9" t="e">
        <f>INDEX(signals_2020_05!$C$2:$AJ$680, MATCH($B692, signals_2020_05!$B$2:$B$680, 0), MATCH(C$2, signals_2020_05!$C$1:$AJ$1, 0))</f>
        <v>#N/A</v>
      </c>
      <c r="D692" s="14">
        <f t="shared" si="60"/>
        <v>0</v>
      </c>
      <c r="E692" s="11">
        <f t="shared" si="61"/>
        <v>0</v>
      </c>
      <c r="F692" s="11">
        <f t="shared" ca="1" si="62"/>
        <v>0</v>
      </c>
      <c r="G692" s="9" t="e">
        <f>INDEX(signals_2019_10!$C$2:$AJ$682, MATCH($B692, signals_2019_10!$B$2:$B$682, 0), MATCH(C$2, signals_2019_10!$C$1:$AJ$1, 0))</f>
        <v>#N/A</v>
      </c>
      <c r="H692" s="14">
        <f t="shared" si="63"/>
        <v>0</v>
      </c>
      <c r="I692" s="11">
        <f t="shared" si="64"/>
        <v>0</v>
      </c>
      <c r="J692" s="11">
        <f t="shared" ca="1" si="65"/>
        <v>0</v>
      </c>
    </row>
    <row r="693" spans="1:10" hidden="1" x14ac:dyDescent="0.35">
      <c r="A693" s="20" t="e">
        <f>INDEX(signals_2020_05!$A$2:$A$680, MATCH(B693, signals_2020_05!$B$2:$B$680, 0))</f>
        <v>#N/A</v>
      </c>
      <c r="B693" s="2">
        <f>signals_2020_05!B683</f>
        <v>0</v>
      </c>
      <c r="C693" s="9" t="e">
        <f>INDEX(signals_2020_05!$C$2:$AJ$680, MATCH($B693, signals_2020_05!$B$2:$B$680, 0), MATCH(C$2, signals_2020_05!$C$1:$AJ$1, 0))</f>
        <v>#N/A</v>
      </c>
      <c r="D693" s="14">
        <f t="shared" si="60"/>
        <v>0</v>
      </c>
      <c r="E693" s="11">
        <f t="shared" si="61"/>
        <v>0</v>
      </c>
      <c r="F693" s="11">
        <f t="shared" ca="1" si="62"/>
        <v>0</v>
      </c>
      <c r="G693" s="9" t="e">
        <f>INDEX(signals_2019_10!$C$2:$AJ$682, MATCH($B693, signals_2019_10!$B$2:$B$682, 0), MATCH(C$2, signals_2019_10!$C$1:$AJ$1, 0))</f>
        <v>#N/A</v>
      </c>
      <c r="H693" s="14">
        <f t="shared" si="63"/>
        <v>0</v>
      </c>
      <c r="I693" s="11">
        <f t="shared" si="64"/>
        <v>0</v>
      </c>
      <c r="J693" s="11">
        <f t="shared" ca="1" si="65"/>
        <v>0</v>
      </c>
    </row>
  </sheetData>
  <sheetProtection sheet="1" objects="1" scenarios="1" autoFilter="0"/>
  <autoFilter ref="B11:J693" xr:uid="{38277056-5B79-4B01-BFAF-6AE8B47A48EF}">
    <filterColumn colId="2">
      <filters>
        <filter val="1"/>
      </filters>
    </filterColumn>
  </autoFilter>
  <mergeCells count="4">
    <mergeCell ref="B8:C8"/>
    <mergeCell ref="B7:C7"/>
    <mergeCell ref="C10:F10"/>
    <mergeCell ref="G10:J10"/>
  </mergeCells>
  <conditionalFormatting sqref="A12:J693">
    <cfRule type="expression" dxfId="10" priority="22">
      <formula>$D12=0</formula>
    </cfRule>
    <cfRule type="expression" dxfId="9" priority="36">
      <formula>AND($D12, $C12&gt;$C$4+365, $C12&lt;=(FLOOR(NOW(), 1)-2*365))</formula>
    </cfRule>
    <cfRule type="expression" dxfId="8" priority="37">
      <formula>AND($D12,$C12&lt;=($C$4+365))</formula>
    </cfRule>
  </conditionalFormatting>
  <conditionalFormatting sqref="A12:J693">
    <cfRule type="expression" dxfId="7" priority="35">
      <formula>AND($D12=1, $C12&gt;(FLOOR(NOW(), 1)-2*365))</formula>
    </cfRule>
  </conditionalFormatting>
  <conditionalFormatting sqref="C12:C693">
    <cfRule type="expression" dxfId="6" priority="7">
      <formula>AND($D12, NOT($H12))</formula>
    </cfRule>
    <cfRule type="expression" dxfId="5" priority="19">
      <formula>AND($D12, $H12, $F12&gt;$J12)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List Box 11">
              <controlPr locked="0" defaultSize="0" autoLine="0" autoPict="0" macro="[0]!siteListUpdated">
                <anchor moveWithCells="1">
                  <from>
                    <xdr:col>5</xdr:col>
                    <xdr:colOff>146050</xdr:colOff>
                    <xdr:row>0</xdr:row>
                    <xdr:rowOff>127000</xdr:rowOff>
                  </from>
                  <to>
                    <xdr:col>12</xdr:col>
                    <xdr:colOff>317500</xdr:colOff>
                    <xdr:row>7</xdr:row>
                    <xdr:rowOff>895350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76984-F52B-4171-BE83-84D0EB66B09C}">
  <sheetPr codeName="Sheet4"/>
  <dimension ref="B2:K45"/>
  <sheetViews>
    <sheetView showGridLines="0" showRowColHeaders="0" workbookViewId="0">
      <selection activeCell="H2" sqref="H2"/>
    </sheetView>
  </sheetViews>
  <sheetFormatPr defaultRowHeight="14.5" x14ac:dyDescent="0.35"/>
  <cols>
    <col min="1" max="1" width="6" customWidth="1"/>
    <col min="3" max="3" width="43.7265625" customWidth="1"/>
    <col min="4" max="5" width="11.26953125" style="18" customWidth="1"/>
    <col min="6" max="7" width="11.26953125" style="12" hidden="1" customWidth="1"/>
    <col min="8" max="8" width="12.26953125" style="12" customWidth="1"/>
    <col min="9" max="9" width="11.54296875" hidden="1" customWidth="1"/>
    <col min="10" max="10" width="9.1796875" hidden="1" customWidth="1"/>
    <col min="11" max="11" width="12.453125" customWidth="1"/>
  </cols>
  <sheetData>
    <row r="2" spans="2:11" x14ac:dyDescent="0.35">
      <c r="B2" s="27" t="s">
        <v>854</v>
      </c>
      <c r="C2" s="27" t="str">
        <f>INDEX(signals_2020_05!$B$2:$B$680, H2, 1)</f>
        <v>Ambient temperature</v>
      </c>
      <c r="H2" s="29">
        <v>7</v>
      </c>
    </row>
    <row r="9" spans="2:11" ht="168.75" customHeight="1" x14ac:dyDescent="0.35"/>
    <row r="10" spans="2:11" ht="19.5" hidden="1" customHeight="1" x14ac:dyDescent="0.35">
      <c r="D10" s="37" t="s">
        <v>1250</v>
      </c>
      <c r="E10" s="37"/>
      <c r="F10" s="37"/>
      <c r="G10" s="37"/>
      <c r="H10" s="37"/>
      <c r="I10" s="38" t="s">
        <v>1251</v>
      </c>
      <c r="J10" s="38"/>
      <c r="K10" s="38"/>
    </row>
    <row r="11" spans="2:11" ht="43.5" x14ac:dyDescent="0.35">
      <c r="C11" s="23" t="s">
        <v>332</v>
      </c>
      <c r="D11" s="24" t="s">
        <v>333</v>
      </c>
      <c r="E11" s="24" t="s">
        <v>855</v>
      </c>
      <c r="F11" s="23" t="s">
        <v>337</v>
      </c>
      <c r="G11" s="23" t="s">
        <v>853</v>
      </c>
      <c r="H11" s="23" t="s">
        <v>339</v>
      </c>
      <c r="I11" s="24" t="s">
        <v>333</v>
      </c>
      <c r="J11" s="23" t="s">
        <v>337</v>
      </c>
      <c r="K11" s="26" t="s">
        <v>1249</v>
      </c>
    </row>
    <row r="12" spans="2:11" x14ac:dyDescent="0.35">
      <c r="C12" s="2" t="str">
        <f>'Commison Dates'!A2</f>
        <v>ACH</v>
      </c>
      <c r="D12" s="19">
        <f>INDEX(signals_2020_05!$C$2:$AJ$680, MATCH($C$2, signals_2020_05!$B$2:$B$680, 0), MATCH($C12, signals_2020_05!$C$1:$AJ$1, 0))</f>
        <v>42544.520833333336</v>
      </c>
      <c r="E12" s="19">
        <f>INDEX(signals_2020_05!$C$681:$AJ$681, 1, MATCH(C12, signals_2020_05!$C$1:$AJ$1, 0))</f>
        <v>42528.291666666664</v>
      </c>
      <c r="F12" s="14">
        <f>IF(D12&lt;&gt;"NaT", 1, 0)</f>
        <v>1</v>
      </c>
      <c r="G12" s="14">
        <f>IF(D12&lt;&gt;"NaT", IF(FLOOR(D12, 1) = FLOOR(E12, 1), 1, 0), )</f>
        <v>0</v>
      </c>
      <c r="H12" s="14">
        <f ca="1">IF(D12="NaT", 0,ROUND(((NOW()-D12)/365.25)*10, 0)/10)</f>
        <v>4.0999999999999996</v>
      </c>
      <c r="I12" s="19">
        <f>INDEX(signals_2019_10!$C$2:$AJ$683, MATCH($C$2, signals_2019_10!$B$2:$B$683, 0), MATCH($C12, signals_2019_10!$C$1:$AJ$1, 0))</f>
        <v>42544.520833333336</v>
      </c>
      <c r="J12" s="14">
        <f>IF(ISERROR(I12), 0,IF(I12&lt;&gt;"NaT", 1, 0))</f>
        <v>1</v>
      </c>
      <c r="K12" s="14">
        <f ca="1">IF(J12, IF(I12="NaT", 0,ROUND(((NOW()-I12)/365.25)*10, 0)/10), 0)</f>
        <v>4.0999999999999996</v>
      </c>
    </row>
    <row r="13" spans="2:11" x14ac:dyDescent="0.35">
      <c r="C13" s="2" t="str">
        <f>'Commison Dates'!A3</f>
        <v>ARD</v>
      </c>
      <c r="D13" s="19">
        <f>INDEX(signals_2020_05!$C$2:$AJ$680, MATCH($C$2, signals_2020_05!$B$2:$B$680, 0), MATCH($C13, signals_2020_05!$C$1:$AJ$1, 0))</f>
        <v>42058.680555555555</v>
      </c>
      <c r="E13" s="19">
        <f>INDEX(signals_2020_05!$C$681:$AJ$681, 1, MATCH(C13, signals_2020_05!$C$1:$AJ$1, 0))</f>
        <v>42058.680555555555</v>
      </c>
      <c r="F13" s="14">
        <f t="shared" ref="F13:F45" si="0">IF(D13&lt;&gt;"NaT", 1, 0)</f>
        <v>1</v>
      </c>
      <c r="G13" s="14">
        <f t="shared" ref="G13:G45" si="1">IF(D13&lt;&gt;"NaT", IF(FLOOR(D13, 1) = FLOOR(E13, 1), 1, 0), )</f>
        <v>1</v>
      </c>
      <c r="H13" s="14">
        <f t="shared" ref="H13:H45" ca="1" si="2">IF(D13="NaT", 0,ROUND(((NOW()-D13)/365.25)*10, 0)/10)</f>
        <v>5.4</v>
      </c>
      <c r="I13" s="19">
        <f>INDEX(signals_2019_10!$C$2:$AJ$683, MATCH($C$2, signals_2019_10!$B$2:$B$683, 0), MATCH($C13, signals_2019_10!$C$1:$AJ$1, 0))</f>
        <v>42058.680555555555</v>
      </c>
      <c r="J13" s="14">
        <f t="shared" ref="J13:J45" si="3">IF(ISERROR(I13), 0,IF(I13&lt;&gt;"NaT", 1, 0))</f>
        <v>1</v>
      </c>
      <c r="K13" s="14">
        <f t="shared" ref="K13:K45" ca="1" si="4">IF(J13, IF(I13="NaT", 0,ROUND(((NOW()-I13)/365.25)*10, 0)/10), 0)</f>
        <v>5.4</v>
      </c>
    </row>
    <row r="14" spans="2:11" x14ac:dyDescent="0.35">
      <c r="C14" s="2" t="str">
        <f>'Commison Dates'!A4</f>
        <v>BEA</v>
      </c>
      <c r="D14" s="19">
        <f>INDEX(signals_2020_05!$C$2:$AJ$680, MATCH($C$2, signals_2020_05!$B$2:$B$680, 0), MATCH($C14, signals_2020_05!$C$1:$AJ$1, 0))</f>
        <v>39245.465277777781</v>
      </c>
      <c r="E14" s="19">
        <f>INDEX(signals_2020_05!$C$681:$AJ$681, 1, MATCH(C14, signals_2020_05!$C$1:$AJ$1, 0))</f>
        <v>39245.465277777781</v>
      </c>
      <c r="F14" s="14">
        <f t="shared" si="0"/>
        <v>1</v>
      </c>
      <c r="G14" s="14">
        <f t="shared" si="1"/>
        <v>1</v>
      </c>
      <c r="H14" s="14">
        <f t="shared" ca="1" si="2"/>
        <v>13.1</v>
      </c>
      <c r="I14" s="19">
        <f>INDEX(signals_2019_10!$C$2:$AJ$683, MATCH($C$2, signals_2019_10!$B$2:$B$683, 0), MATCH($C14, signals_2019_10!$C$1:$AJ$1, 0))</f>
        <v>39245.465277777781</v>
      </c>
      <c r="J14" s="14">
        <f t="shared" si="3"/>
        <v>1</v>
      </c>
      <c r="K14" s="14">
        <f t="shared" ca="1" si="4"/>
        <v>13.1</v>
      </c>
    </row>
    <row r="15" spans="2:11" x14ac:dyDescent="0.35">
      <c r="C15" s="2" t="str">
        <f>'Commison Dates'!A5</f>
        <v>BEI</v>
      </c>
      <c r="D15" s="19">
        <f>INDEX(signals_2020_05!$C$2:$AJ$680, MATCH($C$2, signals_2020_05!$B$2:$B$680, 0), MATCH($C15, signals_2020_05!$C$1:$AJ$1, 0))</f>
        <v>43002.951388888891</v>
      </c>
      <c r="E15" s="19">
        <f>INDEX(signals_2020_05!$C$681:$AJ$681, 1, MATCH(C15, signals_2020_05!$C$1:$AJ$1, 0))</f>
        <v>42735.993055555555</v>
      </c>
      <c r="F15" s="14">
        <f t="shared" si="0"/>
        <v>1</v>
      </c>
      <c r="G15" s="14">
        <f t="shared" si="1"/>
        <v>0</v>
      </c>
      <c r="H15" s="14">
        <f t="shared" ca="1" si="2"/>
        <v>2.9</v>
      </c>
      <c r="I15" s="19">
        <f>INDEX(signals_2019_10!$C$2:$AJ$683, MATCH($C$2, signals_2019_10!$B$2:$B$683, 0), MATCH($C15, signals_2019_10!$C$1:$AJ$1, 0))</f>
        <v>43002.951388888891</v>
      </c>
      <c r="J15" s="14">
        <f t="shared" si="3"/>
        <v>1</v>
      </c>
      <c r="K15" s="14">
        <f t="shared" ca="1" si="4"/>
        <v>2.9</v>
      </c>
    </row>
    <row r="16" spans="2:11" x14ac:dyDescent="0.35">
      <c r="C16" s="2" t="str">
        <f>'Commison Dates'!A6</f>
        <v>BLD</v>
      </c>
      <c r="D16" s="19">
        <f>INDEX(signals_2020_05!$C$2:$AJ$680, MATCH($C$2, signals_2020_05!$B$2:$B$680, 0), MATCH($C16, signals_2020_05!$C$1:$AJ$1, 0))</f>
        <v>41426</v>
      </c>
      <c r="E16" s="19">
        <f>INDEX(signals_2020_05!$C$681:$AJ$681, 1, MATCH(C16, signals_2020_05!$C$1:$AJ$1, 0))</f>
        <v>41426</v>
      </c>
      <c r="F16" s="14">
        <f t="shared" si="0"/>
        <v>1</v>
      </c>
      <c r="G16" s="14">
        <f t="shared" si="1"/>
        <v>1</v>
      </c>
      <c r="H16" s="14">
        <f t="shared" ca="1" si="2"/>
        <v>7.2</v>
      </c>
      <c r="I16" s="19">
        <f>INDEX(signals_2019_10!$C$2:$AJ$683, MATCH($C$2, signals_2019_10!$B$2:$B$683, 0), MATCH($C16, signals_2019_10!$C$1:$AJ$1, 0))</f>
        <v>41426</v>
      </c>
      <c r="J16" s="14">
        <f t="shared" si="3"/>
        <v>1</v>
      </c>
      <c r="K16" s="14">
        <f t="shared" ca="1" si="4"/>
        <v>7.2</v>
      </c>
    </row>
    <row r="17" spans="3:11" x14ac:dyDescent="0.35">
      <c r="C17" s="2" t="str">
        <f>'Commison Dates'!A7</f>
        <v>BRY</v>
      </c>
      <c r="D17" s="19">
        <f>INDEX(signals_2020_05!$C$2:$AJ$680, MATCH($C$2, signals_2020_05!$B$2:$B$680, 0), MATCH($C17, signals_2020_05!$C$1:$AJ$1, 0))</f>
        <v>43059.576388888891</v>
      </c>
      <c r="E17" s="19">
        <f>INDEX(signals_2020_05!$C$681:$AJ$681, 1, MATCH(C17, signals_2020_05!$C$1:$AJ$1, 0))</f>
        <v>43059.576388888891</v>
      </c>
      <c r="F17" s="14">
        <f t="shared" si="0"/>
        <v>1</v>
      </c>
      <c r="G17" s="14">
        <f t="shared" si="1"/>
        <v>1</v>
      </c>
      <c r="H17" s="14">
        <f t="shared" ca="1" si="2"/>
        <v>2.7</v>
      </c>
      <c r="I17" s="19">
        <f>INDEX(signals_2019_10!$C$2:$AJ$683, MATCH($C$2, signals_2019_10!$B$2:$B$683, 0), MATCH($C17, signals_2019_10!$C$1:$AJ$1, 0))</f>
        <v>43059.576388888891</v>
      </c>
      <c r="J17" s="14">
        <f t="shared" si="3"/>
        <v>1</v>
      </c>
      <c r="K17" s="14">
        <f t="shared" ca="1" si="4"/>
        <v>2.7</v>
      </c>
    </row>
    <row r="18" spans="3:11" x14ac:dyDescent="0.35">
      <c r="C18" s="2" t="str">
        <f>'Commison Dates'!A8</f>
        <v>CAR</v>
      </c>
      <c r="D18" s="19">
        <f>INDEX(signals_2020_05!$C$2:$AJ$680, MATCH($C$2, signals_2020_05!$B$2:$B$680, 0), MATCH($C18, signals_2020_05!$C$1:$AJ$1, 0))</f>
        <v>38757.354166666664</v>
      </c>
      <c r="E18" s="19">
        <f>INDEX(signals_2020_05!$C$681:$AJ$681, 1, MATCH(C18, signals_2020_05!$C$1:$AJ$1, 0))</f>
        <v>38757.354166666664</v>
      </c>
      <c r="F18" s="14">
        <f t="shared" si="0"/>
        <v>1</v>
      </c>
      <c r="G18" s="14">
        <f t="shared" si="1"/>
        <v>1</v>
      </c>
      <c r="H18" s="14">
        <f t="shared" ca="1" si="2"/>
        <v>14.5</v>
      </c>
      <c r="I18" s="19">
        <f>INDEX(signals_2019_10!$C$2:$AJ$683, MATCH($C$2, signals_2019_10!$B$2:$B$683, 0), MATCH($C18, signals_2019_10!$C$1:$AJ$1, 0))</f>
        <v>43050.451388888891</v>
      </c>
      <c r="J18" s="14">
        <f t="shared" si="3"/>
        <v>1</v>
      </c>
      <c r="K18" s="14">
        <f t="shared" ca="1" si="4"/>
        <v>2.7</v>
      </c>
    </row>
    <row r="19" spans="3:11" x14ac:dyDescent="0.35">
      <c r="C19" s="2" t="str">
        <f>'Commison Dates'!A9</f>
        <v>CAU</v>
      </c>
      <c r="D19" s="19">
        <f>INDEX(signals_2020_05!$C$2:$AJ$680, MATCH($C$2, signals_2020_05!$B$2:$B$680, 0), MATCH($C19, signals_2020_05!$C$1:$AJ$1, 0))</f>
        <v>39631.4375</v>
      </c>
      <c r="E19" s="19">
        <f>INDEX(signals_2020_05!$C$681:$AJ$681, 1, MATCH(C19, signals_2020_05!$C$1:$AJ$1, 0))</f>
        <v>39631.4375</v>
      </c>
      <c r="F19" s="14">
        <f t="shared" si="0"/>
        <v>1</v>
      </c>
      <c r="G19" s="14">
        <f t="shared" si="1"/>
        <v>1</v>
      </c>
      <c r="H19" s="14">
        <f t="shared" ca="1" si="2"/>
        <v>12.1</v>
      </c>
      <c r="I19" s="19">
        <f>INDEX(signals_2019_10!$C$2:$AJ$683, MATCH($C$2, signals_2019_10!$B$2:$B$683, 0), MATCH($C19, signals_2019_10!$C$1:$AJ$1, 0))</f>
        <v>42995.930555555555</v>
      </c>
      <c r="J19" s="14">
        <f t="shared" si="3"/>
        <v>1</v>
      </c>
      <c r="K19" s="14">
        <f t="shared" ca="1" si="4"/>
        <v>2.9</v>
      </c>
    </row>
    <row r="20" spans="3:11" x14ac:dyDescent="0.35">
      <c r="C20" s="2" t="str">
        <f>'Commison Dates'!A10</f>
        <v>DAL</v>
      </c>
      <c r="D20" s="19">
        <f>INDEX(signals_2020_05!$C$2:$AJ$680, MATCH($C$2, signals_2020_05!$B$2:$B$680, 0), MATCH($C20, signals_2020_05!$C$1:$AJ$1, 0))</f>
        <v>42528.291666666664</v>
      </c>
      <c r="E20" s="19">
        <f>INDEX(signals_2020_05!$C$681:$AJ$681, 1, MATCH(C20, signals_2020_05!$C$1:$AJ$1, 0))</f>
        <v>42528.291666666664</v>
      </c>
      <c r="F20" s="14">
        <f t="shared" si="0"/>
        <v>1</v>
      </c>
      <c r="G20" s="14">
        <f t="shared" si="1"/>
        <v>1</v>
      </c>
      <c r="H20" s="14">
        <f t="shared" ca="1" si="2"/>
        <v>4.2</v>
      </c>
      <c r="I20" s="19">
        <f>INDEX(signals_2019_10!$C$2:$AJ$683, MATCH($C$2, signals_2019_10!$B$2:$B$683, 0), MATCH($C20, signals_2019_10!$C$1:$AJ$1, 0))</f>
        <v>41061</v>
      </c>
      <c r="J20" s="14">
        <f t="shared" si="3"/>
        <v>1</v>
      </c>
      <c r="K20" s="14">
        <f t="shared" ca="1" si="4"/>
        <v>8.1999999999999993</v>
      </c>
    </row>
    <row r="21" spans="3:11" x14ac:dyDescent="0.35">
      <c r="C21" s="2" t="str">
        <f>'Commison Dates'!A11</f>
        <v>FAR</v>
      </c>
      <c r="D21" s="19">
        <f>INDEX(signals_2020_05!$C$2:$AJ$680, MATCH($C$2, signals_2020_05!$B$2:$B$680, 0), MATCH($C21, signals_2020_05!$C$1:$AJ$1, 0))</f>
        <v>42058.680555555555</v>
      </c>
      <c r="E21" s="19">
        <f>INDEX(signals_2020_05!$C$681:$AJ$681, 1, MATCH(C21, signals_2020_05!$C$1:$AJ$1, 0))</f>
        <v>42058.680555555555</v>
      </c>
      <c r="F21" s="14">
        <f t="shared" si="0"/>
        <v>1</v>
      </c>
      <c r="G21" s="14">
        <f t="shared" si="1"/>
        <v>1</v>
      </c>
      <c r="H21" s="14">
        <f t="shared" ca="1" si="2"/>
        <v>5.4</v>
      </c>
      <c r="I21" s="19">
        <f>INDEX(signals_2019_10!$C$2:$AJ$683, MATCH($C$2, signals_2019_10!$B$2:$B$683, 0), MATCH($C21, signals_2019_10!$C$1:$AJ$1, 0))</f>
        <v>42940.347222222219</v>
      </c>
      <c r="J21" s="14">
        <f t="shared" si="3"/>
        <v>1</v>
      </c>
      <c r="K21" s="14">
        <f t="shared" ca="1" si="4"/>
        <v>3</v>
      </c>
    </row>
    <row r="22" spans="3:11" x14ac:dyDescent="0.35">
      <c r="C22" s="2" t="str">
        <f>'Commison Dates'!A12</f>
        <v>FFY</v>
      </c>
      <c r="D22" s="19">
        <f>INDEX(signals_2020_05!$C$2:$AJ$680, MATCH($C$2, signals_2020_05!$B$2:$B$680, 0), MATCH($C22, signals_2020_05!$C$1:$AJ$1, 0))</f>
        <v>43009</v>
      </c>
      <c r="E22" s="19">
        <f>INDEX(signals_2020_05!$C$681:$AJ$681, 1, MATCH(C22, signals_2020_05!$C$1:$AJ$1, 0))</f>
        <v>43009</v>
      </c>
      <c r="F22" s="14">
        <f t="shared" si="0"/>
        <v>1</v>
      </c>
      <c r="G22" s="14">
        <f t="shared" si="1"/>
        <v>1</v>
      </c>
      <c r="H22" s="14">
        <f t="shared" ca="1" si="2"/>
        <v>2.8</v>
      </c>
      <c r="I22" s="19">
        <f>INDEX(signals_2019_10!$C$2:$AJ$683, MATCH($C$2, signals_2019_10!$B$2:$B$683, 0), MATCH($C22, signals_2019_10!$C$1:$AJ$1, 0))</f>
        <v>43009</v>
      </c>
      <c r="J22" s="14">
        <f t="shared" si="3"/>
        <v>1</v>
      </c>
      <c r="K22" s="14">
        <f t="shared" ca="1" si="4"/>
        <v>2.8</v>
      </c>
    </row>
    <row r="23" spans="3:11" x14ac:dyDescent="0.35">
      <c r="C23" s="2" t="str">
        <f>'Commison Dates'!A13</f>
        <v>GAL</v>
      </c>
      <c r="D23" s="19">
        <f>INDEX(signals_2020_05!$C$2:$AJ$680, MATCH($C$2, signals_2020_05!$B$2:$B$680, 0), MATCH($C23, signals_2020_05!$C$1:$AJ$1, 0))</f>
        <v>42735.993055555555</v>
      </c>
      <c r="E23" s="19">
        <f>INDEX(signals_2020_05!$C$681:$AJ$681, 1, MATCH(C23, signals_2020_05!$C$1:$AJ$1, 0))</f>
        <v>42735.993055555555</v>
      </c>
      <c r="F23" s="14">
        <f t="shared" si="0"/>
        <v>1</v>
      </c>
      <c r="G23" s="14">
        <f t="shared" si="1"/>
        <v>1</v>
      </c>
      <c r="H23" s="14">
        <f t="shared" ca="1" si="2"/>
        <v>3.6</v>
      </c>
      <c r="I23" s="19">
        <f>INDEX(signals_2019_10!$C$2:$AJ$683, MATCH($C$2, signals_2019_10!$B$2:$B$683, 0), MATCH($C23, signals_2019_10!$C$1:$AJ$1, 0))</f>
        <v>42795</v>
      </c>
      <c r="J23" s="14">
        <f t="shared" si="3"/>
        <v>1</v>
      </c>
      <c r="K23" s="14">
        <f t="shared" ca="1" si="4"/>
        <v>3.4</v>
      </c>
    </row>
    <row r="24" spans="3:11" x14ac:dyDescent="0.35">
      <c r="C24" s="2" t="str">
        <f>'Commison Dates'!A14</f>
        <v>GLK</v>
      </c>
      <c r="D24" s="19">
        <f>INDEX(signals_2020_05!$C$2:$AJ$680, MATCH($C$2, signals_2020_05!$B$2:$B$680, 0), MATCH($C24, signals_2020_05!$C$1:$AJ$1, 0))</f>
        <v>42206.583333333336</v>
      </c>
      <c r="E24" s="19">
        <f>INDEX(signals_2020_05!$C$681:$AJ$681, 1, MATCH(C24, signals_2020_05!$C$1:$AJ$1, 0))</f>
        <v>42206.583333333336</v>
      </c>
      <c r="F24" s="14">
        <f t="shared" si="0"/>
        <v>1</v>
      </c>
      <c r="G24" s="14">
        <f t="shared" si="1"/>
        <v>1</v>
      </c>
      <c r="H24" s="14">
        <f t="shared" ca="1" si="2"/>
        <v>5</v>
      </c>
      <c r="I24" s="19">
        <f>INDEX(signals_2019_10!$C$2:$AJ$683, MATCH($C$2, signals_2019_10!$B$2:$B$683, 0), MATCH($C24, signals_2019_10!$C$1:$AJ$1, 0))</f>
        <v>42376.743055555555</v>
      </c>
      <c r="J24" s="14">
        <f t="shared" si="3"/>
        <v>1</v>
      </c>
      <c r="K24" s="14">
        <f t="shared" ca="1" si="4"/>
        <v>4.5999999999999996</v>
      </c>
    </row>
    <row r="25" spans="3:11" x14ac:dyDescent="0.35">
      <c r="C25" s="2" t="str">
        <f>'Commison Dates'!A15</f>
        <v>GOR</v>
      </c>
      <c r="D25" s="19">
        <f>INDEX(signals_2020_05!$C$2:$AJ$680, MATCH($C$2, signals_2020_05!$B$2:$B$680, 0), MATCH($C25, signals_2020_05!$C$1:$AJ$1, 0))</f>
        <v>43059.576388888891</v>
      </c>
      <c r="E25" s="19">
        <f>INDEX(signals_2020_05!$C$681:$AJ$681, 1, MATCH(C25, signals_2020_05!$C$1:$AJ$1, 0))</f>
        <v>43059.576388888891</v>
      </c>
      <c r="F25" s="14">
        <f t="shared" si="0"/>
        <v>1</v>
      </c>
      <c r="G25" s="14">
        <f t="shared" si="1"/>
        <v>1</v>
      </c>
      <c r="H25" s="14">
        <f t="shared" ca="1" si="2"/>
        <v>2.7</v>
      </c>
      <c r="I25" s="19" t="str">
        <f>INDEX(signals_2019_10!$C$2:$AJ$683, MATCH($C$2, signals_2019_10!$B$2:$B$683, 0), MATCH($C25, signals_2019_10!$C$1:$AJ$1, 0))</f>
        <v>NaT</v>
      </c>
      <c r="J25" s="14">
        <f t="shared" si="3"/>
        <v>0</v>
      </c>
      <c r="K25" s="14">
        <f t="shared" ca="1" si="4"/>
        <v>0</v>
      </c>
    </row>
    <row r="26" spans="3:11" x14ac:dyDescent="0.35">
      <c r="C26" s="2" t="str">
        <f>'Commison Dates'!A16</f>
        <v>HOF</v>
      </c>
      <c r="D26" s="19">
        <f>INDEX(signals_2020_05!$C$2:$AJ$680, MATCH($C$2, signals_2020_05!$B$2:$B$680, 0), MATCH($C26, signals_2020_05!$C$1:$AJ$1, 0))</f>
        <v>40911.534722222219</v>
      </c>
      <c r="E26" s="19">
        <f>INDEX(signals_2020_05!$C$681:$AJ$681, 1, MATCH(C26, signals_2020_05!$C$1:$AJ$1, 0))</f>
        <v>40215.493055555555</v>
      </c>
      <c r="F26" s="14">
        <f t="shared" si="0"/>
        <v>1</v>
      </c>
      <c r="G26" s="14">
        <f t="shared" si="1"/>
        <v>0</v>
      </c>
      <c r="H26" s="14">
        <f t="shared" ca="1" si="2"/>
        <v>8.6</v>
      </c>
      <c r="I26" s="19">
        <f>INDEX(signals_2019_10!$C$2:$AJ$683, MATCH($C$2, signals_2019_10!$B$2:$B$683, 0), MATCH($C26, signals_2019_10!$C$1:$AJ$1, 0))</f>
        <v>40911.534722222219</v>
      </c>
      <c r="J26" s="14">
        <f t="shared" si="3"/>
        <v>1</v>
      </c>
      <c r="K26" s="14">
        <f t="shared" ca="1" si="4"/>
        <v>8.6</v>
      </c>
    </row>
    <row r="27" spans="3:11" x14ac:dyDescent="0.35">
      <c r="C27" s="2" t="str">
        <f>'Commison Dates'!A17</f>
        <v>KIR</v>
      </c>
      <c r="D27" s="19" t="str">
        <f>INDEX(signals_2020_05!$C$2:$AJ$680, MATCH($C$2, signals_2020_05!$B$2:$B$680, 0), MATCH($C27, signals_2020_05!$C$1:$AJ$1, 0))</f>
        <v>NaT</v>
      </c>
      <c r="E27" s="19">
        <f>INDEX(signals_2020_05!$C$681:$AJ$681, 1, MATCH(C27, signals_2020_05!$C$1:$AJ$1, 0))</f>
        <v>43329.319444444445</v>
      </c>
      <c r="F27" s="14">
        <f t="shared" si="0"/>
        <v>0</v>
      </c>
      <c r="G27" s="14">
        <f t="shared" si="1"/>
        <v>0</v>
      </c>
      <c r="H27" s="14">
        <f t="shared" ca="1" si="2"/>
        <v>0</v>
      </c>
      <c r="I27" s="19" t="str">
        <f>INDEX(signals_2019_10!$C$2:$AJ$683, MATCH($C$2, signals_2019_10!$B$2:$B$683, 0), MATCH($C27, signals_2019_10!$C$1:$AJ$1, 0))</f>
        <v>NaT</v>
      </c>
      <c r="J27" s="14">
        <f t="shared" si="3"/>
        <v>0</v>
      </c>
      <c r="K27" s="14">
        <f t="shared" ca="1" si="4"/>
        <v>0</v>
      </c>
    </row>
    <row r="28" spans="3:11" x14ac:dyDescent="0.35">
      <c r="C28" s="2" t="str">
        <f>'Commison Dates'!A18</f>
        <v>LAM</v>
      </c>
      <c r="D28" s="19">
        <f>INDEX(signals_2020_05!$C$2:$AJ$680, MATCH($C$2, signals_2020_05!$B$2:$B$680, 0), MATCH($C28, signals_2020_05!$C$1:$AJ$1, 0))</f>
        <v>42735.993055555555</v>
      </c>
      <c r="E28" s="19">
        <f>INDEX(signals_2020_05!$C$681:$AJ$681, 1, MATCH(C28, signals_2020_05!$C$1:$AJ$1, 0))</f>
        <v>42735.993055555555</v>
      </c>
      <c r="F28" s="14">
        <f t="shared" si="0"/>
        <v>1</v>
      </c>
      <c r="G28" s="14">
        <f t="shared" si="1"/>
        <v>1</v>
      </c>
      <c r="H28" s="14">
        <f t="shared" ca="1" si="2"/>
        <v>3.6</v>
      </c>
      <c r="I28" s="19">
        <f>INDEX(signals_2019_10!$C$2:$AJ$683, MATCH($C$2, signals_2019_10!$B$2:$B$683, 0), MATCH($C28, signals_2019_10!$C$1:$AJ$1, 0))</f>
        <v>42735.993055555555</v>
      </c>
      <c r="J28" s="14">
        <f t="shared" si="3"/>
        <v>1</v>
      </c>
      <c r="K28" s="14">
        <f t="shared" ca="1" si="4"/>
        <v>3.6</v>
      </c>
    </row>
    <row r="29" spans="3:11" x14ac:dyDescent="0.35">
      <c r="C29" s="2" t="str">
        <f>'Commison Dates'!A19</f>
        <v>LIS</v>
      </c>
      <c r="D29" s="19">
        <f>INDEX(signals_2020_05!$C$2:$AJ$680, MATCH($C$2, signals_2020_05!$B$2:$B$680, 0), MATCH($C29, signals_2020_05!$C$1:$AJ$1, 0))</f>
        <v>42528.291666666664</v>
      </c>
      <c r="E29" s="19">
        <f>INDEX(signals_2020_05!$C$681:$AJ$681, 1, MATCH(C29, signals_2020_05!$C$1:$AJ$1, 0))</f>
        <v>42528.291666666664</v>
      </c>
      <c r="F29" s="14">
        <f t="shared" si="0"/>
        <v>1</v>
      </c>
      <c r="G29" s="14">
        <f t="shared" si="1"/>
        <v>1</v>
      </c>
      <c r="H29" s="14">
        <f t="shared" ca="1" si="2"/>
        <v>4.2</v>
      </c>
      <c r="I29" s="19">
        <f>INDEX(signals_2019_10!$C$2:$AJ$683, MATCH($C$2, signals_2019_10!$B$2:$B$683, 0), MATCH($C29, signals_2019_10!$C$1:$AJ$1, 0))</f>
        <v>39873</v>
      </c>
      <c r="J29" s="14">
        <f t="shared" si="3"/>
        <v>1</v>
      </c>
      <c r="K29" s="14">
        <f t="shared" ca="1" si="4"/>
        <v>11.4</v>
      </c>
    </row>
    <row r="30" spans="3:11" x14ac:dyDescent="0.35">
      <c r="C30" s="2" t="str">
        <f>'Commison Dates'!A20</f>
        <v>LLY</v>
      </c>
      <c r="D30" s="19">
        <f>INDEX(signals_2020_05!$C$2:$AJ$680, MATCH($C$2, signals_2020_05!$B$2:$B$680, 0), MATCH($C30, signals_2020_05!$C$1:$AJ$1, 0))</f>
        <v>43054.631944444445</v>
      </c>
      <c r="E30" s="19">
        <f>INDEX(signals_2020_05!$C$681:$AJ$681, 1, MATCH(C30, signals_2020_05!$C$1:$AJ$1, 0))</f>
        <v>43054.631944444445</v>
      </c>
      <c r="F30" s="14">
        <f t="shared" si="0"/>
        <v>1</v>
      </c>
      <c r="G30" s="14">
        <f t="shared" si="1"/>
        <v>1</v>
      </c>
      <c r="H30" s="14">
        <f t="shared" ca="1" si="2"/>
        <v>2.7</v>
      </c>
      <c r="I30" s="19">
        <f>INDEX(signals_2019_10!$C$2:$AJ$683, MATCH($C$2, signals_2019_10!$B$2:$B$683, 0), MATCH($C30, signals_2019_10!$C$1:$AJ$1, 0))</f>
        <v>43054.631944444445</v>
      </c>
      <c r="J30" s="14">
        <f t="shared" si="3"/>
        <v>1</v>
      </c>
      <c r="K30" s="14">
        <f t="shared" ca="1" si="4"/>
        <v>2.7</v>
      </c>
    </row>
    <row r="31" spans="3:11" x14ac:dyDescent="0.35">
      <c r="C31" s="2" t="str">
        <f>'Commison Dates'!A21</f>
        <v>LSP</v>
      </c>
      <c r="D31" s="19">
        <f>INDEX(signals_2020_05!$C$2:$AJ$680, MATCH($C$2, signals_2020_05!$B$2:$B$680, 0), MATCH($C31, signals_2020_05!$C$1:$AJ$1, 0))</f>
        <v>42473.520833333336</v>
      </c>
      <c r="E31" s="19">
        <f>INDEX(signals_2020_05!$C$681:$AJ$681, 1, MATCH(C31, signals_2020_05!$C$1:$AJ$1, 0))</f>
        <v>42473.506944444445</v>
      </c>
      <c r="F31" s="14">
        <f t="shared" si="0"/>
        <v>1</v>
      </c>
      <c r="G31" s="14">
        <f t="shared" si="1"/>
        <v>1</v>
      </c>
      <c r="H31" s="14">
        <f t="shared" ca="1" si="2"/>
        <v>4.3</v>
      </c>
      <c r="I31" s="19">
        <f>INDEX(signals_2019_10!$C$2:$AJ$683, MATCH($C$2, signals_2019_10!$B$2:$B$683, 0), MATCH($C31, signals_2019_10!$C$1:$AJ$1, 0))</f>
        <v>42473.520833333336</v>
      </c>
      <c r="J31" s="14">
        <f t="shared" si="3"/>
        <v>1</v>
      </c>
      <c r="K31" s="14">
        <f t="shared" ca="1" si="4"/>
        <v>4.3</v>
      </c>
    </row>
    <row r="32" spans="3:11" x14ac:dyDescent="0.35">
      <c r="C32" s="2" t="str">
        <f>'Commison Dates'!A22</f>
        <v>MIN</v>
      </c>
      <c r="D32" s="19">
        <f>INDEX(signals_2020_05!$C$2:$AJ$680, MATCH($C$2, signals_2020_05!$B$2:$B$680, 0), MATCH($C32, signals_2020_05!$C$1:$AJ$1, 0))</f>
        <v>42735.993055555555</v>
      </c>
      <c r="E32" s="19">
        <f>INDEX(signals_2020_05!$C$681:$AJ$681, 1, MATCH(C32, signals_2020_05!$C$1:$AJ$1, 0))</f>
        <v>42735.993055555555</v>
      </c>
      <c r="F32" s="14">
        <f t="shared" si="0"/>
        <v>1</v>
      </c>
      <c r="G32" s="14">
        <f t="shared" si="1"/>
        <v>1</v>
      </c>
      <c r="H32" s="14">
        <f t="shared" ca="1" si="2"/>
        <v>3.6</v>
      </c>
      <c r="I32" s="19">
        <f>INDEX(signals_2019_10!$C$2:$AJ$683, MATCH($C$2, signals_2019_10!$B$2:$B$683, 0), MATCH($C32, signals_2019_10!$C$1:$AJ$1, 0))</f>
        <v>39599.958333333336</v>
      </c>
      <c r="J32" s="14">
        <f t="shared" si="3"/>
        <v>1</v>
      </c>
      <c r="K32" s="14">
        <f t="shared" ca="1" si="4"/>
        <v>12.2</v>
      </c>
    </row>
    <row r="33" spans="3:11" x14ac:dyDescent="0.35">
      <c r="C33" s="2" t="str">
        <f>'Commison Dates'!A23</f>
        <v>MYN</v>
      </c>
      <c r="D33" s="19">
        <f>INDEX(signals_2020_05!$C$2:$AJ$680, MATCH($C$2, signals_2020_05!$B$2:$B$680, 0), MATCH($C33, signals_2020_05!$C$1:$AJ$1, 0))</f>
        <v>42193.652777777781</v>
      </c>
      <c r="E33" s="19">
        <f>INDEX(signals_2020_05!$C$681:$AJ$681, 1, MATCH(C33, signals_2020_05!$C$1:$AJ$1, 0))</f>
        <v>42193.652777777781</v>
      </c>
      <c r="F33" s="14">
        <f t="shared" si="0"/>
        <v>1</v>
      </c>
      <c r="G33" s="14">
        <f t="shared" si="1"/>
        <v>1</v>
      </c>
      <c r="H33" s="14">
        <f t="shared" ca="1" si="2"/>
        <v>5.0999999999999996</v>
      </c>
      <c r="I33" s="19">
        <f>INDEX(signals_2019_10!$C$2:$AJ$683, MATCH($C$2, signals_2019_10!$B$2:$B$683, 0), MATCH($C33, signals_2019_10!$C$1:$AJ$1, 0))</f>
        <v>42193.618055555555</v>
      </c>
      <c r="J33" s="14">
        <f t="shared" si="3"/>
        <v>1</v>
      </c>
      <c r="K33" s="14">
        <f t="shared" ca="1" si="4"/>
        <v>5.0999999999999996</v>
      </c>
    </row>
    <row r="34" spans="3:11" x14ac:dyDescent="0.35">
      <c r="C34" s="2" t="str">
        <f>'Commison Dates'!A24</f>
        <v>MYG</v>
      </c>
      <c r="D34" s="19">
        <f>INDEX(signals_2020_05!$C$2:$AJ$680, MATCH($C$2, signals_2020_05!$B$2:$B$680, 0), MATCH($C34, signals_2020_05!$C$1:$AJ$1, 0))</f>
        <v>43394</v>
      </c>
      <c r="E34" s="19">
        <f>INDEX(signals_2020_05!$C$681:$AJ$681, 1, MATCH(C34, signals_2020_05!$C$1:$AJ$1, 0))</f>
        <v>43394</v>
      </c>
      <c r="F34" s="14">
        <f t="shared" si="0"/>
        <v>1</v>
      </c>
      <c r="G34" s="14">
        <f t="shared" si="1"/>
        <v>1</v>
      </c>
      <c r="H34" s="14">
        <f t="shared" ca="1" si="2"/>
        <v>1.8</v>
      </c>
      <c r="I34" s="19">
        <f>INDEX(signals_2019_10!$C$2:$AJ$683, MATCH($C$2, signals_2019_10!$B$2:$B$683, 0), MATCH($C34, signals_2019_10!$C$1:$AJ$1, 0))</f>
        <v>43396.4375</v>
      </c>
      <c r="J34" s="14">
        <f t="shared" si="3"/>
        <v>1</v>
      </c>
      <c r="K34" s="14">
        <f t="shared" ca="1" si="4"/>
        <v>1.8</v>
      </c>
    </row>
    <row r="35" spans="3:11" x14ac:dyDescent="0.35">
      <c r="C35" s="2" t="str">
        <f>'Commison Dates'!A25</f>
        <v>NST</v>
      </c>
      <c r="D35" s="19">
        <f>INDEX(signals_2020_05!$C$2:$AJ$680, MATCH($C$2, signals_2020_05!$B$2:$B$680, 0), MATCH($C35, signals_2020_05!$C$1:$AJ$1, 0))</f>
        <v>42648.465277777781</v>
      </c>
      <c r="E35" s="19">
        <f>INDEX(signals_2020_05!$C$681:$AJ$681, 1, MATCH(C35, signals_2020_05!$C$1:$AJ$1, 0))</f>
        <v>42646.951388888891</v>
      </c>
      <c r="F35" s="14">
        <f t="shared" si="0"/>
        <v>1</v>
      </c>
      <c r="G35" s="14">
        <f t="shared" si="1"/>
        <v>0</v>
      </c>
      <c r="H35" s="14">
        <f t="shared" ca="1" si="2"/>
        <v>3.8</v>
      </c>
      <c r="I35" s="19">
        <f>INDEX(signals_2019_10!$C$2:$AJ$683, MATCH($C$2, signals_2019_10!$B$2:$B$683, 0), MATCH($C35, signals_2019_10!$C$1:$AJ$1, 0))</f>
        <v>42648.458333333336</v>
      </c>
      <c r="J35" s="14">
        <f t="shared" si="3"/>
        <v>1</v>
      </c>
      <c r="K35" s="14">
        <f t="shared" ca="1" si="4"/>
        <v>3.8</v>
      </c>
    </row>
    <row r="36" spans="3:11" x14ac:dyDescent="0.35">
      <c r="C36" s="2" t="str">
        <f>'Commison Dates'!A26</f>
        <v>NOV</v>
      </c>
      <c r="D36" s="19">
        <f>INDEX(signals_2020_05!$C$2:$AJ$680, MATCH($C$2, signals_2020_05!$B$2:$B$680, 0), MATCH($C36, signals_2020_05!$C$1:$AJ$1, 0))</f>
        <v>43054.611111111109</v>
      </c>
      <c r="E36" s="19">
        <f>INDEX(signals_2020_05!$C$681:$AJ$681, 1, MATCH(C36, signals_2020_05!$C$1:$AJ$1, 0))</f>
        <v>43054.611111111109</v>
      </c>
      <c r="F36" s="14">
        <f t="shared" si="0"/>
        <v>1</v>
      </c>
      <c r="G36" s="14">
        <f t="shared" si="1"/>
        <v>1</v>
      </c>
      <c r="H36" s="14">
        <f t="shared" ca="1" si="2"/>
        <v>2.7</v>
      </c>
      <c r="I36" s="19">
        <f>INDEX(signals_2019_10!$C$2:$AJ$683, MATCH($C$2, signals_2019_10!$B$2:$B$683, 0), MATCH($C36, signals_2019_10!$C$1:$AJ$1, 0))</f>
        <v>43054.611111111109</v>
      </c>
      <c r="J36" s="14">
        <f t="shared" si="3"/>
        <v>1</v>
      </c>
      <c r="K36" s="14">
        <f t="shared" ca="1" si="4"/>
        <v>2.7</v>
      </c>
    </row>
    <row r="37" spans="3:11" x14ac:dyDescent="0.35">
      <c r="C37" s="2" t="str">
        <f>'Commison Dates'!A27</f>
        <v>RHE</v>
      </c>
      <c r="D37" s="19">
        <f>INDEX(signals_2020_05!$C$2:$AJ$680, MATCH($C$2, signals_2020_05!$B$2:$B$680, 0), MATCH($C37, signals_2020_05!$C$1:$AJ$1, 0))</f>
        <v>41225.597222222219</v>
      </c>
      <c r="E37" s="19">
        <f>INDEX(signals_2020_05!$C$681:$AJ$681, 1, MATCH(C37, signals_2020_05!$C$1:$AJ$1, 0))</f>
        <v>41225.597222222219</v>
      </c>
      <c r="F37" s="14">
        <f t="shared" si="0"/>
        <v>1</v>
      </c>
      <c r="G37" s="14">
        <f t="shared" si="1"/>
        <v>1</v>
      </c>
      <c r="H37" s="14">
        <f t="shared" ca="1" si="2"/>
        <v>7.7</v>
      </c>
      <c r="I37" s="19">
        <f>INDEX(signals_2019_10!$C$2:$AJ$683, MATCH($C$2, signals_2019_10!$B$2:$B$683, 0), MATCH($C37, signals_2019_10!$C$1:$AJ$1, 0))</f>
        <v>41225.597222222219</v>
      </c>
      <c r="J37" s="14">
        <f t="shared" si="3"/>
        <v>1</v>
      </c>
      <c r="K37" s="14">
        <f t="shared" ca="1" si="4"/>
        <v>7.7</v>
      </c>
    </row>
    <row r="38" spans="3:11" x14ac:dyDescent="0.35">
      <c r="C38" s="2" t="str">
        <f>'Commison Dates'!A28</f>
        <v>SEA</v>
      </c>
      <c r="D38" s="19">
        <f>INDEX(signals_2020_05!$C$2:$AJ$680, MATCH($C$2, signals_2020_05!$B$2:$B$680, 0), MATCH($C38, signals_2020_05!$C$1:$AJ$1, 0))</f>
        <v>42485.743055555555</v>
      </c>
      <c r="E38" s="19">
        <f>INDEX(signals_2020_05!$C$681:$AJ$681, 1, MATCH(C38, signals_2020_05!$C$1:$AJ$1, 0))</f>
        <v>42485.736111111109</v>
      </c>
      <c r="F38" s="14">
        <f t="shared" si="0"/>
        <v>1</v>
      </c>
      <c r="G38" s="14">
        <f t="shared" si="1"/>
        <v>1</v>
      </c>
      <c r="H38" s="14">
        <f t="shared" ca="1" si="2"/>
        <v>4.3</v>
      </c>
      <c r="I38" s="19">
        <f>INDEX(signals_2019_10!$C$2:$AJ$683, MATCH($C$2, signals_2019_10!$B$2:$B$683, 0), MATCH($C38, signals_2019_10!$C$1:$AJ$1, 0))</f>
        <v>42485.743055555555</v>
      </c>
      <c r="J38" s="14">
        <f t="shared" si="3"/>
        <v>1</v>
      </c>
      <c r="K38" s="14">
        <f t="shared" ca="1" si="4"/>
        <v>4.3</v>
      </c>
    </row>
    <row r="39" spans="3:11" x14ac:dyDescent="0.35">
      <c r="C39" s="2" t="str">
        <f>'Commison Dates'!A29</f>
        <v>SIS</v>
      </c>
      <c r="D39" s="19">
        <f>INDEX(signals_2020_05!$C$2:$AJ$680, MATCH($C$2, signals_2020_05!$B$2:$B$680, 0), MATCH($C39, signals_2020_05!$C$1:$AJ$1, 0))</f>
        <v>43009</v>
      </c>
      <c r="E39" s="19">
        <f>INDEX(signals_2020_05!$C$681:$AJ$681, 1, MATCH(C39, signals_2020_05!$C$1:$AJ$1, 0))</f>
        <v>43009</v>
      </c>
      <c r="F39" s="14">
        <f t="shared" si="0"/>
        <v>1</v>
      </c>
      <c r="G39" s="14">
        <f t="shared" si="1"/>
        <v>1</v>
      </c>
      <c r="H39" s="14">
        <f t="shared" ca="1" si="2"/>
        <v>2.8</v>
      </c>
      <c r="I39" s="19">
        <f>INDEX(signals_2019_10!$C$2:$AJ$683, MATCH($C$2, signals_2019_10!$B$2:$B$683, 0), MATCH($C39, signals_2019_10!$C$1:$AJ$1, 0))</f>
        <v>42649.430555555555</v>
      </c>
      <c r="J39" s="14">
        <f t="shared" si="3"/>
        <v>1</v>
      </c>
      <c r="K39" s="14">
        <f t="shared" ca="1" si="4"/>
        <v>3.8</v>
      </c>
    </row>
    <row r="40" spans="3:11" x14ac:dyDescent="0.35">
      <c r="C40" s="2" t="str">
        <f>'Commison Dates'!A30</f>
        <v>TAF</v>
      </c>
      <c r="D40" s="19" t="str">
        <f>INDEX(signals_2020_05!$C$2:$AJ$680, MATCH($C$2, signals_2020_05!$B$2:$B$680, 0), MATCH($C40, signals_2020_05!$C$1:$AJ$1, 0))</f>
        <v>NaT</v>
      </c>
      <c r="E40" s="19">
        <f>INDEX(signals_2020_05!$C$681:$AJ$681, 1, MATCH(C40, signals_2020_05!$C$1:$AJ$1, 0))</f>
        <v>0</v>
      </c>
      <c r="F40" s="14">
        <f t="shared" si="0"/>
        <v>0</v>
      </c>
      <c r="G40" s="14">
        <f t="shared" si="1"/>
        <v>0</v>
      </c>
      <c r="H40" s="14">
        <f t="shared" ca="1" si="2"/>
        <v>0</v>
      </c>
      <c r="I40" s="19">
        <f>INDEX(signals_2019_10!$C$2:$AJ$683, MATCH($C$2, signals_2019_10!$B$2:$B$683, 0), MATCH($C40, signals_2019_10!$C$1:$AJ$1, 0))</f>
        <v>43397.416666666664</v>
      </c>
      <c r="J40" s="14">
        <f t="shared" si="3"/>
        <v>1</v>
      </c>
      <c r="K40" s="14">
        <f t="shared" ca="1" si="4"/>
        <v>1.8</v>
      </c>
    </row>
    <row r="41" spans="3:11" x14ac:dyDescent="0.35">
      <c r="C41" s="2" t="str">
        <f>'Commison Dates'!A31</f>
        <v>TED</v>
      </c>
      <c r="D41" s="19">
        <f>INDEX(signals_2020_05!$C$2:$AJ$680, MATCH($C$2, signals_2020_05!$B$2:$B$680, 0), MATCH($C41, signals_2020_05!$C$1:$AJ$1, 0))</f>
        <v>42058.680555555555</v>
      </c>
      <c r="E41" s="19">
        <f>INDEX(signals_2020_05!$C$681:$AJ$681, 1, MATCH(C41, signals_2020_05!$C$1:$AJ$1, 0))</f>
        <v>42058.680555555555</v>
      </c>
      <c r="F41" s="14">
        <f t="shared" si="0"/>
        <v>1</v>
      </c>
      <c r="G41" s="14">
        <f t="shared" si="1"/>
        <v>1</v>
      </c>
      <c r="H41" s="14">
        <f t="shared" ca="1" si="2"/>
        <v>5.4</v>
      </c>
      <c r="I41" s="19">
        <f>INDEX(signals_2019_10!$C$2:$AJ$683, MATCH($C$2, signals_2019_10!$B$2:$B$683, 0), MATCH($C41, signals_2019_10!$C$1:$AJ$1, 0))</f>
        <v>41513.4375</v>
      </c>
      <c r="J41" s="14">
        <f t="shared" si="3"/>
        <v>1</v>
      </c>
      <c r="K41" s="14">
        <f t="shared" ca="1" si="4"/>
        <v>6.9</v>
      </c>
    </row>
    <row r="42" spans="3:11" x14ac:dyDescent="0.35">
      <c r="C42" s="2" t="str">
        <f>'Commison Dates'!A32</f>
        <v>TOW</v>
      </c>
      <c r="D42" s="19">
        <f>INDEX(signals_2020_05!$C$2:$AJ$680, MATCH($C$2, signals_2020_05!$B$2:$B$680, 0), MATCH($C42, signals_2020_05!$C$1:$AJ$1, 0))</f>
        <v>43040</v>
      </c>
      <c r="E42" s="19">
        <f>INDEX(signals_2020_05!$C$681:$AJ$681, 1, MATCH(C42, signals_2020_05!$C$1:$AJ$1, 0))</f>
        <v>43040</v>
      </c>
      <c r="F42" s="14">
        <f t="shared" si="0"/>
        <v>1</v>
      </c>
      <c r="G42" s="14">
        <f t="shared" si="1"/>
        <v>1</v>
      </c>
      <c r="H42" s="14">
        <f t="shared" ca="1" si="2"/>
        <v>2.8</v>
      </c>
      <c r="I42" s="19">
        <f>INDEX(signals_2019_10!$C$2:$AJ$683, MATCH($C$2, signals_2019_10!$B$2:$B$683, 0), MATCH($C42, signals_2019_10!$C$1:$AJ$1, 0))</f>
        <v>43040</v>
      </c>
      <c r="J42" s="14">
        <f t="shared" si="3"/>
        <v>1</v>
      </c>
      <c r="K42" s="14">
        <f t="shared" ca="1" si="4"/>
        <v>2.8</v>
      </c>
    </row>
    <row r="43" spans="3:11" x14ac:dyDescent="0.35">
      <c r="C43" s="2" t="str">
        <f>'Commison Dates'!A33</f>
        <v>TRY</v>
      </c>
      <c r="D43" s="19">
        <f>INDEX(signals_2020_05!$C$2:$AJ$680, MATCH($C$2, signals_2020_05!$B$2:$B$680, 0), MATCH($C43, signals_2020_05!$C$1:$AJ$1, 0))</f>
        <v>42735.993055555555</v>
      </c>
      <c r="E43" s="19">
        <f>INDEX(signals_2020_05!$C$681:$AJ$681, 1, MATCH(C43, signals_2020_05!$C$1:$AJ$1, 0))</f>
        <v>42735.993055555555</v>
      </c>
      <c r="F43" s="14">
        <f t="shared" si="0"/>
        <v>1</v>
      </c>
      <c r="G43" s="14">
        <f t="shared" si="1"/>
        <v>1</v>
      </c>
      <c r="H43" s="14">
        <f t="shared" ca="1" si="2"/>
        <v>3.6</v>
      </c>
      <c r="I43" s="19">
        <f>INDEX(signals_2019_10!$C$2:$AJ$683, MATCH($C$2, signals_2019_10!$B$2:$B$683, 0), MATCH($C43, signals_2019_10!$C$1:$AJ$1, 0))</f>
        <v>39659.506944444445</v>
      </c>
      <c r="J43" s="14">
        <f t="shared" si="3"/>
        <v>1</v>
      </c>
      <c r="K43" s="14">
        <f t="shared" ca="1" si="4"/>
        <v>12</v>
      </c>
    </row>
    <row r="44" spans="3:11" x14ac:dyDescent="0.35">
      <c r="C44" s="2" t="str">
        <f>'Commison Dates'!A34</f>
        <v>WST</v>
      </c>
      <c r="D44" s="19">
        <f>INDEX(signals_2020_05!$C$2:$AJ$680, MATCH($C$2, signals_2020_05!$B$2:$B$680, 0), MATCH($C44, signals_2020_05!$C$1:$AJ$1, 0))</f>
        <v>41426</v>
      </c>
      <c r="E44" s="19">
        <f>INDEX(signals_2020_05!$C$681:$AJ$681, 1, MATCH(C44, signals_2020_05!$C$1:$AJ$1, 0))</f>
        <v>41426</v>
      </c>
      <c r="F44" s="14">
        <f t="shared" si="0"/>
        <v>1</v>
      </c>
      <c r="G44" s="14">
        <f t="shared" si="1"/>
        <v>1</v>
      </c>
      <c r="H44" s="14">
        <f t="shared" ca="1" si="2"/>
        <v>7.2</v>
      </c>
      <c r="I44" s="19">
        <f>INDEX(signals_2019_10!$C$2:$AJ$683, MATCH($C$2, signals_2019_10!$B$2:$B$683, 0), MATCH($C44, signals_2019_10!$C$1:$AJ$1, 0))</f>
        <v>41365</v>
      </c>
      <c r="J44" s="14">
        <f t="shared" si="3"/>
        <v>1</v>
      </c>
      <c r="K44" s="14">
        <f t="shared" ca="1" si="4"/>
        <v>7.3</v>
      </c>
    </row>
    <row r="45" spans="3:11" x14ac:dyDescent="0.35">
      <c r="C45" s="2" t="str">
        <f>'Commison Dates'!A35</f>
        <v>WNT</v>
      </c>
      <c r="D45" s="19">
        <f>INDEX(signals_2020_05!$C$2:$AJ$680, MATCH($C$2, signals_2020_05!$B$2:$B$680, 0), MATCH($C45, signals_2020_05!$C$1:$AJ$1, 0))</f>
        <v>43059.576388888891</v>
      </c>
      <c r="E45" s="19">
        <f>INDEX(signals_2020_05!$C$681:$AJ$681, 1, MATCH(C45, signals_2020_05!$C$1:$AJ$1, 0))</f>
        <v>43059.576388888891</v>
      </c>
      <c r="F45" s="14">
        <f t="shared" si="0"/>
        <v>1</v>
      </c>
      <c r="G45" s="14">
        <f t="shared" si="1"/>
        <v>1</v>
      </c>
      <c r="H45" s="14">
        <f t="shared" ca="1" si="2"/>
        <v>2.7</v>
      </c>
      <c r="I45" s="19">
        <f>INDEX(signals_2019_10!$C$2:$AJ$683, MATCH($C$2, signals_2019_10!$B$2:$B$683, 0), MATCH($C45, signals_2019_10!$C$1:$AJ$1, 0))</f>
        <v>41426</v>
      </c>
      <c r="J45" s="14">
        <f t="shared" si="3"/>
        <v>1</v>
      </c>
      <c r="K45" s="14">
        <f t="shared" ca="1" si="4"/>
        <v>7.2</v>
      </c>
    </row>
  </sheetData>
  <sheetProtection sheet="1" objects="1" scenarios="1" selectLockedCells="1" autoFilter="0"/>
  <autoFilter ref="C11:K45" xr:uid="{B29652D4-A075-456D-BDA9-11E51C235EFA}"/>
  <mergeCells count="2">
    <mergeCell ref="D10:H10"/>
    <mergeCell ref="I10:K10"/>
  </mergeCells>
  <conditionalFormatting sqref="C12:K45">
    <cfRule type="expression" dxfId="4" priority="11">
      <formula>$F12=0</formula>
    </cfRule>
    <cfRule type="expression" dxfId="3" priority="13">
      <formula>$F12=1</formula>
    </cfRule>
  </conditionalFormatting>
  <conditionalFormatting sqref="C12:K45">
    <cfRule type="expression" dxfId="2" priority="12">
      <formula>AND($F12=1, $G12=0)</formula>
    </cfRule>
  </conditionalFormatting>
  <conditionalFormatting sqref="D12:D45">
    <cfRule type="expression" dxfId="1" priority="6">
      <formula>AND($F12, NOT($J12))</formula>
    </cfRule>
    <cfRule type="expression" dxfId="0" priority="7">
      <formula>AND($F12, $J12, $H12&gt;$K12)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List Box 5">
              <controlPr locked="0" defaultSize="0" autoLine="0" autoPict="0" macro="[0]!siteListUpdated">
                <anchor moveWithCells="1">
                  <from>
                    <xdr:col>3</xdr:col>
                    <xdr:colOff>107950</xdr:colOff>
                    <xdr:row>0</xdr:row>
                    <xdr:rowOff>69850</xdr:rowOff>
                  </from>
                  <to>
                    <xdr:col>10</xdr:col>
                    <xdr:colOff>762000</xdr:colOff>
                    <xdr:row>8</xdr:row>
                    <xdr:rowOff>2038350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85C49-9489-4453-A454-CDE7C3D01868}">
  <sheetPr codeName="Sheet3"/>
  <dimension ref="A1:B35"/>
  <sheetViews>
    <sheetView workbookViewId="0">
      <selection activeCell="C4" sqref="C4"/>
    </sheetView>
  </sheetViews>
  <sheetFormatPr defaultRowHeight="14.5" x14ac:dyDescent="0.35"/>
  <cols>
    <col min="1" max="2" width="17.453125" customWidth="1"/>
  </cols>
  <sheetData>
    <row r="1" spans="1:2" x14ac:dyDescent="0.35">
      <c r="A1" s="2" t="s">
        <v>334</v>
      </c>
      <c r="B1" s="3" t="s">
        <v>335</v>
      </c>
    </row>
    <row r="2" spans="1:2" x14ac:dyDescent="0.35">
      <c r="A2" s="2" t="s">
        <v>1</v>
      </c>
      <c r="B2" s="4">
        <v>42491</v>
      </c>
    </row>
    <row r="3" spans="1:2" x14ac:dyDescent="0.35">
      <c r="A3" s="2" t="s">
        <v>2</v>
      </c>
      <c r="B3" s="4">
        <v>39873</v>
      </c>
    </row>
    <row r="4" spans="1:2" x14ac:dyDescent="0.35">
      <c r="A4" s="2" t="s">
        <v>3</v>
      </c>
      <c r="B4" s="4">
        <v>37135</v>
      </c>
    </row>
    <row r="5" spans="1:2" x14ac:dyDescent="0.35">
      <c r="A5" s="2" t="s">
        <v>4</v>
      </c>
      <c r="B5" s="4">
        <v>36281</v>
      </c>
    </row>
    <row r="6" spans="1:2" x14ac:dyDescent="0.35">
      <c r="A6" s="2" t="s">
        <v>5</v>
      </c>
      <c r="B6" s="4">
        <v>41334</v>
      </c>
    </row>
    <row r="7" spans="1:2" x14ac:dyDescent="0.35">
      <c r="A7" s="2" t="s">
        <v>6</v>
      </c>
      <c r="B7" s="4">
        <v>34516</v>
      </c>
    </row>
    <row r="8" spans="1:2" x14ac:dyDescent="0.35">
      <c r="A8" s="2" t="s">
        <v>7</v>
      </c>
      <c r="B8" s="4">
        <v>35339</v>
      </c>
    </row>
    <row r="9" spans="1:2" x14ac:dyDescent="0.35">
      <c r="A9" s="2" t="s">
        <v>8</v>
      </c>
      <c r="B9" s="4">
        <v>38292</v>
      </c>
    </row>
    <row r="10" spans="1:2" x14ac:dyDescent="0.35">
      <c r="A10" s="2" t="s">
        <v>9</v>
      </c>
      <c r="B10" s="4">
        <v>39600</v>
      </c>
    </row>
    <row r="11" spans="1:2" x14ac:dyDescent="0.35">
      <c r="A11" s="2" t="s">
        <v>10</v>
      </c>
      <c r="B11" s="4">
        <v>38838</v>
      </c>
    </row>
    <row r="12" spans="1:2" x14ac:dyDescent="0.35">
      <c r="A12" s="2" t="s">
        <v>11</v>
      </c>
      <c r="B12" s="4">
        <v>38869</v>
      </c>
    </row>
    <row r="13" spans="1:2" x14ac:dyDescent="0.35">
      <c r="A13" s="2" t="s">
        <v>12</v>
      </c>
      <c r="B13" s="4">
        <v>42795</v>
      </c>
    </row>
    <row r="14" spans="1:2" x14ac:dyDescent="0.35">
      <c r="A14" s="2" t="s">
        <v>13</v>
      </c>
      <c r="B14" s="4">
        <v>40940</v>
      </c>
    </row>
    <row r="15" spans="1:2" x14ac:dyDescent="0.35">
      <c r="A15" s="2" t="s">
        <v>14</v>
      </c>
      <c r="B15" s="4">
        <v>41334</v>
      </c>
    </row>
    <row r="16" spans="1:2" x14ac:dyDescent="0.35">
      <c r="A16" s="2" t="s">
        <v>15</v>
      </c>
      <c r="B16" s="4">
        <v>40210</v>
      </c>
    </row>
    <row r="17" spans="1:2" x14ac:dyDescent="0.35">
      <c r="A17" s="2" t="s">
        <v>16</v>
      </c>
      <c r="B17" s="4">
        <v>34213</v>
      </c>
    </row>
    <row r="18" spans="1:2" x14ac:dyDescent="0.35">
      <c r="A18" s="2" t="s">
        <v>17</v>
      </c>
      <c r="B18" s="4">
        <v>36770</v>
      </c>
    </row>
    <row r="19" spans="1:2" x14ac:dyDescent="0.35">
      <c r="A19" s="2" t="s">
        <v>18</v>
      </c>
      <c r="B19" s="4">
        <v>39845</v>
      </c>
    </row>
    <row r="20" spans="1:2" x14ac:dyDescent="0.35">
      <c r="A20" s="2" t="s">
        <v>19</v>
      </c>
      <c r="B20" s="4">
        <v>35704</v>
      </c>
    </row>
    <row r="21" spans="1:2" x14ac:dyDescent="0.35">
      <c r="A21" s="2" t="s">
        <v>20</v>
      </c>
      <c r="B21" s="4">
        <v>40848</v>
      </c>
    </row>
    <row r="22" spans="1:2" x14ac:dyDescent="0.35">
      <c r="A22" s="2" t="s">
        <v>21</v>
      </c>
      <c r="B22" s="4">
        <v>39600</v>
      </c>
    </row>
    <row r="23" spans="1:2" x14ac:dyDescent="0.35">
      <c r="A23" s="2" t="s">
        <v>22</v>
      </c>
      <c r="B23" s="4">
        <v>38718</v>
      </c>
    </row>
    <row r="24" spans="1:2" x14ac:dyDescent="0.35">
      <c r="A24" s="2" t="s">
        <v>23</v>
      </c>
      <c r="B24" s="4">
        <v>35886</v>
      </c>
    </row>
    <row r="25" spans="1:2" x14ac:dyDescent="0.35">
      <c r="A25" s="2" t="s">
        <v>24</v>
      </c>
      <c r="B25" s="4">
        <v>42583</v>
      </c>
    </row>
    <row r="26" spans="1:2" x14ac:dyDescent="0.35">
      <c r="A26" s="2" t="s">
        <v>25</v>
      </c>
      <c r="B26" s="4">
        <v>35704</v>
      </c>
    </row>
    <row r="27" spans="1:2" x14ac:dyDescent="0.35">
      <c r="A27" s="2" t="s">
        <v>26</v>
      </c>
      <c r="B27" s="4">
        <v>35490</v>
      </c>
    </row>
    <row r="28" spans="1:2" x14ac:dyDescent="0.35">
      <c r="A28" s="2" t="s">
        <v>27</v>
      </c>
      <c r="B28" s="4">
        <v>41214</v>
      </c>
    </row>
    <row r="29" spans="1:2" x14ac:dyDescent="0.35">
      <c r="A29" s="2" t="s">
        <v>28</v>
      </c>
      <c r="B29" s="4">
        <v>42583</v>
      </c>
    </row>
    <row r="30" spans="1:2" x14ac:dyDescent="0.35">
      <c r="A30" s="2" t="s">
        <v>29</v>
      </c>
      <c r="B30" s="4">
        <v>34182</v>
      </c>
    </row>
    <row r="31" spans="1:2" x14ac:dyDescent="0.35">
      <c r="A31" s="2" t="s">
        <v>30</v>
      </c>
      <c r="B31" s="4">
        <v>41487</v>
      </c>
    </row>
    <row r="32" spans="1:2" x14ac:dyDescent="0.35">
      <c r="A32" s="2" t="s">
        <v>31</v>
      </c>
      <c r="B32" s="4">
        <v>37226</v>
      </c>
    </row>
    <row r="33" spans="1:2" x14ac:dyDescent="0.35">
      <c r="A33" s="2" t="s">
        <v>32</v>
      </c>
      <c r="B33" s="4">
        <v>35247</v>
      </c>
    </row>
    <row r="34" spans="1:2" x14ac:dyDescent="0.35">
      <c r="A34" s="2" t="s">
        <v>33</v>
      </c>
      <c r="B34" s="4">
        <v>41334</v>
      </c>
    </row>
    <row r="35" spans="1:2" x14ac:dyDescent="0.35">
      <c r="A35" s="2" t="s">
        <v>34</v>
      </c>
      <c r="B35" s="4">
        <v>41334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54FD7-2B62-4AB5-84F2-0116C333B441}">
  <sheetPr codeName="Sheet5"/>
  <dimension ref="A1:H510"/>
  <sheetViews>
    <sheetView workbookViewId="0">
      <selection activeCell="D16" sqref="D16"/>
    </sheetView>
  </sheetViews>
  <sheetFormatPr defaultRowHeight="14.5" x14ac:dyDescent="0.35"/>
  <cols>
    <col min="1" max="5" width="17.453125" customWidth="1"/>
    <col min="6" max="6" width="81.453125" customWidth="1"/>
    <col min="7" max="7" width="17.453125" style="15" customWidth="1"/>
  </cols>
  <sheetData>
    <row r="1" spans="1:7" x14ac:dyDescent="0.35">
      <c r="A1" t="s">
        <v>340</v>
      </c>
      <c r="B1" t="s">
        <v>341</v>
      </c>
      <c r="C1" t="s">
        <v>342</v>
      </c>
      <c r="F1" t="s">
        <v>852</v>
      </c>
    </row>
    <row r="2" spans="1:7" x14ac:dyDescent="0.35">
      <c r="A2">
        <v>141</v>
      </c>
      <c r="B2" t="s">
        <v>343</v>
      </c>
      <c r="C2" t="str">
        <f>LEFT(B2, 3)</f>
        <v>ACH</v>
      </c>
      <c r="D2" t="str">
        <f>IF(C2&lt;&gt;C1,"first",IF(C2&lt;&gt;C3,"last","mid"))</f>
        <v>first</v>
      </c>
      <c r="E2">
        <f>IF(D2="first", MATCH("last", $D2:$D$510, 0), "")</f>
        <v>21</v>
      </c>
      <c r="F2" t="str">
        <f ca="1">IF(D2="first", _xlfn.CONCAT(INDIRECT(_xlfn.CONCAT(ADDRESS(ROW(G2), COLUMN(G2)), ":", ADDRESS(E2+ROW(G2)-1, COLUMN(G2))))), "")</f>
        <v>141,142,143,144,145,146,147,148,149,150,151,152,153,154,155,156,157,158,159,160,161</v>
      </c>
      <c r="G2" s="15" t="str">
        <f>IF(D2&lt;&gt;"last", _xlfn.CONCAT(A2, ","), A2)</f>
        <v>141,</v>
      </c>
    </row>
    <row r="3" spans="1:7" x14ac:dyDescent="0.35">
      <c r="A3">
        <v>142</v>
      </c>
      <c r="B3" t="s">
        <v>344</v>
      </c>
      <c r="C3" t="str">
        <f t="shared" ref="C3:C66" si="0">LEFT(B3, 3)</f>
        <v>ACH</v>
      </c>
      <c r="D3" t="str">
        <f t="shared" ref="D3:D66" si="1">IF(C3&lt;&gt;C2,"first",IF(C3&lt;&gt;C4,"last","mid"))</f>
        <v>mid</v>
      </c>
      <c r="E3" t="str">
        <f>IF(D3="first", MATCH("last", $D3:$D$510, 0), "")</f>
        <v/>
      </c>
      <c r="F3" t="str">
        <f t="shared" ref="F3:F66" ca="1" si="2">IF(D3="first", _xlfn.CONCAT(INDIRECT(_xlfn.CONCAT(ADDRESS(ROW(G3), COLUMN(G3)), ":", ADDRESS(E3+ROW(G3)-1, COLUMN(G3))))), "")</f>
        <v/>
      </c>
      <c r="G3" s="15" t="str">
        <f t="shared" ref="G3:G66" si="3">IF(D3&lt;&gt;"last", _xlfn.CONCAT(A3, ","), A3)</f>
        <v>142,</v>
      </c>
    </row>
    <row r="4" spans="1:7" x14ac:dyDescent="0.35">
      <c r="A4">
        <v>143</v>
      </c>
      <c r="B4" t="s">
        <v>345</v>
      </c>
      <c r="C4" t="str">
        <f t="shared" si="0"/>
        <v>ACH</v>
      </c>
      <c r="D4" t="str">
        <f t="shared" si="1"/>
        <v>mid</v>
      </c>
      <c r="E4" t="str">
        <f>IF(D4="first", MATCH("last", $D4:$D$510, 0), "")</f>
        <v/>
      </c>
      <c r="F4" t="str">
        <f t="shared" ca="1" si="2"/>
        <v/>
      </c>
      <c r="G4" s="15" t="str">
        <f t="shared" si="3"/>
        <v>143,</v>
      </c>
    </row>
    <row r="5" spans="1:7" x14ac:dyDescent="0.35">
      <c r="A5">
        <v>144</v>
      </c>
      <c r="B5" t="s">
        <v>346</v>
      </c>
      <c r="C5" t="str">
        <f t="shared" si="0"/>
        <v>ACH</v>
      </c>
      <c r="D5" t="str">
        <f t="shared" si="1"/>
        <v>mid</v>
      </c>
      <c r="E5" t="str">
        <f>IF(D5="first", MATCH("last", $D5:$D$510, 0), "")</f>
        <v/>
      </c>
      <c r="F5" t="str">
        <f t="shared" ca="1" si="2"/>
        <v/>
      </c>
      <c r="G5" s="15" t="str">
        <f t="shared" si="3"/>
        <v>144,</v>
      </c>
    </row>
    <row r="6" spans="1:7" x14ac:dyDescent="0.35">
      <c r="A6">
        <v>145</v>
      </c>
      <c r="B6" t="s">
        <v>347</v>
      </c>
      <c r="C6" t="str">
        <f t="shared" si="0"/>
        <v>ACH</v>
      </c>
      <c r="D6" t="str">
        <f t="shared" si="1"/>
        <v>mid</v>
      </c>
      <c r="E6" t="str">
        <f>IF(D6="first", MATCH("last", $D6:$D$510, 0), "")</f>
        <v/>
      </c>
      <c r="F6" t="str">
        <f t="shared" ca="1" si="2"/>
        <v/>
      </c>
      <c r="G6" s="15" t="str">
        <f t="shared" si="3"/>
        <v>145,</v>
      </c>
    </row>
    <row r="7" spans="1:7" x14ac:dyDescent="0.35">
      <c r="A7">
        <v>146</v>
      </c>
      <c r="B7" t="s">
        <v>348</v>
      </c>
      <c r="C7" t="str">
        <f t="shared" si="0"/>
        <v>ACH</v>
      </c>
      <c r="D7" t="str">
        <f t="shared" si="1"/>
        <v>mid</v>
      </c>
      <c r="E7" t="str">
        <f>IF(D7="first", MATCH("last", $D7:$D$510, 0), "")</f>
        <v/>
      </c>
      <c r="F7" t="str">
        <f t="shared" ca="1" si="2"/>
        <v/>
      </c>
      <c r="G7" s="15" t="str">
        <f t="shared" si="3"/>
        <v>146,</v>
      </c>
    </row>
    <row r="8" spans="1:7" x14ac:dyDescent="0.35">
      <c r="A8">
        <v>147</v>
      </c>
      <c r="B8" t="s">
        <v>349</v>
      </c>
      <c r="C8" t="str">
        <f t="shared" si="0"/>
        <v>ACH</v>
      </c>
      <c r="D8" t="str">
        <f t="shared" si="1"/>
        <v>mid</v>
      </c>
      <c r="E8" t="str">
        <f>IF(D8="first", MATCH("last", $D8:$D$510, 0), "")</f>
        <v/>
      </c>
      <c r="F8" t="str">
        <f t="shared" ca="1" si="2"/>
        <v/>
      </c>
      <c r="G8" s="15" t="str">
        <f t="shared" si="3"/>
        <v>147,</v>
      </c>
    </row>
    <row r="9" spans="1:7" x14ac:dyDescent="0.35">
      <c r="A9">
        <v>148</v>
      </c>
      <c r="B9" t="s">
        <v>350</v>
      </c>
      <c r="C9" t="str">
        <f t="shared" si="0"/>
        <v>ACH</v>
      </c>
      <c r="D9" t="str">
        <f t="shared" si="1"/>
        <v>mid</v>
      </c>
      <c r="E9" t="str">
        <f>IF(D9="first", MATCH("last", $D9:$D$510, 0), "")</f>
        <v/>
      </c>
      <c r="F9" t="str">
        <f t="shared" ca="1" si="2"/>
        <v/>
      </c>
      <c r="G9" s="15" t="str">
        <f t="shared" si="3"/>
        <v>148,</v>
      </c>
    </row>
    <row r="10" spans="1:7" x14ac:dyDescent="0.35">
      <c r="A10">
        <v>149</v>
      </c>
      <c r="B10" t="s">
        <v>351</v>
      </c>
      <c r="C10" t="str">
        <f t="shared" si="0"/>
        <v>ACH</v>
      </c>
      <c r="D10" t="str">
        <f t="shared" si="1"/>
        <v>mid</v>
      </c>
      <c r="E10" t="str">
        <f>IF(D10="first", MATCH("last", $D10:$D$510, 0), "")</f>
        <v/>
      </c>
      <c r="F10" t="str">
        <f t="shared" ca="1" si="2"/>
        <v/>
      </c>
      <c r="G10" s="15" t="str">
        <f t="shared" si="3"/>
        <v>149,</v>
      </c>
    </row>
    <row r="11" spans="1:7" x14ac:dyDescent="0.35">
      <c r="A11">
        <v>150</v>
      </c>
      <c r="B11" t="s">
        <v>352</v>
      </c>
      <c r="C11" t="str">
        <f t="shared" si="0"/>
        <v>ACH</v>
      </c>
      <c r="D11" t="str">
        <f t="shared" si="1"/>
        <v>mid</v>
      </c>
      <c r="E11" t="str">
        <f>IF(D11="first", MATCH("last", $D11:$D$510, 0), "")</f>
        <v/>
      </c>
      <c r="F11" t="str">
        <f t="shared" ca="1" si="2"/>
        <v/>
      </c>
      <c r="G11" s="15" t="str">
        <f t="shared" si="3"/>
        <v>150,</v>
      </c>
    </row>
    <row r="12" spans="1:7" x14ac:dyDescent="0.35">
      <c r="A12">
        <v>151</v>
      </c>
      <c r="B12" t="s">
        <v>353</v>
      </c>
      <c r="C12" t="str">
        <f t="shared" si="0"/>
        <v>ACH</v>
      </c>
      <c r="D12" t="str">
        <f t="shared" si="1"/>
        <v>mid</v>
      </c>
      <c r="E12" t="str">
        <f>IF(D12="first", MATCH("last", $D12:$D$510, 0), "")</f>
        <v/>
      </c>
      <c r="F12" t="str">
        <f t="shared" ca="1" si="2"/>
        <v/>
      </c>
      <c r="G12" s="15" t="str">
        <f t="shared" si="3"/>
        <v>151,</v>
      </c>
    </row>
    <row r="13" spans="1:7" x14ac:dyDescent="0.35">
      <c r="A13">
        <v>152</v>
      </c>
      <c r="B13" t="s">
        <v>354</v>
      </c>
      <c r="C13" t="str">
        <f t="shared" si="0"/>
        <v>ACH</v>
      </c>
      <c r="D13" t="str">
        <f t="shared" si="1"/>
        <v>mid</v>
      </c>
      <c r="E13" t="str">
        <f>IF(D13="first", MATCH("last", $D13:$D$510, 0), "")</f>
        <v/>
      </c>
      <c r="F13" t="str">
        <f t="shared" ca="1" si="2"/>
        <v/>
      </c>
      <c r="G13" s="15" t="str">
        <f t="shared" si="3"/>
        <v>152,</v>
      </c>
    </row>
    <row r="14" spans="1:7" x14ac:dyDescent="0.35">
      <c r="A14">
        <v>153</v>
      </c>
      <c r="B14" t="s">
        <v>355</v>
      </c>
      <c r="C14" t="str">
        <f t="shared" si="0"/>
        <v>ACH</v>
      </c>
      <c r="D14" t="str">
        <f t="shared" si="1"/>
        <v>mid</v>
      </c>
      <c r="E14" t="str">
        <f>IF(D14="first", MATCH("last", $D14:$D$510, 0), "")</f>
        <v/>
      </c>
      <c r="F14" t="str">
        <f t="shared" ca="1" si="2"/>
        <v/>
      </c>
      <c r="G14" s="15" t="str">
        <f t="shared" si="3"/>
        <v>153,</v>
      </c>
    </row>
    <row r="15" spans="1:7" x14ac:dyDescent="0.35">
      <c r="A15">
        <v>154</v>
      </c>
      <c r="B15" t="s">
        <v>356</v>
      </c>
      <c r="C15" t="str">
        <f t="shared" si="0"/>
        <v>ACH</v>
      </c>
      <c r="D15" t="str">
        <f t="shared" si="1"/>
        <v>mid</v>
      </c>
      <c r="E15" t="str">
        <f>IF(D15="first", MATCH("last", $D15:$D$510, 0), "")</f>
        <v/>
      </c>
      <c r="F15" t="str">
        <f t="shared" ca="1" si="2"/>
        <v/>
      </c>
      <c r="G15" s="15" t="str">
        <f t="shared" si="3"/>
        <v>154,</v>
      </c>
    </row>
    <row r="16" spans="1:7" x14ac:dyDescent="0.35">
      <c r="A16">
        <v>155</v>
      </c>
      <c r="B16" t="s">
        <v>357</v>
      </c>
      <c r="C16" t="str">
        <f t="shared" si="0"/>
        <v>ACH</v>
      </c>
      <c r="D16" t="str">
        <f t="shared" si="1"/>
        <v>mid</v>
      </c>
      <c r="E16" t="str">
        <f>IF(D16="first", MATCH("last", $D16:$D$510, 0), "")</f>
        <v/>
      </c>
      <c r="F16" t="str">
        <f t="shared" ca="1" si="2"/>
        <v/>
      </c>
      <c r="G16" s="15" t="str">
        <f t="shared" si="3"/>
        <v>155,</v>
      </c>
    </row>
    <row r="17" spans="1:7" x14ac:dyDescent="0.35">
      <c r="A17">
        <v>156</v>
      </c>
      <c r="B17" t="s">
        <v>358</v>
      </c>
      <c r="C17" t="str">
        <f t="shared" si="0"/>
        <v>ACH</v>
      </c>
      <c r="D17" t="str">
        <f t="shared" si="1"/>
        <v>mid</v>
      </c>
      <c r="E17" t="str">
        <f>IF(D17="first", MATCH("last", $D17:$D$510, 0), "")</f>
        <v/>
      </c>
      <c r="F17" t="str">
        <f t="shared" ca="1" si="2"/>
        <v/>
      </c>
      <c r="G17" s="15" t="str">
        <f t="shared" si="3"/>
        <v>156,</v>
      </c>
    </row>
    <row r="18" spans="1:7" x14ac:dyDescent="0.35">
      <c r="A18">
        <v>157</v>
      </c>
      <c r="B18" t="s">
        <v>359</v>
      </c>
      <c r="C18" t="str">
        <f t="shared" si="0"/>
        <v>ACH</v>
      </c>
      <c r="D18" t="str">
        <f t="shared" si="1"/>
        <v>mid</v>
      </c>
      <c r="E18" t="str">
        <f>IF(D18="first", MATCH("last", $D18:$D$510, 0), "")</f>
        <v/>
      </c>
      <c r="F18" t="str">
        <f t="shared" ca="1" si="2"/>
        <v/>
      </c>
      <c r="G18" s="15" t="str">
        <f t="shared" si="3"/>
        <v>157,</v>
      </c>
    </row>
    <row r="19" spans="1:7" x14ac:dyDescent="0.35">
      <c r="A19">
        <v>158</v>
      </c>
      <c r="B19" t="s">
        <v>360</v>
      </c>
      <c r="C19" t="str">
        <f t="shared" si="0"/>
        <v>ACH</v>
      </c>
      <c r="D19" t="str">
        <f t="shared" si="1"/>
        <v>mid</v>
      </c>
      <c r="E19" t="str">
        <f>IF(D19="first", MATCH("last", $D19:$D$510, 0), "")</f>
        <v/>
      </c>
      <c r="F19" t="str">
        <f t="shared" ca="1" si="2"/>
        <v/>
      </c>
      <c r="G19" s="15" t="str">
        <f t="shared" si="3"/>
        <v>158,</v>
      </c>
    </row>
    <row r="20" spans="1:7" x14ac:dyDescent="0.35">
      <c r="A20">
        <v>159</v>
      </c>
      <c r="B20" t="s">
        <v>361</v>
      </c>
      <c r="C20" t="str">
        <f t="shared" si="0"/>
        <v>ACH</v>
      </c>
      <c r="D20" t="str">
        <f t="shared" si="1"/>
        <v>mid</v>
      </c>
      <c r="E20" t="str">
        <f>IF(D20="first", MATCH("last", $D20:$D$510, 0), "")</f>
        <v/>
      </c>
      <c r="F20" t="str">
        <f t="shared" ca="1" si="2"/>
        <v/>
      </c>
      <c r="G20" s="15" t="str">
        <f t="shared" si="3"/>
        <v>159,</v>
      </c>
    </row>
    <row r="21" spans="1:7" x14ac:dyDescent="0.35">
      <c r="A21">
        <v>160</v>
      </c>
      <c r="B21" t="s">
        <v>362</v>
      </c>
      <c r="C21" t="str">
        <f t="shared" si="0"/>
        <v>ACH</v>
      </c>
      <c r="D21" t="str">
        <f t="shared" si="1"/>
        <v>mid</v>
      </c>
      <c r="E21" t="str">
        <f>IF(D21="first", MATCH("last", $D21:$D$510, 0), "")</f>
        <v/>
      </c>
      <c r="F21" t="str">
        <f t="shared" ca="1" si="2"/>
        <v/>
      </c>
      <c r="G21" s="15" t="str">
        <f t="shared" si="3"/>
        <v>160,</v>
      </c>
    </row>
    <row r="22" spans="1:7" x14ac:dyDescent="0.35">
      <c r="A22">
        <v>161</v>
      </c>
      <c r="B22" t="s">
        <v>363</v>
      </c>
      <c r="C22" t="str">
        <f t="shared" si="0"/>
        <v>ACH</v>
      </c>
      <c r="D22" t="str">
        <f t="shared" si="1"/>
        <v>last</v>
      </c>
      <c r="E22" t="str">
        <f>IF(D22="first", MATCH("last", $D22:$D$510, 0), "")</f>
        <v/>
      </c>
      <c r="F22" t="str">
        <f t="shared" ca="1" si="2"/>
        <v/>
      </c>
      <c r="G22" s="15">
        <f t="shared" si="3"/>
        <v>161</v>
      </c>
    </row>
    <row r="23" spans="1:7" x14ac:dyDescent="0.35">
      <c r="A23">
        <v>80</v>
      </c>
      <c r="B23" t="s">
        <v>364</v>
      </c>
      <c r="C23" t="str">
        <f t="shared" si="0"/>
        <v>ARD</v>
      </c>
      <c r="D23" t="str">
        <f t="shared" si="1"/>
        <v>first</v>
      </c>
      <c r="E23">
        <f>IF(D23="first", MATCH("last", $D23:$D$510, 0), "")</f>
        <v>15</v>
      </c>
      <c r="F23" t="str">
        <f t="shared" ca="1" si="2"/>
        <v>80,81,82,83,84,85,86,87,88,89,90,91,92,93,94</v>
      </c>
      <c r="G23" s="15" t="str">
        <f t="shared" si="3"/>
        <v>80,</v>
      </c>
    </row>
    <row r="24" spans="1:7" x14ac:dyDescent="0.35">
      <c r="A24">
        <v>81</v>
      </c>
      <c r="B24" t="s">
        <v>365</v>
      </c>
      <c r="C24" t="str">
        <f t="shared" si="0"/>
        <v>ARD</v>
      </c>
      <c r="D24" t="str">
        <f t="shared" si="1"/>
        <v>mid</v>
      </c>
      <c r="E24" t="str">
        <f>IF(D24="first", MATCH("last", $D24:$D$510, 0), "")</f>
        <v/>
      </c>
      <c r="F24" t="str">
        <f t="shared" ca="1" si="2"/>
        <v/>
      </c>
      <c r="G24" s="15" t="str">
        <f t="shared" si="3"/>
        <v>81,</v>
      </c>
    </row>
    <row r="25" spans="1:7" x14ac:dyDescent="0.35">
      <c r="A25">
        <v>82</v>
      </c>
      <c r="B25" t="s">
        <v>366</v>
      </c>
      <c r="C25" t="str">
        <f t="shared" si="0"/>
        <v>ARD</v>
      </c>
      <c r="D25" t="str">
        <f t="shared" si="1"/>
        <v>mid</v>
      </c>
      <c r="E25" t="str">
        <f>IF(D25="first", MATCH("last", $D25:$D$510, 0), "")</f>
        <v/>
      </c>
      <c r="F25" t="str">
        <f t="shared" ca="1" si="2"/>
        <v/>
      </c>
      <c r="G25" s="15" t="str">
        <f t="shared" si="3"/>
        <v>82,</v>
      </c>
    </row>
    <row r="26" spans="1:7" x14ac:dyDescent="0.35">
      <c r="A26">
        <v>83</v>
      </c>
      <c r="B26" t="s">
        <v>367</v>
      </c>
      <c r="C26" t="str">
        <f t="shared" si="0"/>
        <v>ARD</v>
      </c>
      <c r="D26" t="str">
        <f t="shared" si="1"/>
        <v>mid</v>
      </c>
      <c r="E26" t="str">
        <f>IF(D26="first", MATCH("last", $D26:$D$510, 0), "")</f>
        <v/>
      </c>
      <c r="F26" t="str">
        <f t="shared" ca="1" si="2"/>
        <v/>
      </c>
      <c r="G26" s="15" t="str">
        <f t="shared" si="3"/>
        <v>83,</v>
      </c>
    </row>
    <row r="27" spans="1:7" x14ac:dyDescent="0.35">
      <c r="A27">
        <v>84</v>
      </c>
      <c r="B27" t="s">
        <v>368</v>
      </c>
      <c r="C27" t="str">
        <f t="shared" si="0"/>
        <v>ARD</v>
      </c>
      <c r="D27" t="str">
        <f t="shared" si="1"/>
        <v>mid</v>
      </c>
      <c r="E27" t="str">
        <f>IF(D27="first", MATCH("last", $D27:$D$510, 0), "")</f>
        <v/>
      </c>
      <c r="F27" t="str">
        <f t="shared" ca="1" si="2"/>
        <v/>
      </c>
      <c r="G27" s="15" t="str">
        <f t="shared" si="3"/>
        <v>84,</v>
      </c>
    </row>
    <row r="28" spans="1:7" x14ac:dyDescent="0.35">
      <c r="A28">
        <v>85</v>
      </c>
      <c r="B28" t="s">
        <v>369</v>
      </c>
      <c r="C28" t="str">
        <f t="shared" si="0"/>
        <v>ARD</v>
      </c>
      <c r="D28" t="str">
        <f t="shared" si="1"/>
        <v>mid</v>
      </c>
      <c r="E28" t="str">
        <f>IF(D28="first", MATCH("last", $D28:$D$510, 0), "")</f>
        <v/>
      </c>
      <c r="F28" t="str">
        <f t="shared" ca="1" si="2"/>
        <v/>
      </c>
      <c r="G28" s="15" t="str">
        <f t="shared" si="3"/>
        <v>85,</v>
      </c>
    </row>
    <row r="29" spans="1:7" x14ac:dyDescent="0.35">
      <c r="A29">
        <v>86</v>
      </c>
      <c r="B29" t="s">
        <v>370</v>
      </c>
      <c r="C29" t="str">
        <f t="shared" si="0"/>
        <v>ARD</v>
      </c>
      <c r="D29" t="str">
        <f t="shared" si="1"/>
        <v>mid</v>
      </c>
      <c r="E29" t="str">
        <f>IF(D29="first", MATCH("last", $D29:$D$510, 0), "")</f>
        <v/>
      </c>
      <c r="F29" t="str">
        <f t="shared" ca="1" si="2"/>
        <v/>
      </c>
      <c r="G29" s="15" t="str">
        <f t="shared" si="3"/>
        <v>86,</v>
      </c>
    </row>
    <row r="30" spans="1:7" x14ac:dyDescent="0.35">
      <c r="A30">
        <v>87</v>
      </c>
      <c r="B30" t="s">
        <v>371</v>
      </c>
      <c r="C30" t="str">
        <f t="shared" si="0"/>
        <v>ARD</v>
      </c>
      <c r="D30" t="str">
        <f t="shared" si="1"/>
        <v>mid</v>
      </c>
      <c r="E30" t="str">
        <f>IF(D30="first", MATCH("last", $D30:$D$510, 0), "")</f>
        <v/>
      </c>
      <c r="F30" t="str">
        <f t="shared" ca="1" si="2"/>
        <v/>
      </c>
      <c r="G30" s="15" t="str">
        <f t="shared" si="3"/>
        <v>87,</v>
      </c>
    </row>
    <row r="31" spans="1:7" x14ac:dyDescent="0.35">
      <c r="A31">
        <v>88</v>
      </c>
      <c r="B31" t="s">
        <v>372</v>
      </c>
      <c r="C31" t="str">
        <f t="shared" si="0"/>
        <v>ARD</v>
      </c>
      <c r="D31" t="str">
        <f t="shared" si="1"/>
        <v>mid</v>
      </c>
      <c r="E31" t="str">
        <f>IF(D31="first", MATCH("last", $D31:$D$510, 0), "")</f>
        <v/>
      </c>
      <c r="F31" t="str">
        <f t="shared" ca="1" si="2"/>
        <v/>
      </c>
      <c r="G31" s="15" t="str">
        <f t="shared" si="3"/>
        <v>88,</v>
      </c>
    </row>
    <row r="32" spans="1:7" x14ac:dyDescent="0.35">
      <c r="A32">
        <v>89</v>
      </c>
      <c r="B32" t="s">
        <v>373</v>
      </c>
      <c r="C32" t="str">
        <f t="shared" si="0"/>
        <v>ARD</v>
      </c>
      <c r="D32" t="str">
        <f t="shared" si="1"/>
        <v>mid</v>
      </c>
      <c r="E32" t="str">
        <f>IF(D32="first", MATCH("last", $D32:$D$510, 0), "")</f>
        <v/>
      </c>
      <c r="F32" t="str">
        <f t="shared" ca="1" si="2"/>
        <v/>
      </c>
      <c r="G32" s="15" t="str">
        <f t="shared" si="3"/>
        <v>89,</v>
      </c>
    </row>
    <row r="33" spans="1:7" x14ac:dyDescent="0.35">
      <c r="A33">
        <v>90</v>
      </c>
      <c r="B33" t="s">
        <v>374</v>
      </c>
      <c r="C33" t="str">
        <f t="shared" si="0"/>
        <v>ARD</v>
      </c>
      <c r="D33" t="str">
        <f t="shared" si="1"/>
        <v>mid</v>
      </c>
      <c r="E33" t="str">
        <f>IF(D33="first", MATCH("last", $D33:$D$510, 0), "")</f>
        <v/>
      </c>
      <c r="F33" t="str">
        <f t="shared" ca="1" si="2"/>
        <v/>
      </c>
      <c r="G33" s="15" t="str">
        <f t="shared" si="3"/>
        <v>90,</v>
      </c>
    </row>
    <row r="34" spans="1:7" x14ac:dyDescent="0.35">
      <c r="A34">
        <v>91</v>
      </c>
      <c r="B34" t="s">
        <v>375</v>
      </c>
      <c r="C34" t="str">
        <f t="shared" si="0"/>
        <v>ARD</v>
      </c>
      <c r="D34" t="str">
        <f t="shared" si="1"/>
        <v>mid</v>
      </c>
      <c r="E34" t="str">
        <f>IF(D34="first", MATCH("last", $D34:$D$510, 0), "")</f>
        <v/>
      </c>
      <c r="F34" t="str">
        <f t="shared" ca="1" si="2"/>
        <v/>
      </c>
      <c r="G34" s="15" t="str">
        <f t="shared" si="3"/>
        <v>91,</v>
      </c>
    </row>
    <row r="35" spans="1:7" x14ac:dyDescent="0.35">
      <c r="A35">
        <v>92</v>
      </c>
      <c r="B35" t="s">
        <v>376</v>
      </c>
      <c r="C35" t="str">
        <f t="shared" si="0"/>
        <v>ARD</v>
      </c>
      <c r="D35" t="str">
        <f t="shared" si="1"/>
        <v>mid</v>
      </c>
      <c r="E35" t="str">
        <f>IF(D35="first", MATCH("last", $D35:$D$510, 0), "")</f>
        <v/>
      </c>
      <c r="F35" t="str">
        <f t="shared" ca="1" si="2"/>
        <v/>
      </c>
      <c r="G35" s="15" t="str">
        <f t="shared" si="3"/>
        <v>92,</v>
      </c>
    </row>
    <row r="36" spans="1:7" x14ac:dyDescent="0.35">
      <c r="A36">
        <v>93</v>
      </c>
      <c r="B36" t="s">
        <v>377</v>
      </c>
      <c r="C36" t="str">
        <f t="shared" si="0"/>
        <v>ARD</v>
      </c>
      <c r="D36" t="str">
        <f t="shared" si="1"/>
        <v>mid</v>
      </c>
      <c r="E36" t="str">
        <f>IF(D36="first", MATCH("last", $D36:$D$510, 0), "")</f>
        <v/>
      </c>
      <c r="F36" t="str">
        <f t="shared" ca="1" si="2"/>
        <v/>
      </c>
      <c r="G36" s="15" t="str">
        <f t="shared" si="3"/>
        <v>93,</v>
      </c>
    </row>
    <row r="37" spans="1:7" x14ac:dyDescent="0.35">
      <c r="A37">
        <v>94</v>
      </c>
      <c r="B37" t="s">
        <v>378</v>
      </c>
      <c r="C37" t="str">
        <f t="shared" si="0"/>
        <v>ARD</v>
      </c>
      <c r="D37" t="str">
        <f t="shared" si="1"/>
        <v>last</v>
      </c>
      <c r="E37" t="str">
        <f>IF(D37="first", MATCH("last", $D37:$D$510, 0), "")</f>
        <v/>
      </c>
      <c r="F37" t="str">
        <f t="shared" ca="1" si="2"/>
        <v/>
      </c>
      <c r="G37" s="15">
        <f t="shared" si="3"/>
        <v>94</v>
      </c>
    </row>
    <row r="38" spans="1:7" x14ac:dyDescent="0.35">
      <c r="A38">
        <v>224</v>
      </c>
      <c r="B38" t="s">
        <v>379</v>
      </c>
      <c r="C38" t="str">
        <f t="shared" si="0"/>
        <v>BEA</v>
      </c>
      <c r="D38" t="str">
        <f t="shared" si="1"/>
        <v>first</v>
      </c>
      <c r="E38">
        <f>IF(D38="first", MATCH("last", $D38:$D$510, 0), "")</f>
        <v>16</v>
      </c>
      <c r="F38" t="str">
        <f t="shared" ca="1" si="2"/>
        <v>224,225,226,227,228,229,230,231,232,233,234,235,236,237,238,239</v>
      </c>
      <c r="G38" s="15" t="str">
        <f t="shared" si="3"/>
        <v>224,</v>
      </c>
    </row>
    <row r="39" spans="1:7" x14ac:dyDescent="0.35">
      <c r="A39">
        <v>225</v>
      </c>
      <c r="B39" t="s">
        <v>380</v>
      </c>
      <c r="C39" t="str">
        <f t="shared" si="0"/>
        <v>BEA</v>
      </c>
      <c r="D39" t="str">
        <f t="shared" si="1"/>
        <v>mid</v>
      </c>
      <c r="E39" t="str">
        <f>IF(D39="first", MATCH("last", $D39:$D$510, 0), "")</f>
        <v/>
      </c>
      <c r="F39" t="str">
        <f t="shared" ca="1" si="2"/>
        <v/>
      </c>
      <c r="G39" s="15" t="str">
        <f t="shared" si="3"/>
        <v>225,</v>
      </c>
    </row>
    <row r="40" spans="1:7" x14ac:dyDescent="0.35">
      <c r="A40">
        <v>226</v>
      </c>
      <c r="B40" t="s">
        <v>381</v>
      </c>
      <c r="C40" t="str">
        <f t="shared" si="0"/>
        <v>BEA</v>
      </c>
      <c r="D40" t="str">
        <f t="shared" si="1"/>
        <v>mid</v>
      </c>
      <c r="E40" t="str">
        <f>IF(D40="first", MATCH("last", $D40:$D$510, 0), "")</f>
        <v/>
      </c>
      <c r="F40" t="str">
        <f t="shared" ca="1" si="2"/>
        <v/>
      </c>
      <c r="G40" s="15" t="str">
        <f t="shared" si="3"/>
        <v>226,</v>
      </c>
    </row>
    <row r="41" spans="1:7" x14ac:dyDescent="0.35">
      <c r="A41">
        <v>227</v>
      </c>
      <c r="B41" t="s">
        <v>382</v>
      </c>
      <c r="C41" t="str">
        <f t="shared" si="0"/>
        <v>BEA</v>
      </c>
      <c r="D41" t="str">
        <f t="shared" si="1"/>
        <v>mid</v>
      </c>
      <c r="E41" t="str">
        <f>IF(D41="first", MATCH("last", $D41:$D$510, 0), "")</f>
        <v/>
      </c>
      <c r="F41" t="str">
        <f t="shared" ca="1" si="2"/>
        <v/>
      </c>
      <c r="G41" s="15" t="str">
        <f t="shared" si="3"/>
        <v>227,</v>
      </c>
    </row>
    <row r="42" spans="1:7" x14ac:dyDescent="0.35">
      <c r="A42">
        <v>228</v>
      </c>
      <c r="B42" t="s">
        <v>383</v>
      </c>
      <c r="C42" t="str">
        <f t="shared" si="0"/>
        <v>BEA</v>
      </c>
      <c r="D42" t="str">
        <f t="shared" si="1"/>
        <v>mid</v>
      </c>
      <c r="E42" t="str">
        <f>IF(D42="first", MATCH("last", $D42:$D$510, 0), "")</f>
        <v/>
      </c>
      <c r="F42" t="str">
        <f t="shared" ca="1" si="2"/>
        <v/>
      </c>
      <c r="G42" s="15" t="str">
        <f t="shared" si="3"/>
        <v>228,</v>
      </c>
    </row>
    <row r="43" spans="1:7" x14ac:dyDescent="0.35">
      <c r="A43">
        <v>229</v>
      </c>
      <c r="B43" t="s">
        <v>384</v>
      </c>
      <c r="C43" t="str">
        <f t="shared" si="0"/>
        <v>BEA</v>
      </c>
      <c r="D43" t="str">
        <f t="shared" si="1"/>
        <v>mid</v>
      </c>
      <c r="E43" t="str">
        <f>IF(D43="first", MATCH("last", $D43:$D$510, 0), "")</f>
        <v/>
      </c>
      <c r="F43" t="str">
        <f t="shared" ca="1" si="2"/>
        <v/>
      </c>
      <c r="G43" s="15" t="str">
        <f t="shared" si="3"/>
        <v>229,</v>
      </c>
    </row>
    <row r="44" spans="1:7" x14ac:dyDescent="0.35">
      <c r="A44">
        <v>230</v>
      </c>
      <c r="B44" t="s">
        <v>385</v>
      </c>
      <c r="C44" t="str">
        <f t="shared" si="0"/>
        <v>BEA</v>
      </c>
      <c r="D44" t="str">
        <f t="shared" si="1"/>
        <v>mid</v>
      </c>
      <c r="E44" t="str">
        <f>IF(D44="first", MATCH("last", $D44:$D$510, 0), "")</f>
        <v/>
      </c>
      <c r="F44" t="str">
        <f t="shared" ca="1" si="2"/>
        <v/>
      </c>
      <c r="G44" s="15" t="str">
        <f t="shared" si="3"/>
        <v>230,</v>
      </c>
    </row>
    <row r="45" spans="1:7" x14ac:dyDescent="0.35">
      <c r="A45">
        <v>231</v>
      </c>
      <c r="B45" t="s">
        <v>386</v>
      </c>
      <c r="C45" t="str">
        <f t="shared" si="0"/>
        <v>BEA</v>
      </c>
      <c r="D45" t="str">
        <f t="shared" si="1"/>
        <v>mid</v>
      </c>
      <c r="E45" t="str">
        <f>IF(D45="first", MATCH("last", $D45:$D$510, 0), "")</f>
        <v/>
      </c>
      <c r="F45" t="str">
        <f t="shared" ca="1" si="2"/>
        <v/>
      </c>
      <c r="G45" s="15" t="str">
        <f t="shared" si="3"/>
        <v>231,</v>
      </c>
    </row>
    <row r="46" spans="1:7" x14ac:dyDescent="0.35">
      <c r="A46">
        <v>232</v>
      </c>
      <c r="B46" t="s">
        <v>387</v>
      </c>
      <c r="C46" t="str">
        <f t="shared" si="0"/>
        <v>BEA</v>
      </c>
      <c r="D46" t="str">
        <f t="shared" si="1"/>
        <v>mid</v>
      </c>
      <c r="E46" t="str">
        <f>IF(D46="first", MATCH("last", $D46:$D$510, 0), "")</f>
        <v/>
      </c>
      <c r="F46" t="str">
        <f t="shared" ca="1" si="2"/>
        <v/>
      </c>
      <c r="G46" s="15" t="str">
        <f t="shared" si="3"/>
        <v>232,</v>
      </c>
    </row>
    <row r="47" spans="1:7" x14ac:dyDescent="0.35">
      <c r="A47">
        <v>233</v>
      </c>
      <c r="B47" t="s">
        <v>388</v>
      </c>
      <c r="C47" t="str">
        <f t="shared" si="0"/>
        <v>BEA</v>
      </c>
      <c r="D47" t="str">
        <f t="shared" si="1"/>
        <v>mid</v>
      </c>
      <c r="E47" t="str">
        <f>IF(D47="first", MATCH("last", $D47:$D$510, 0), "")</f>
        <v/>
      </c>
      <c r="F47" t="str">
        <f t="shared" ca="1" si="2"/>
        <v/>
      </c>
      <c r="G47" s="15" t="str">
        <f t="shared" si="3"/>
        <v>233,</v>
      </c>
    </row>
    <row r="48" spans="1:7" x14ac:dyDescent="0.35">
      <c r="A48">
        <v>234</v>
      </c>
      <c r="B48" t="s">
        <v>389</v>
      </c>
      <c r="C48" t="str">
        <f t="shared" si="0"/>
        <v>BEA</v>
      </c>
      <c r="D48" t="str">
        <f t="shared" si="1"/>
        <v>mid</v>
      </c>
      <c r="E48" t="str">
        <f>IF(D48="first", MATCH("last", $D48:$D$510, 0), "")</f>
        <v/>
      </c>
      <c r="F48" t="str">
        <f t="shared" ca="1" si="2"/>
        <v/>
      </c>
      <c r="G48" s="15" t="str">
        <f t="shared" si="3"/>
        <v>234,</v>
      </c>
    </row>
    <row r="49" spans="1:7" x14ac:dyDescent="0.35">
      <c r="A49">
        <v>235</v>
      </c>
      <c r="B49" t="s">
        <v>390</v>
      </c>
      <c r="C49" t="str">
        <f t="shared" si="0"/>
        <v>BEA</v>
      </c>
      <c r="D49" t="str">
        <f t="shared" si="1"/>
        <v>mid</v>
      </c>
      <c r="E49" t="str">
        <f>IF(D49="first", MATCH("last", $D49:$D$510, 0), "")</f>
        <v/>
      </c>
      <c r="F49" t="str">
        <f t="shared" ca="1" si="2"/>
        <v/>
      </c>
      <c r="G49" s="15" t="str">
        <f t="shared" si="3"/>
        <v>235,</v>
      </c>
    </row>
    <row r="50" spans="1:7" x14ac:dyDescent="0.35">
      <c r="A50">
        <v>236</v>
      </c>
      <c r="B50" t="s">
        <v>391</v>
      </c>
      <c r="C50" t="str">
        <f t="shared" si="0"/>
        <v>BEA</v>
      </c>
      <c r="D50" t="str">
        <f t="shared" si="1"/>
        <v>mid</v>
      </c>
      <c r="E50" t="str">
        <f>IF(D50="first", MATCH("last", $D50:$D$510, 0), "")</f>
        <v/>
      </c>
      <c r="F50" t="str">
        <f t="shared" ca="1" si="2"/>
        <v/>
      </c>
      <c r="G50" s="15" t="str">
        <f t="shared" si="3"/>
        <v>236,</v>
      </c>
    </row>
    <row r="51" spans="1:7" x14ac:dyDescent="0.35">
      <c r="A51">
        <v>237</v>
      </c>
      <c r="B51" t="s">
        <v>392</v>
      </c>
      <c r="C51" t="str">
        <f t="shared" si="0"/>
        <v>BEA</v>
      </c>
      <c r="D51" t="str">
        <f t="shared" si="1"/>
        <v>mid</v>
      </c>
      <c r="E51" t="str">
        <f>IF(D51="first", MATCH("last", $D51:$D$510, 0), "")</f>
        <v/>
      </c>
      <c r="F51" t="str">
        <f t="shared" ca="1" si="2"/>
        <v/>
      </c>
      <c r="G51" s="15" t="str">
        <f t="shared" si="3"/>
        <v>237,</v>
      </c>
    </row>
    <row r="52" spans="1:7" x14ac:dyDescent="0.35">
      <c r="A52">
        <v>238</v>
      </c>
      <c r="B52" t="s">
        <v>393</v>
      </c>
      <c r="C52" t="str">
        <f t="shared" si="0"/>
        <v>BEA</v>
      </c>
      <c r="D52" t="str">
        <f t="shared" si="1"/>
        <v>mid</v>
      </c>
      <c r="E52" t="str">
        <f>IF(D52="first", MATCH("last", $D52:$D$510, 0), "")</f>
        <v/>
      </c>
      <c r="F52" t="str">
        <f t="shared" ca="1" si="2"/>
        <v/>
      </c>
      <c r="G52" s="15" t="str">
        <f t="shared" si="3"/>
        <v>238,</v>
      </c>
    </row>
    <row r="53" spans="1:7" x14ac:dyDescent="0.35">
      <c r="A53">
        <v>239</v>
      </c>
      <c r="B53" t="s">
        <v>394</v>
      </c>
      <c r="C53" t="str">
        <f t="shared" si="0"/>
        <v>BEA</v>
      </c>
      <c r="D53" t="str">
        <f t="shared" si="1"/>
        <v>last</v>
      </c>
      <c r="E53" t="str">
        <f>IF(D53="first", MATCH("last", $D53:$D$510, 0), "")</f>
        <v/>
      </c>
      <c r="F53" t="str">
        <f t="shared" ca="1" si="2"/>
        <v/>
      </c>
      <c r="G53" s="15">
        <f t="shared" si="3"/>
        <v>239</v>
      </c>
    </row>
    <row r="54" spans="1:7" x14ac:dyDescent="0.35">
      <c r="A54">
        <v>240</v>
      </c>
      <c r="B54" t="s">
        <v>395</v>
      </c>
      <c r="C54" t="str">
        <f t="shared" si="0"/>
        <v>BEI</v>
      </c>
      <c r="D54" t="str">
        <f t="shared" si="1"/>
        <v>first</v>
      </c>
      <c r="E54">
        <f>IF(D54="first", MATCH("last", $D54:$D$510, 0), "")</f>
        <v>14</v>
      </c>
      <c r="F54" t="str">
        <f t="shared" ca="1" si="2"/>
        <v>240,241,242,243,244,245,246,247,248,249,250,251,252,253</v>
      </c>
      <c r="G54" s="15" t="str">
        <f t="shared" si="3"/>
        <v>240,</v>
      </c>
    </row>
    <row r="55" spans="1:7" x14ac:dyDescent="0.35">
      <c r="A55">
        <v>241</v>
      </c>
      <c r="B55" t="s">
        <v>396</v>
      </c>
      <c r="C55" t="str">
        <f t="shared" si="0"/>
        <v>BEI</v>
      </c>
      <c r="D55" t="str">
        <f t="shared" si="1"/>
        <v>mid</v>
      </c>
      <c r="E55" t="str">
        <f>IF(D55="first", MATCH("last", $D55:$D$510, 0), "")</f>
        <v/>
      </c>
      <c r="F55" t="str">
        <f t="shared" ca="1" si="2"/>
        <v/>
      </c>
      <c r="G55" s="15" t="str">
        <f t="shared" si="3"/>
        <v>241,</v>
      </c>
    </row>
    <row r="56" spans="1:7" x14ac:dyDescent="0.35">
      <c r="A56">
        <v>242</v>
      </c>
      <c r="B56" t="s">
        <v>397</v>
      </c>
      <c r="C56" t="str">
        <f t="shared" si="0"/>
        <v>BEI</v>
      </c>
      <c r="D56" t="str">
        <f t="shared" si="1"/>
        <v>mid</v>
      </c>
      <c r="E56" t="str">
        <f>IF(D56="first", MATCH("last", $D56:$D$510, 0), "")</f>
        <v/>
      </c>
      <c r="F56" t="str">
        <f t="shared" ca="1" si="2"/>
        <v/>
      </c>
      <c r="G56" s="15" t="str">
        <f t="shared" si="3"/>
        <v>242,</v>
      </c>
    </row>
    <row r="57" spans="1:7" x14ac:dyDescent="0.35">
      <c r="A57">
        <v>243</v>
      </c>
      <c r="B57" t="s">
        <v>398</v>
      </c>
      <c r="C57" t="str">
        <f t="shared" si="0"/>
        <v>BEI</v>
      </c>
      <c r="D57" t="str">
        <f t="shared" si="1"/>
        <v>mid</v>
      </c>
      <c r="E57" t="str">
        <f>IF(D57="first", MATCH("last", $D57:$D$510, 0), "")</f>
        <v/>
      </c>
      <c r="F57" t="str">
        <f t="shared" ca="1" si="2"/>
        <v/>
      </c>
      <c r="G57" s="15" t="str">
        <f t="shared" si="3"/>
        <v>243,</v>
      </c>
    </row>
    <row r="58" spans="1:7" x14ac:dyDescent="0.35">
      <c r="A58">
        <v>244</v>
      </c>
      <c r="B58" t="s">
        <v>399</v>
      </c>
      <c r="C58" t="str">
        <f t="shared" si="0"/>
        <v>BEI</v>
      </c>
      <c r="D58" t="str">
        <f t="shared" si="1"/>
        <v>mid</v>
      </c>
      <c r="E58" t="str">
        <f>IF(D58="first", MATCH("last", $D58:$D$510, 0), "")</f>
        <v/>
      </c>
      <c r="F58" t="str">
        <f t="shared" ca="1" si="2"/>
        <v/>
      </c>
      <c r="G58" s="15" t="str">
        <f t="shared" si="3"/>
        <v>244,</v>
      </c>
    </row>
    <row r="59" spans="1:7" x14ac:dyDescent="0.35">
      <c r="A59">
        <v>245</v>
      </c>
      <c r="B59" t="s">
        <v>400</v>
      </c>
      <c r="C59" t="str">
        <f t="shared" si="0"/>
        <v>BEI</v>
      </c>
      <c r="D59" t="str">
        <f t="shared" si="1"/>
        <v>mid</v>
      </c>
      <c r="E59" t="str">
        <f>IF(D59="first", MATCH("last", $D59:$D$510, 0), "")</f>
        <v/>
      </c>
      <c r="F59" t="str">
        <f t="shared" ca="1" si="2"/>
        <v/>
      </c>
      <c r="G59" s="15" t="str">
        <f t="shared" si="3"/>
        <v>245,</v>
      </c>
    </row>
    <row r="60" spans="1:7" x14ac:dyDescent="0.35">
      <c r="A60">
        <v>246</v>
      </c>
      <c r="B60" t="s">
        <v>401</v>
      </c>
      <c r="C60" t="str">
        <f t="shared" si="0"/>
        <v>BEI</v>
      </c>
      <c r="D60" t="str">
        <f t="shared" si="1"/>
        <v>mid</v>
      </c>
      <c r="E60" t="str">
        <f>IF(D60="first", MATCH("last", $D60:$D$510, 0), "")</f>
        <v/>
      </c>
      <c r="F60" t="str">
        <f t="shared" ca="1" si="2"/>
        <v/>
      </c>
      <c r="G60" s="15" t="str">
        <f t="shared" si="3"/>
        <v>246,</v>
      </c>
    </row>
    <row r="61" spans="1:7" x14ac:dyDescent="0.35">
      <c r="A61">
        <v>247</v>
      </c>
      <c r="B61" t="s">
        <v>402</v>
      </c>
      <c r="C61" t="str">
        <f t="shared" si="0"/>
        <v>BEI</v>
      </c>
      <c r="D61" t="str">
        <f t="shared" si="1"/>
        <v>mid</v>
      </c>
      <c r="E61" t="str">
        <f>IF(D61="first", MATCH("last", $D61:$D$510, 0), "")</f>
        <v/>
      </c>
      <c r="F61" t="str">
        <f t="shared" ca="1" si="2"/>
        <v/>
      </c>
      <c r="G61" s="15" t="str">
        <f t="shared" si="3"/>
        <v>247,</v>
      </c>
    </row>
    <row r="62" spans="1:7" x14ac:dyDescent="0.35">
      <c r="A62">
        <v>248</v>
      </c>
      <c r="B62" t="s">
        <v>403</v>
      </c>
      <c r="C62" t="str">
        <f t="shared" si="0"/>
        <v>BEI</v>
      </c>
      <c r="D62" t="str">
        <f t="shared" si="1"/>
        <v>mid</v>
      </c>
      <c r="E62" t="str">
        <f>IF(D62="first", MATCH("last", $D62:$D$510, 0), "")</f>
        <v/>
      </c>
      <c r="F62" t="str">
        <f t="shared" ca="1" si="2"/>
        <v/>
      </c>
      <c r="G62" s="15" t="str">
        <f t="shared" si="3"/>
        <v>248,</v>
      </c>
    </row>
    <row r="63" spans="1:7" x14ac:dyDescent="0.35">
      <c r="A63">
        <v>249</v>
      </c>
      <c r="B63" t="s">
        <v>404</v>
      </c>
      <c r="C63" t="str">
        <f t="shared" si="0"/>
        <v>BEI</v>
      </c>
      <c r="D63" t="str">
        <f t="shared" si="1"/>
        <v>mid</v>
      </c>
      <c r="E63" t="str">
        <f>IF(D63="first", MATCH("last", $D63:$D$510, 0), "")</f>
        <v/>
      </c>
      <c r="F63" t="str">
        <f t="shared" ca="1" si="2"/>
        <v/>
      </c>
      <c r="G63" s="15" t="str">
        <f t="shared" si="3"/>
        <v>249,</v>
      </c>
    </row>
    <row r="64" spans="1:7" x14ac:dyDescent="0.35">
      <c r="A64">
        <v>250</v>
      </c>
      <c r="B64" t="s">
        <v>405</v>
      </c>
      <c r="C64" t="str">
        <f t="shared" si="0"/>
        <v>BEI</v>
      </c>
      <c r="D64" t="str">
        <f t="shared" si="1"/>
        <v>mid</v>
      </c>
      <c r="E64" t="str">
        <f>IF(D64="first", MATCH("last", $D64:$D$510, 0), "")</f>
        <v/>
      </c>
      <c r="F64" t="str">
        <f t="shared" ca="1" si="2"/>
        <v/>
      </c>
      <c r="G64" s="15" t="str">
        <f t="shared" si="3"/>
        <v>250,</v>
      </c>
    </row>
    <row r="65" spans="1:7" x14ac:dyDescent="0.35">
      <c r="A65">
        <v>251</v>
      </c>
      <c r="B65" t="s">
        <v>406</v>
      </c>
      <c r="C65" t="str">
        <f t="shared" si="0"/>
        <v>BEI</v>
      </c>
      <c r="D65" t="str">
        <f t="shared" si="1"/>
        <v>mid</v>
      </c>
      <c r="E65" t="str">
        <f>IF(D65="first", MATCH("last", $D65:$D$510, 0), "")</f>
        <v/>
      </c>
      <c r="F65" t="str">
        <f t="shared" ca="1" si="2"/>
        <v/>
      </c>
      <c r="G65" s="15" t="str">
        <f t="shared" si="3"/>
        <v>251,</v>
      </c>
    </row>
    <row r="66" spans="1:7" x14ac:dyDescent="0.35">
      <c r="A66">
        <v>252</v>
      </c>
      <c r="B66" t="s">
        <v>407</v>
      </c>
      <c r="C66" t="str">
        <f t="shared" si="0"/>
        <v>BEI</v>
      </c>
      <c r="D66" t="str">
        <f t="shared" si="1"/>
        <v>mid</v>
      </c>
      <c r="E66" t="str">
        <f>IF(D66="first", MATCH("last", $D66:$D$510, 0), "")</f>
        <v/>
      </c>
      <c r="F66" t="str">
        <f t="shared" ca="1" si="2"/>
        <v/>
      </c>
      <c r="G66" s="15" t="str">
        <f t="shared" si="3"/>
        <v>252,</v>
      </c>
    </row>
    <row r="67" spans="1:7" x14ac:dyDescent="0.35">
      <c r="A67">
        <v>253</v>
      </c>
      <c r="B67" t="s">
        <v>408</v>
      </c>
      <c r="C67" t="str">
        <f t="shared" ref="C67:C130" si="4">LEFT(B67, 3)</f>
        <v>BEI</v>
      </c>
      <c r="D67" t="str">
        <f t="shared" ref="D67:D130" si="5">IF(C67&lt;&gt;C66,"first",IF(C67&lt;&gt;C68,"last","mid"))</f>
        <v>last</v>
      </c>
      <c r="E67" t="str">
        <f>IF(D67="first", MATCH("last", $D67:$D$510, 0), "")</f>
        <v/>
      </c>
      <c r="F67" t="str">
        <f t="shared" ref="F67:F130" ca="1" si="6">IF(D67="first", _xlfn.CONCAT(INDIRECT(_xlfn.CONCAT(ADDRESS(ROW(G67), COLUMN(G67)), ":", ADDRESS(E67+ROW(G67)-1, COLUMN(G67))))), "")</f>
        <v/>
      </c>
      <c r="G67" s="15">
        <f t="shared" ref="G67:G130" si="7">IF(D67&lt;&gt;"last", _xlfn.CONCAT(A67, ","), A67)</f>
        <v>253</v>
      </c>
    </row>
    <row r="68" spans="1:7" x14ac:dyDescent="0.35">
      <c r="A68">
        <v>72</v>
      </c>
      <c r="B68" t="s">
        <v>409</v>
      </c>
      <c r="C68" t="str">
        <f t="shared" si="4"/>
        <v>BLD</v>
      </c>
      <c r="D68" t="str">
        <f t="shared" si="5"/>
        <v>first</v>
      </c>
      <c r="E68">
        <f>IF(D68="first", MATCH("last", $D68:$D$510, 0), "")</f>
        <v>3</v>
      </c>
      <c r="F68" t="str">
        <f t="shared" ca="1" si="6"/>
        <v>72,73,74</v>
      </c>
      <c r="G68" s="15" t="str">
        <f t="shared" si="7"/>
        <v>72,</v>
      </c>
    </row>
    <row r="69" spans="1:7" x14ac:dyDescent="0.35">
      <c r="A69">
        <v>73</v>
      </c>
      <c r="B69" t="s">
        <v>410</v>
      </c>
      <c r="C69" t="str">
        <f t="shared" si="4"/>
        <v>BLD</v>
      </c>
      <c r="D69" t="str">
        <f t="shared" si="5"/>
        <v>mid</v>
      </c>
      <c r="E69" t="str">
        <f>IF(D69="first", MATCH("last", $D69:$D$510, 0), "")</f>
        <v/>
      </c>
      <c r="F69" t="str">
        <f t="shared" ca="1" si="6"/>
        <v/>
      </c>
      <c r="G69" s="15" t="str">
        <f t="shared" si="7"/>
        <v>73,</v>
      </c>
    </row>
    <row r="70" spans="1:7" x14ac:dyDescent="0.35">
      <c r="A70">
        <v>74</v>
      </c>
      <c r="B70" t="s">
        <v>411</v>
      </c>
      <c r="C70" t="str">
        <f t="shared" si="4"/>
        <v>BLD</v>
      </c>
      <c r="D70" t="str">
        <f t="shared" si="5"/>
        <v>last</v>
      </c>
      <c r="E70" t="str">
        <f>IF(D70="first", MATCH("last", $D70:$D$510, 0), "")</f>
        <v/>
      </c>
      <c r="F70" t="str">
        <f t="shared" ca="1" si="6"/>
        <v/>
      </c>
      <c r="G70" s="15">
        <f t="shared" si="7"/>
        <v>74</v>
      </c>
    </row>
    <row r="71" spans="1:7" x14ac:dyDescent="0.35">
      <c r="A71">
        <v>254</v>
      </c>
      <c r="B71" t="s">
        <v>412</v>
      </c>
      <c r="C71" t="str">
        <f t="shared" si="4"/>
        <v>BRY</v>
      </c>
      <c r="D71" t="str">
        <f t="shared" si="5"/>
        <v>first</v>
      </c>
      <c r="E71">
        <f>IF(D71="first", MATCH("last", $D71:$D$510, 0), "")</f>
        <v>22</v>
      </c>
      <c r="F71" t="str">
        <f t="shared" ca="1" si="6"/>
        <v>254,255,256,257,258,259,260,261,262,263,264,265,266,267,268,269,270,271,272,273,274,275</v>
      </c>
      <c r="G71" s="15" t="str">
        <f t="shared" si="7"/>
        <v>254,</v>
      </c>
    </row>
    <row r="72" spans="1:7" x14ac:dyDescent="0.35">
      <c r="A72">
        <v>255</v>
      </c>
      <c r="B72" t="s">
        <v>413</v>
      </c>
      <c r="C72" t="str">
        <f t="shared" si="4"/>
        <v>BRY</v>
      </c>
      <c r="D72" t="str">
        <f t="shared" si="5"/>
        <v>mid</v>
      </c>
      <c r="E72" t="str">
        <f>IF(D72="first", MATCH("last", $D72:$D$510, 0), "")</f>
        <v/>
      </c>
      <c r="F72" t="str">
        <f t="shared" ca="1" si="6"/>
        <v/>
      </c>
      <c r="G72" s="15" t="str">
        <f t="shared" si="7"/>
        <v>255,</v>
      </c>
    </row>
    <row r="73" spans="1:7" x14ac:dyDescent="0.35">
      <c r="A73">
        <v>256</v>
      </c>
      <c r="B73" t="s">
        <v>414</v>
      </c>
      <c r="C73" t="str">
        <f t="shared" si="4"/>
        <v>BRY</v>
      </c>
      <c r="D73" t="str">
        <f t="shared" si="5"/>
        <v>mid</v>
      </c>
      <c r="E73" t="str">
        <f>IF(D73="first", MATCH("last", $D73:$D$510, 0), "")</f>
        <v/>
      </c>
      <c r="F73" t="str">
        <f t="shared" ca="1" si="6"/>
        <v/>
      </c>
      <c r="G73" s="15" t="str">
        <f t="shared" si="7"/>
        <v>256,</v>
      </c>
    </row>
    <row r="74" spans="1:7" x14ac:dyDescent="0.35">
      <c r="A74">
        <v>257</v>
      </c>
      <c r="B74" t="s">
        <v>415</v>
      </c>
      <c r="C74" t="str">
        <f t="shared" si="4"/>
        <v>BRY</v>
      </c>
      <c r="D74" t="str">
        <f t="shared" si="5"/>
        <v>mid</v>
      </c>
      <c r="E74" t="str">
        <f>IF(D74="first", MATCH("last", $D74:$D$510, 0), "")</f>
        <v/>
      </c>
      <c r="F74" t="str">
        <f t="shared" ca="1" si="6"/>
        <v/>
      </c>
      <c r="G74" s="15" t="str">
        <f t="shared" si="7"/>
        <v>257,</v>
      </c>
    </row>
    <row r="75" spans="1:7" x14ac:dyDescent="0.35">
      <c r="A75">
        <v>258</v>
      </c>
      <c r="B75" t="s">
        <v>416</v>
      </c>
      <c r="C75" t="str">
        <f t="shared" si="4"/>
        <v>BRY</v>
      </c>
      <c r="D75" t="str">
        <f t="shared" si="5"/>
        <v>mid</v>
      </c>
      <c r="E75" t="str">
        <f>IF(D75="first", MATCH("last", $D75:$D$510, 0), "")</f>
        <v/>
      </c>
      <c r="F75" t="str">
        <f t="shared" ca="1" si="6"/>
        <v/>
      </c>
      <c r="G75" s="15" t="str">
        <f t="shared" si="7"/>
        <v>258,</v>
      </c>
    </row>
    <row r="76" spans="1:7" x14ac:dyDescent="0.35">
      <c r="A76">
        <v>259</v>
      </c>
      <c r="B76" t="s">
        <v>417</v>
      </c>
      <c r="C76" t="str">
        <f t="shared" si="4"/>
        <v>BRY</v>
      </c>
      <c r="D76" t="str">
        <f t="shared" si="5"/>
        <v>mid</v>
      </c>
      <c r="E76" t="str">
        <f>IF(D76="first", MATCH("last", $D76:$D$510, 0), "")</f>
        <v/>
      </c>
      <c r="F76" t="str">
        <f t="shared" ca="1" si="6"/>
        <v/>
      </c>
      <c r="G76" s="15" t="str">
        <f t="shared" si="7"/>
        <v>259,</v>
      </c>
    </row>
    <row r="77" spans="1:7" x14ac:dyDescent="0.35">
      <c r="A77">
        <v>260</v>
      </c>
      <c r="B77" t="s">
        <v>418</v>
      </c>
      <c r="C77" t="str">
        <f t="shared" si="4"/>
        <v>BRY</v>
      </c>
      <c r="D77" t="str">
        <f t="shared" si="5"/>
        <v>mid</v>
      </c>
      <c r="E77" t="str">
        <f>IF(D77="first", MATCH("last", $D77:$D$510, 0), "")</f>
        <v/>
      </c>
      <c r="F77" t="str">
        <f t="shared" ca="1" si="6"/>
        <v/>
      </c>
      <c r="G77" s="15" t="str">
        <f t="shared" si="7"/>
        <v>260,</v>
      </c>
    </row>
    <row r="78" spans="1:7" x14ac:dyDescent="0.35">
      <c r="A78">
        <v>261</v>
      </c>
      <c r="B78" t="s">
        <v>419</v>
      </c>
      <c r="C78" t="str">
        <f t="shared" si="4"/>
        <v>BRY</v>
      </c>
      <c r="D78" t="str">
        <f t="shared" si="5"/>
        <v>mid</v>
      </c>
      <c r="E78" t="str">
        <f>IF(D78="first", MATCH("last", $D78:$D$510, 0), "")</f>
        <v/>
      </c>
      <c r="F78" t="str">
        <f t="shared" ca="1" si="6"/>
        <v/>
      </c>
      <c r="G78" s="15" t="str">
        <f t="shared" si="7"/>
        <v>261,</v>
      </c>
    </row>
    <row r="79" spans="1:7" x14ac:dyDescent="0.35">
      <c r="A79">
        <v>262</v>
      </c>
      <c r="B79" t="s">
        <v>420</v>
      </c>
      <c r="C79" t="str">
        <f t="shared" si="4"/>
        <v>BRY</v>
      </c>
      <c r="D79" t="str">
        <f t="shared" si="5"/>
        <v>mid</v>
      </c>
      <c r="E79" t="str">
        <f>IF(D79="first", MATCH("last", $D79:$D$510, 0), "")</f>
        <v/>
      </c>
      <c r="F79" t="str">
        <f t="shared" ca="1" si="6"/>
        <v/>
      </c>
      <c r="G79" s="15" t="str">
        <f t="shared" si="7"/>
        <v>262,</v>
      </c>
    </row>
    <row r="80" spans="1:7" x14ac:dyDescent="0.35">
      <c r="A80">
        <v>263</v>
      </c>
      <c r="B80" t="s">
        <v>421</v>
      </c>
      <c r="C80" t="str">
        <f t="shared" si="4"/>
        <v>BRY</v>
      </c>
      <c r="D80" t="str">
        <f t="shared" si="5"/>
        <v>mid</v>
      </c>
      <c r="E80" t="str">
        <f>IF(D80="first", MATCH("last", $D80:$D$510, 0), "")</f>
        <v/>
      </c>
      <c r="F80" t="str">
        <f t="shared" ca="1" si="6"/>
        <v/>
      </c>
      <c r="G80" s="15" t="str">
        <f t="shared" si="7"/>
        <v>263,</v>
      </c>
    </row>
    <row r="81" spans="1:7" x14ac:dyDescent="0.35">
      <c r="A81">
        <v>264</v>
      </c>
      <c r="B81" t="s">
        <v>422</v>
      </c>
      <c r="C81" t="str">
        <f t="shared" si="4"/>
        <v>BRY</v>
      </c>
      <c r="D81" t="str">
        <f t="shared" si="5"/>
        <v>mid</v>
      </c>
      <c r="E81" t="str">
        <f>IF(D81="first", MATCH("last", $D81:$D$510, 0), "")</f>
        <v/>
      </c>
      <c r="F81" t="str">
        <f t="shared" ca="1" si="6"/>
        <v/>
      </c>
      <c r="G81" s="15" t="str">
        <f t="shared" si="7"/>
        <v>264,</v>
      </c>
    </row>
    <row r="82" spans="1:7" x14ac:dyDescent="0.35">
      <c r="A82">
        <v>265</v>
      </c>
      <c r="B82" t="s">
        <v>423</v>
      </c>
      <c r="C82" t="str">
        <f t="shared" si="4"/>
        <v>BRY</v>
      </c>
      <c r="D82" t="str">
        <f t="shared" si="5"/>
        <v>mid</v>
      </c>
      <c r="E82" t="str">
        <f>IF(D82="first", MATCH("last", $D82:$D$510, 0), "")</f>
        <v/>
      </c>
      <c r="F82" t="str">
        <f t="shared" ca="1" si="6"/>
        <v/>
      </c>
      <c r="G82" s="15" t="str">
        <f t="shared" si="7"/>
        <v>265,</v>
      </c>
    </row>
    <row r="83" spans="1:7" x14ac:dyDescent="0.35">
      <c r="A83">
        <v>266</v>
      </c>
      <c r="B83" t="s">
        <v>424</v>
      </c>
      <c r="C83" t="str">
        <f t="shared" si="4"/>
        <v>BRY</v>
      </c>
      <c r="D83" t="str">
        <f t="shared" si="5"/>
        <v>mid</v>
      </c>
      <c r="E83" t="str">
        <f>IF(D83="first", MATCH("last", $D83:$D$510, 0), "")</f>
        <v/>
      </c>
      <c r="F83" t="str">
        <f t="shared" ca="1" si="6"/>
        <v/>
      </c>
      <c r="G83" s="15" t="str">
        <f t="shared" si="7"/>
        <v>266,</v>
      </c>
    </row>
    <row r="84" spans="1:7" x14ac:dyDescent="0.35">
      <c r="A84">
        <v>267</v>
      </c>
      <c r="B84" t="s">
        <v>425</v>
      </c>
      <c r="C84" t="str">
        <f t="shared" si="4"/>
        <v>BRY</v>
      </c>
      <c r="D84" t="str">
        <f t="shared" si="5"/>
        <v>mid</v>
      </c>
      <c r="E84" t="str">
        <f>IF(D84="first", MATCH("last", $D84:$D$510, 0), "")</f>
        <v/>
      </c>
      <c r="F84" t="str">
        <f t="shared" ca="1" si="6"/>
        <v/>
      </c>
      <c r="G84" s="15" t="str">
        <f t="shared" si="7"/>
        <v>267,</v>
      </c>
    </row>
    <row r="85" spans="1:7" x14ac:dyDescent="0.35">
      <c r="A85">
        <v>268</v>
      </c>
      <c r="B85" t="s">
        <v>426</v>
      </c>
      <c r="C85" t="str">
        <f t="shared" si="4"/>
        <v>BRY</v>
      </c>
      <c r="D85" t="str">
        <f t="shared" si="5"/>
        <v>mid</v>
      </c>
      <c r="E85" t="str">
        <f>IF(D85="first", MATCH("last", $D85:$D$510, 0), "")</f>
        <v/>
      </c>
      <c r="F85" t="str">
        <f t="shared" ca="1" si="6"/>
        <v/>
      </c>
      <c r="G85" s="15" t="str">
        <f t="shared" si="7"/>
        <v>268,</v>
      </c>
    </row>
    <row r="86" spans="1:7" x14ac:dyDescent="0.35">
      <c r="A86">
        <v>269</v>
      </c>
      <c r="B86" t="s">
        <v>427</v>
      </c>
      <c r="C86" t="str">
        <f t="shared" si="4"/>
        <v>BRY</v>
      </c>
      <c r="D86" t="str">
        <f t="shared" si="5"/>
        <v>mid</v>
      </c>
      <c r="E86" t="str">
        <f>IF(D86="first", MATCH("last", $D86:$D$510, 0), "")</f>
        <v/>
      </c>
      <c r="F86" t="str">
        <f t="shared" ca="1" si="6"/>
        <v/>
      </c>
      <c r="G86" s="15" t="str">
        <f t="shared" si="7"/>
        <v>269,</v>
      </c>
    </row>
    <row r="87" spans="1:7" x14ac:dyDescent="0.35">
      <c r="A87">
        <v>270</v>
      </c>
      <c r="B87" t="s">
        <v>428</v>
      </c>
      <c r="C87" t="str">
        <f t="shared" si="4"/>
        <v>BRY</v>
      </c>
      <c r="D87" t="str">
        <f t="shared" si="5"/>
        <v>mid</v>
      </c>
      <c r="E87" t="str">
        <f>IF(D87="first", MATCH("last", $D87:$D$510, 0), "")</f>
        <v/>
      </c>
      <c r="F87" t="str">
        <f t="shared" ca="1" si="6"/>
        <v/>
      </c>
      <c r="G87" s="15" t="str">
        <f t="shared" si="7"/>
        <v>270,</v>
      </c>
    </row>
    <row r="88" spans="1:7" x14ac:dyDescent="0.35">
      <c r="A88">
        <v>271</v>
      </c>
      <c r="B88" t="s">
        <v>429</v>
      </c>
      <c r="C88" t="str">
        <f t="shared" si="4"/>
        <v>BRY</v>
      </c>
      <c r="D88" t="str">
        <f t="shared" si="5"/>
        <v>mid</v>
      </c>
      <c r="E88" t="str">
        <f>IF(D88="first", MATCH("last", $D88:$D$510, 0), "")</f>
        <v/>
      </c>
      <c r="F88" t="str">
        <f t="shared" ca="1" si="6"/>
        <v/>
      </c>
      <c r="G88" s="15" t="str">
        <f t="shared" si="7"/>
        <v>271,</v>
      </c>
    </row>
    <row r="89" spans="1:7" x14ac:dyDescent="0.35">
      <c r="A89">
        <v>272</v>
      </c>
      <c r="B89" t="s">
        <v>430</v>
      </c>
      <c r="C89" t="str">
        <f t="shared" si="4"/>
        <v>BRY</v>
      </c>
      <c r="D89" t="str">
        <f t="shared" si="5"/>
        <v>mid</v>
      </c>
      <c r="E89" t="str">
        <f>IF(D89="first", MATCH("last", $D89:$D$510, 0), "")</f>
        <v/>
      </c>
      <c r="F89" t="str">
        <f t="shared" ca="1" si="6"/>
        <v/>
      </c>
      <c r="G89" s="15" t="str">
        <f t="shared" si="7"/>
        <v>272,</v>
      </c>
    </row>
    <row r="90" spans="1:7" x14ac:dyDescent="0.35">
      <c r="A90">
        <v>273</v>
      </c>
      <c r="B90" t="s">
        <v>431</v>
      </c>
      <c r="C90" t="str">
        <f t="shared" si="4"/>
        <v>BRY</v>
      </c>
      <c r="D90" t="str">
        <f t="shared" si="5"/>
        <v>mid</v>
      </c>
      <c r="E90" t="str">
        <f>IF(D90="first", MATCH("last", $D90:$D$510, 0), "")</f>
        <v/>
      </c>
      <c r="F90" t="str">
        <f t="shared" ca="1" si="6"/>
        <v/>
      </c>
      <c r="G90" s="15" t="str">
        <f t="shared" si="7"/>
        <v>273,</v>
      </c>
    </row>
    <row r="91" spans="1:7" x14ac:dyDescent="0.35">
      <c r="A91">
        <v>274</v>
      </c>
      <c r="B91" t="s">
        <v>432</v>
      </c>
      <c r="C91" t="str">
        <f t="shared" si="4"/>
        <v>BRY</v>
      </c>
      <c r="D91" t="str">
        <f t="shared" si="5"/>
        <v>mid</v>
      </c>
      <c r="E91" t="str">
        <f>IF(D91="first", MATCH("last", $D91:$D$510, 0), "")</f>
        <v/>
      </c>
      <c r="F91" t="str">
        <f t="shared" ca="1" si="6"/>
        <v/>
      </c>
      <c r="G91" s="15" t="str">
        <f t="shared" si="7"/>
        <v>274,</v>
      </c>
    </row>
    <row r="92" spans="1:7" x14ac:dyDescent="0.35">
      <c r="A92">
        <v>275</v>
      </c>
      <c r="B92" t="s">
        <v>433</v>
      </c>
      <c r="C92" t="str">
        <f t="shared" si="4"/>
        <v>BRY</v>
      </c>
      <c r="D92" t="str">
        <f t="shared" si="5"/>
        <v>last</v>
      </c>
      <c r="E92" t="str">
        <f>IF(D92="first", MATCH("last", $D92:$D$510, 0), "")</f>
        <v/>
      </c>
      <c r="F92" t="str">
        <f t="shared" ca="1" si="6"/>
        <v/>
      </c>
      <c r="G92" s="15">
        <f t="shared" si="7"/>
        <v>275</v>
      </c>
    </row>
    <row r="93" spans="1:7" x14ac:dyDescent="0.35">
      <c r="A93">
        <v>276</v>
      </c>
      <c r="B93" t="s">
        <v>434</v>
      </c>
      <c r="C93" t="str">
        <f t="shared" si="4"/>
        <v>CAR</v>
      </c>
      <c r="D93" t="str">
        <f t="shared" si="5"/>
        <v>first</v>
      </c>
      <c r="E93">
        <f>IF(D93="first", MATCH("last", $D93:$D$510, 0), "")</f>
        <v>56</v>
      </c>
      <c r="F93" t="str">
        <f t="shared" ca="1" si="6"/>
        <v>276,277,278,279,280,281,282,283,284,285,286,287,288,289,290,291,292,293,294,295,296,297,298,299,300,301,302,303,304,305,306,307,308,309,310,311,312,313,314,315,316,317,318,319,320,321,322,323,324,325,326,327,328,329,330,331</v>
      </c>
      <c r="G93" s="15" t="str">
        <f t="shared" si="7"/>
        <v>276,</v>
      </c>
    </row>
    <row r="94" spans="1:7" x14ac:dyDescent="0.35">
      <c r="A94">
        <v>277</v>
      </c>
      <c r="B94" t="s">
        <v>435</v>
      </c>
      <c r="C94" t="str">
        <f t="shared" si="4"/>
        <v>CAR</v>
      </c>
      <c r="D94" t="str">
        <f t="shared" si="5"/>
        <v>mid</v>
      </c>
      <c r="E94" t="str">
        <f>IF(D94="first", MATCH("last", $D94:$D$510, 0), "")</f>
        <v/>
      </c>
      <c r="F94" t="str">
        <f t="shared" ca="1" si="6"/>
        <v/>
      </c>
      <c r="G94" s="15" t="str">
        <f t="shared" si="7"/>
        <v>277,</v>
      </c>
    </row>
    <row r="95" spans="1:7" x14ac:dyDescent="0.35">
      <c r="A95">
        <v>278</v>
      </c>
      <c r="B95" t="s">
        <v>436</v>
      </c>
      <c r="C95" t="str">
        <f t="shared" si="4"/>
        <v>CAR</v>
      </c>
      <c r="D95" t="str">
        <f t="shared" si="5"/>
        <v>mid</v>
      </c>
      <c r="E95" t="str">
        <f>IF(D95="first", MATCH("last", $D95:$D$510, 0), "")</f>
        <v/>
      </c>
      <c r="F95" t="str">
        <f t="shared" ca="1" si="6"/>
        <v/>
      </c>
      <c r="G95" s="15" t="str">
        <f t="shared" si="7"/>
        <v>278,</v>
      </c>
    </row>
    <row r="96" spans="1:7" x14ac:dyDescent="0.35">
      <c r="A96">
        <v>279</v>
      </c>
      <c r="B96" t="s">
        <v>437</v>
      </c>
      <c r="C96" t="str">
        <f t="shared" si="4"/>
        <v>CAR</v>
      </c>
      <c r="D96" t="str">
        <f t="shared" si="5"/>
        <v>mid</v>
      </c>
      <c r="E96" t="str">
        <f>IF(D96="first", MATCH("last", $D96:$D$510, 0), "")</f>
        <v/>
      </c>
      <c r="F96" t="str">
        <f t="shared" ca="1" si="6"/>
        <v/>
      </c>
      <c r="G96" s="15" t="str">
        <f t="shared" si="7"/>
        <v>279,</v>
      </c>
    </row>
    <row r="97" spans="1:7" x14ac:dyDescent="0.35">
      <c r="A97">
        <v>280</v>
      </c>
      <c r="B97" t="s">
        <v>438</v>
      </c>
      <c r="C97" t="str">
        <f t="shared" si="4"/>
        <v>CAR</v>
      </c>
      <c r="D97" t="str">
        <f t="shared" si="5"/>
        <v>mid</v>
      </c>
      <c r="E97" t="str">
        <f>IF(D97="first", MATCH("last", $D97:$D$510, 0), "")</f>
        <v/>
      </c>
      <c r="F97" t="str">
        <f t="shared" ca="1" si="6"/>
        <v/>
      </c>
      <c r="G97" s="15" t="str">
        <f t="shared" si="7"/>
        <v>280,</v>
      </c>
    </row>
    <row r="98" spans="1:7" x14ac:dyDescent="0.35">
      <c r="A98">
        <v>281</v>
      </c>
      <c r="B98" t="s">
        <v>439</v>
      </c>
      <c r="C98" t="str">
        <f t="shared" si="4"/>
        <v>CAR</v>
      </c>
      <c r="D98" t="str">
        <f t="shared" si="5"/>
        <v>mid</v>
      </c>
      <c r="E98" t="str">
        <f>IF(D98="first", MATCH("last", $D98:$D$510, 0), "")</f>
        <v/>
      </c>
      <c r="F98" t="str">
        <f t="shared" ca="1" si="6"/>
        <v/>
      </c>
      <c r="G98" s="15" t="str">
        <f t="shared" si="7"/>
        <v>281,</v>
      </c>
    </row>
    <row r="99" spans="1:7" x14ac:dyDescent="0.35">
      <c r="A99">
        <v>282</v>
      </c>
      <c r="B99" t="s">
        <v>440</v>
      </c>
      <c r="C99" t="str">
        <f t="shared" si="4"/>
        <v>CAR</v>
      </c>
      <c r="D99" t="str">
        <f t="shared" si="5"/>
        <v>mid</v>
      </c>
      <c r="E99" t="str">
        <f>IF(D99="first", MATCH("last", $D99:$D$510, 0), "")</f>
        <v/>
      </c>
      <c r="F99" t="str">
        <f t="shared" ca="1" si="6"/>
        <v/>
      </c>
      <c r="G99" s="15" t="str">
        <f t="shared" si="7"/>
        <v>282,</v>
      </c>
    </row>
    <row r="100" spans="1:7" x14ac:dyDescent="0.35">
      <c r="A100">
        <v>283</v>
      </c>
      <c r="B100" t="s">
        <v>441</v>
      </c>
      <c r="C100" t="str">
        <f t="shared" si="4"/>
        <v>CAR</v>
      </c>
      <c r="D100" t="str">
        <f t="shared" si="5"/>
        <v>mid</v>
      </c>
      <c r="E100" t="str">
        <f>IF(D100="first", MATCH("last", $D100:$D$510, 0), "")</f>
        <v/>
      </c>
      <c r="F100" t="str">
        <f t="shared" ca="1" si="6"/>
        <v/>
      </c>
      <c r="G100" s="15" t="str">
        <f t="shared" si="7"/>
        <v>283,</v>
      </c>
    </row>
    <row r="101" spans="1:7" x14ac:dyDescent="0.35">
      <c r="A101">
        <v>284</v>
      </c>
      <c r="B101" t="s">
        <v>442</v>
      </c>
      <c r="C101" t="str">
        <f t="shared" si="4"/>
        <v>CAR</v>
      </c>
      <c r="D101" t="str">
        <f t="shared" si="5"/>
        <v>mid</v>
      </c>
      <c r="E101" t="str">
        <f>IF(D101="first", MATCH("last", $D101:$D$510, 0), "")</f>
        <v/>
      </c>
      <c r="F101" t="str">
        <f t="shared" ca="1" si="6"/>
        <v/>
      </c>
      <c r="G101" s="15" t="str">
        <f t="shared" si="7"/>
        <v>284,</v>
      </c>
    </row>
    <row r="102" spans="1:7" x14ac:dyDescent="0.35">
      <c r="A102">
        <v>285</v>
      </c>
      <c r="B102" t="s">
        <v>443</v>
      </c>
      <c r="C102" t="str">
        <f t="shared" si="4"/>
        <v>CAR</v>
      </c>
      <c r="D102" t="str">
        <f t="shared" si="5"/>
        <v>mid</v>
      </c>
      <c r="E102" t="str">
        <f>IF(D102="first", MATCH("last", $D102:$D$510, 0), "")</f>
        <v/>
      </c>
      <c r="F102" t="str">
        <f t="shared" ca="1" si="6"/>
        <v/>
      </c>
      <c r="G102" s="15" t="str">
        <f t="shared" si="7"/>
        <v>285,</v>
      </c>
    </row>
    <row r="103" spans="1:7" x14ac:dyDescent="0.35">
      <c r="A103">
        <v>286</v>
      </c>
      <c r="B103" t="s">
        <v>444</v>
      </c>
      <c r="C103" t="str">
        <f t="shared" si="4"/>
        <v>CAR</v>
      </c>
      <c r="D103" t="str">
        <f t="shared" si="5"/>
        <v>mid</v>
      </c>
      <c r="E103" t="str">
        <f>IF(D103="first", MATCH("last", $D103:$D$510, 0), "")</f>
        <v/>
      </c>
      <c r="F103" t="str">
        <f t="shared" ca="1" si="6"/>
        <v/>
      </c>
      <c r="G103" s="15" t="str">
        <f t="shared" si="7"/>
        <v>286,</v>
      </c>
    </row>
    <row r="104" spans="1:7" x14ac:dyDescent="0.35">
      <c r="A104">
        <v>287</v>
      </c>
      <c r="B104" t="s">
        <v>445</v>
      </c>
      <c r="C104" t="str">
        <f t="shared" si="4"/>
        <v>CAR</v>
      </c>
      <c r="D104" t="str">
        <f t="shared" si="5"/>
        <v>mid</v>
      </c>
      <c r="E104" t="str">
        <f>IF(D104="first", MATCH("last", $D104:$D$510, 0), "")</f>
        <v/>
      </c>
      <c r="F104" t="str">
        <f t="shared" ca="1" si="6"/>
        <v/>
      </c>
      <c r="G104" s="15" t="str">
        <f t="shared" si="7"/>
        <v>287,</v>
      </c>
    </row>
    <row r="105" spans="1:7" x14ac:dyDescent="0.35">
      <c r="A105">
        <v>288</v>
      </c>
      <c r="B105" t="s">
        <v>446</v>
      </c>
      <c r="C105" t="str">
        <f t="shared" si="4"/>
        <v>CAR</v>
      </c>
      <c r="D105" t="str">
        <f t="shared" si="5"/>
        <v>mid</v>
      </c>
      <c r="E105" t="str">
        <f>IF(D105="first", MATCH("last", $D105:$D$510, 0), "")</f>
        <v/>
      </c>
      <c r="F105" t="str">
        <f t="shared" ca="1" si="6"/>
        <v/>
      </c>
      <c r="G105" s="15" t="str">
        <f t="shared" si="7"/>
        <v>288,</v>
      </c>
    </row>
    <row r="106" spans="1:7" x14ac:dyDescent="0.35">
      <c r="A106">
        <v>289</v>
      </c>
      <c r="B106" t="s">
        <v>447</v>
      </c>
      <c r="C106" t="str">
        <f t="shared" si="4"/>
        <v>CAR</v>
      </c>
      <c r="D106" t="str">
        <f t="shared" si="5"/>
        <v>mid</v>
      </c>
      <c r="E106" t="str">
        <f>IF(D106="first", MATCH("last", $D106:$D$510, 0), "")</f>
        <v/>
      </c>
      <c r="F106" t="str">
        <f t="shared" ca="1" si="6"/>
        <v/>
      </c>
      <c r="G106" s="15" t="str">
        <f t="shared" si="7"/>
        <v>289,</v>
      </c>
    </row>
    <row r="107" spans="1:7" x14ac:dyDescent="0.35">
      <c r="A107">
        <v>290</v>
      </c>
      <c r="B107" t="s">
        <v>448</v>
      </c>
      <c r="C107" t="str">
        <f t="shared" si="4"/>
        <v>CAR</v>
      </c>
      <c r="D107" t="str">
        <f t="shared" si="5"/>
        <v>mid</v>
      </c>
      <c r="E107" t="str">
        <f>IF(D107="first", MATCH("last", $D107:$D$510, 0), "")</f>
        <v/>
      </c>
      <c r="F107" t="str">
        <f t="shared" ca="1" si="6"/>
        <v/>
      </c>
      <c r="G107" s="15" t="str">
        <f t="shared" si="7"/>
        <v>290,</v>
      </c>
    </row>
    <row r="108" spans="1:7" x14ac:dyDescent="0.35">
      <c r="A108">
        <v>291</v>
      </c>
      <c r="B108" t="s">
        <v>449</v>
      </c>
      <c r="C108" t="str">
        <f t="shared" si="4"/>
        <v>CAR</v>
      </c>
      <c r="D108" t="str">
        <f t="shared" si="5"/>
        <v>mid</v>
      </c>
      <c r="E108" t="str">
        <f>IF(D108="first", MATCH("last", $D108:$D$510, 0), "")</f>
        <v/>
      </c>
      <c r="F108" t="str">
        <f t="shared" ca="1" si="6"/>
        <v/>
      </c>
      <c r="G108" s="15" t="str">
        <f t="shared" si="7"/>
        <v>291,</v>
      </c>
    </row>
    <row r="109" spans="1:7" x14ac:dyDescent="0.35">
      <c r="A109">
        <v>292</v>
      </c>
      <c r="B109" t="s">
        <v>450</v>
      </c>
      <c r="C109" t="str">
        <f t="shared" si="4"/>
        <v>CAR</v>
      </c>
      <c r="D109" t="str">
        <f t="shared" si="5"/>
        <v>mid</v>
      </c>
      <c r="E109" t="str">
        <f>IF(D109="first", MATCH("last", $D109:$D$510, 0), "")</f>
        <v/>
      </c>
      <c r="F109" t="str">
        <f t="shared" ca="1" si="6"/>
        <v/>
      </c>
      <c r="G109" s="15" t="str">
        <f t="shared" si="7"/>
        <v>292,</v>
      </c>
    </row>
    <row r="110" spans="1:7" x14ac:dyDescent="0.35">
      <c r="A110">
        <v>293</v>
      </c>
      <c r="B110" t="s">
        <v>451</v>
      </c>
      <c r="C110" t="str">
        <f t="shared" si="4"/>
        <v>CAR</v>
      </c>
      <c r="D110" t="str">
        <f t="shared" si="5"/>
        <v>mid</v>
      </c>
      <c r="E110" t="str">
        <f>IF(D110="first", MATCH("last", $D110:$D$510, 0), "")</f>
        <v/>
      </c>
      <c r="F110" t="str">
        <f t="shared" ca="1" si="6"/>
        <v/>
      </c>
      <c r="G110" s="15" t="str">
        <f t="shared" si="7"/>
        <v>293,</v>
      </c>
    </row>
    <row r="111" spans="1:7" x14ac:dyDescent="0.35">
      <c r="A111">
        <v>294</v>
      </c>
      <c r="B111" t="s">
        <v>452</v>
      </c>
      <c r="C111" t="str">
        <f t="shared" si="4"/>
        <v>CAR</v>
      </c>
      <c r="D111" t="str">
        <f t="shared" si="5"/>
        <v>mid</v>
      </c>
      <c r="E111" t="str">
        <f>IF(D111="first", MATCH("last", $D111:$D$510, 0), "")</f>
        <v/>
      </c>
      <c r="F111" t="str">
        <f t="shared" ca="1" si="6"/>
        <v/>
      </c>
      <c r="G111" s="15" t="str">
        <f t="shared" si="7"/>
        <v>294,</v>
      </c>
    </row>
    <row r="112" spans="1:7" x14ac:dyDescent="0.35">
      <c r="A112">
        <v>295</v>
      </c>
      <c r="B112" t="s">
        <v>453</v>
      </c>
      <c r="C112" t="str">
        <f t="shared" si="4"/>
        <v>CAR</v>
      </c>
      <c r="D112" t="str">
        <f t="shared" si="5"/>
        <v>mid</v>
      </c>
      <c r="E112" t="str">
        <f>IF(D112="first", MATCH("last", $D112:$D$510, 0), "")</f>
        <v/>
      </c>
      <c r="F112" t="str">
        <f t="shared" ca="1" si="6"/>
        <v/>
      </c>
      <c r="G112" s="15" t="str">
        <f t="shared" si="7"/>
        <v>295,</v>
      </c>
    </row>
    <row r="113" spans="1:7" x14ac:dyDescent="0.35">
      <c r="A113">
        <v>296</v>
      </c>
      <c r="B113" t="s">
        <v>454</v>
      </c>
      <c r="C113" t="str">
        <f t="shared" si="4"/>
        <v>CAR</v>
      </c>
      <c r="D113" t="str">
        <f t="shared" si="5"/>
        <v>mid</v>
      </c>
      <c r="E113" t="str">
        <f>IF(D113="first", MATCH("last", $D113:$D$510, 0), "")</f>
        <v/>
      </c>
      <c r="F113" t="str">
        <f t="shared" ca="1" si="6"/>
        <v/>
      </c>
      <c r="G113" s="15" t="str">
        <f t="shared" si="7"/>
        <v>296,</v>
      </c>
    </row>
    <row r="114" spans="1:7" x14ac:dyDescent="0.35">
      <c r="A114">
        <v>297</v>
      </c>
      <c r="B114" t="s">
        <v>455</v>
      </c>
      <c r="C114" t="str">
        <f t="shared" si="4"/>
        <v>CAR</v>
      </c>
      <c r="D114" t="str">
        <f t="shared" si="5"/>
        <v>mid</v>
      </c>
      <c r="E114" t="str">
        <f>IF(D114="first", MATCH("last", $D114:$D$510, 0), "")</f>
        <v/>
      </c>
      <c r="F114" t="str">
        <f t="shared" ca="1" si="6"/>
        <v/>
      </c>
      <c r="G114" s="15" t="str">
        <f t="shared" si="7"/>
        <v>297,</v>
      </c>
    </row>
    <row r="115" spans="1:7" x14ac:dyDescent="0.35">
      <c r="A115">
        <v>298</v>
      </c>
      <c r="B115" t="s">
        <v>456</v>
      </c>
      <c r="C115" t="str">
        <f t="shared" si="4"/>
        <v>CAR</v>
      </c>
      <c r="D115" t="str">
        <f t="shared" si="5"/>
        <v>mid</v>
      </c>
      <c r="E115" t="str">
        <f>IF(D115="first", MATCH("last", $D115:$D$510, 0), "")</f>
        <v/>
      </c>
      <c r="F115" t="str">
        <f t="shared" ca="1" si="6"/>
        <v/>
      </c>
      <c r="G115" s="15" t="str">
        <f t="shared" si="7"/>
        <v>298,</v>
      </c>
    </row>
    <row r="116" spans="1:7" x14ac:dyDescent="0.35">
      <c r="A116">
        <v>299</v>
      </c>
      <c r="B116" t="s">
        <v>457</v>
      </c>
      <c r="C116" t="str">
        <f t="shared" si="4"/>
        <v>CAR</v>
      </c>
      <c r="D116" t="str">
        <f t="shared" si="5"/>
        <v>mid</v>
      </c>
      <c r="E116" t="str">
        <f>IF(D116="first", MATCH("last", $D116:$D$510, 0), "")</f>
        <v/>
      </c>
      <c r="F116" t="str">
        <f t="shared" ca="1" si="6"/>
        <v/>
      </c>
      <c r="G116" s="15" t="str">
        <f t="shared" si="7"/>
        <v>299,</v>
      </c>
    </row>
    <row r="117" spans="1:7" x14ac:dyDescent="0.35">
      <c r="A117">
        <v>300</v>
      </c>
      <c r="B117" t="s">
        <v>458</v>
      </c>
      <c r="C117" t="str">
        <f t="shared" si="4"/>
        <v>CAR</v>
      </c>
      <c r="D117" t="str">
        <f t="shared" si="5"/>
        <v>mid</v>
      </c>
      <c r="E117" t="str">
        <f>IF(D117="first", MATCH("last", $D117:$D$510, 0), "")</f>
        <v/>
      </c>
      <c r="F117" t="str">
        <f t="shared" ca="1" si="6"/>
        <v/>
      </c>
      <c r="G117" s="15" t="str">
        <f t="shared" si="7"/>
        <v>300,</v>
      </c>
    </row>
    <row r="118" spans="1:7" x14ac:dyDescent="0.35">
      <c r="A118">
        <v>301</v>
      </c>
      <c r="B118" t="s">
        <v>459</v>
      </c>
      <c r="C118" t="str">
        <f t="shared" si="4"/>
        <v>CAR</v>
      </c>
      <c r="D118" t="str">
        <f t="shared" si="5"/>
        <v>mid</v>
      </c>
      <c r="E118" t="str">
        <f>IF(D118="first", MATCH("last", $D118:$D$510, 0), "")</f>
        <v/>
      </c>
      <c r="F118" t="str">
        <f t="shared" ca="1" si="6"/>
        <v/>
      </c>
      <c r="G118" s="15" t="str">
        <f t="shared" si="7"/>
        <v>301,</v>
      </c>
    </row>
    <row r="119" spans="1:7" x14ac:dyDescent="0.35">
      <c r="A119">
        <v>302</v>
      </c>
      <c r="B119" t="s">
        <v>460</v>
      </c>
      <c r="C119" t="str">
        <f t="shared" si="4"/>
        <v>CAR</v>
      </c>
      <c r="D119" t="str">
        <f t="shared" si="5"/>
        <v>mid</v>
      </c>
      <c r="E119" t="str">
        <f>IF(D119="first", MATCH("last", $D119:$D$510, 0), "")</f>
        <v/>
      </c>
      <c r="F119" t="str">
        <f t="shared" ca="1" si="6"/>
        <v/>
      </c>
      <c r="G119" s="15" t="str">
        <f t="shared" si="7"/>
        <v>302,</v>
      </c>
    </row>
    <row r="120" spans="1:7" x14ac:dyDescent="0.35">
      <c r="A120">
        <v>303</v>
      </c>
      <c r="B120" t="s">
        <v>461</v>
      </c>
      <c r="C120" t="str">
        <f t="shared" si="4"/>
        <v>CAR</v>
      </c>
      <c r="D120" t="str">
        <f t="shared" si="5"/>
        <v>mid</v>
      </c>
      <c r="E120" t="str">
        <f>IF(D120="first", MATCH("last", $D120:$D$510, 0), "")</f>
        <v/>
      </c>
      <c r="F120" t="str">
        <f t="shared" ca="1" si="6"/>
        <v/>
      </c>
      <c r="G120" s="15" t="str">
        <f t="shared" si="7"/>
        <v>303,</v>
      </c>
    </row>
    <row r="121" spans="1:7" x14ac:dyDescent="0.35">
      <c r="A121">
        <v>304</v>
      </c>
      <c r="B121" t="s">
        <v>462</v>
      </c>
      <c r="C121" t="str">
        <f t="shared" si="4"/>
        <v>CAR</v>
      </c>
      <c r="D121" t="str">
        <f t="shared" si="5"/>
        <v>mid</v>
      </c>
      <c r="E121" t="str">
        <f>IF(D121="first", MATCH("last", $D121:$D$510, 0), "")</f>
        <v/>
      </c>
      <c r="F121" t="str">
        <f t="shared" ca="1" si="6"/>
        <v/>
      </c>
      <c r="G121" s="15" t="str">
        <f t="shared" si="7"/>
        <v>304,</v>
      </c>
    </row>
    <row r="122" spans="1:7" x14ac:dyDescent="0.35">
      <c r="A122">
        <v>305</v>
      </c>
      <c r="B122" t="s">
        <v>463</v>
      </c>
      <c r="C122" t="str">
        <f t="shared" si="4"/>
        <v>CAR</v>
      </c>
      <c r="D122" t="str">
        <f t="shared" si="5"/>
        <v>mid</v>
      </c>
      <c r="E122" t="str">
        <f>IF(D122="first", MATCH("last", $D122:$D$510, 0), "")</f>
        <v/>
      </c>
      <c r="F122" t="str">
        <f t="shared" ca="1" si="6"/>
        <v/>
      </c>
      <c r="G122" s="15" t="str">
        <f t="shared" si="7"/>
        <v>305,</v>
      </c>
    </row>
    <row r="123" spans="1:7" x14ac:dyDescent="0.35">
      <c r="A123">
        <v>306</v>
      </c>
      <c r="B123" t="s">
        <v>464</v>
      </c>
      <c r="C123" t="str">
        <f t="shared" si="4"/>
        <v>CAR</v>
      </c>
      <c r="D123" t="str">
        <f t="shared" si="5"/>
        <v>mid</v>
      </c>
      <c r="E123" t="str">
        <f>IF(D123="first", MATCH("last", $D123:$D$510, 0), "")</f>
        <v/>
      </c>
      <c r="F123" t="str">
        <f t="shared" ca="1" si="6"/>
        <v/>
      </c>
      <c r="G123" s="15" t="str">
        <f t="shared" si="7"/>
        <v>306,</v>
      </c>
    </row>
    <row r="124" spans="1:7" x14ac:dyDescent="0.35">
      <c r="A124">
        <v>307</v>
      </c>
      <c r="B124" t="s">
        <v>465</v>
      </c>
      <c r="C124" t="str">
        <f t="shared" si="4"/>
        <v>CAR</v>
      </c>
      <c r="D124" t="str">
        <f t="shared" si="5"/>
        <v>mid</v>
      </c>
      <c r="E124" t="str">
        <f>IF(D124="first", MATCH("last", $D124:$D$510, 0), "")</f>
        <v/>
      </c>
      <c r="F124" t="str">
        <f t="shared" ca="1" si="6"/>
        <v/>
      </c>
      <c r="G124" s="15" t="str">
        <f t="shared" si="7"/>
        <v>307,</v>
      </c>
    </row>
    <row r="125" spans="1:7" x14ac:dyDescent="0.35">
      <c r="A125">
        <v>308</v>
      </c>
      <c r="B125" t="s">
        <v>466</v>
      </c>
      <c r="C125" t="str">
        <f t="shared" si="4"/>
        <v>CAR</v>
      </c>
      <c r="D125" t="str">
        <f t="shared" si="5"/>
        <v>mid</v>
      </c>
      <c r="E125" t="str">
        <f>IF(D125="first", MATCH("last", $D125:$D$510, 0), "")</f>
        <v/>
      </c>
      <c r="F125" t="str">
        <f t="shared" ca="1" si="6"/>
        <v/>
      </c>
      <c r="G125" s="15" t="str">
        <f t="shared" si="7"/>
        <v>308,</v>
      </c>
    </row>
    <row r="126" spans="1:7" x14ac:dyDescent="0.35">
      <c r="A126">
        <v>309</v>
      </c>
      <c r="B126" t="s">
        <v>467</v>
      </c>
      <c r="C126" t="str">
        <f t="shared" si="4"/>
        <v>CAR</v>
      </c>
      <c r="D126" t="str">
        <f t="shared" si="5"/>
        <v>mid</v>
      </c>
      <c r="E126" t="str">
        <f>IF(D126="first", MATCH("last", $D126:$D$510, 0), "")</f>
        <v/>
      </c>
      <c r="F126" t="str">
        <f t="shared" ca="1" si="6"/>
        <v/>
      </c>
      <c r="G126" s="15" t="str">
        <f t="shared" si="7"/>
        <v>309,</v>
      </c>
    </row>
    <row r="127" spans="1:7" x14ac:dyDescent="0.35">
      <c r="A127">
        <v>310</v>
      </c>
      <c r="B127" t="s">
        <v>468</v>
      </c>
      <c r="C127" t="str">
        <f t="shared" si="4"/>
        <v>CAR</v>
      </c>
      <c r="D127" t="str">
        <f t="shared" si="5"/>
        <v>mid</v>
      </c>
      <c r="E127" t="str">
        <f>IF(D127="first", MATCH("last", $D127:$D$510, 0), "")</f>
        <v/>
      </c>
      <c r="F127" t="str">
        <f t="shared" ca="1" si="6"/>
        <v/>
      </c>
      <c r="G127" s="15" t="str">
        <f t="shared" si="7"/>
        <v>310,</v>
      </c>
    </row>
    <row r="128" spans="1:7" x14ac:dyDescent="0.35">
      <c r="A128">
        <v>311</v>
      </c>
      <c r="B128" t="s">
        <v>469</v>
      </c>
      <c r="C128" t="str">
        <f t="shared" si="4"/>
        <v>CAR</v>
      </c>
      <c r="D128" t="str">
        <f t="shared" si="5"/>
        <v>mid</v>
      </c>
      <c r="E128" t="str">
        <f>IF(D128="first", MATCH("last", $D128:$D$510, 0), "")</f>
        <v/>
      </c>
      <c r="F128" t="str">
        <f t="shared" ca="1" si="6"/>
        <v/>
      </c>
      <c r="G128" s="15" t="str">
        <f t="shared" si="7"/>
        <v>311,</v>
      </c>
    </row>
    <row r="129" spans="1:7" x14ac:dyDescent="0.35">
      <c r="A129">
        <v>312</v>
      </c>
      <c r="B129" t="s">
        <v>470</v>
      </c>
      <c r="C129" t="str">
        <f t="shared" si="4"/>
        <v>CAR</v>
      </c>
      <c r="D129" t="str">
        <f t="shared" si="5"/>
        <v>mid</v>
      </c>
      <c r="E129" t="str">
        <f>IF(D129="first", MATCH("last", $D129:$D$510, 0), "")</f>
        <v/>
      </c>
      <c r="F129" t="str">
        <f t="shared" ca="1" si="6"/>
        <v/>
      </c>
      <c r="G129" s="15" t="str">
        <f t="shared" si="7"/>
        <v>312,</v>
      </c>
    </row>
    <row r="130" spans="1:7" x14ac:dyDescent="0.35">
      <c r="A130">
        <v>313</v>
      </c>
      <c r="B130" t="s">
        <v>471</v>
      </c>
      <c r="C130" t="str">
        <f t="shared" si="4"/>
        <v>CAR</v>
      </c>
      <c r="D130" t="str">
        <f t="shared" si="5"/>
        <v>mid</v>
      </c>
      <c r="E130" t="str">
        <f>IF(D130="first", MATCH("last", $D130:$D$510, 0), "")</f>
        <v/>
      </c>
      <c r="F130" t="str">
        <f t="shared" ca="1" si="6"/>
        <v/>
      </c>
      <c r="G130" s="15" t="str">
        <f t="shared" si="7"/>
        <v>313,</v>
      </c>
    </row>
    <row r="131" spans="1:7" x14ac:dyDescent="0.35">
      <c r="A131">
        <v>314</v>
      </c>
      <c r="B131" t="s">
        <v>472</v>
      </c>
      <c r="C131" t="str">
        <f t="shared" ref="C131:C194" si="8">LEFT(B131, 3)</f>
        <v>CAR</v>
      </c>
      <c r="D131" t="str">
        <f t="shared" ref="D131:D194" si="9">IF(C131&lt;&gt;C130,"first",IF(C131&lt;&gt;C132,"last","mid"))</f>
        <v>mid</v>
      </c>
      <c r="E131" t="str">
        <f>IF(D131="first", MATCH("last", $D131:$D$510, 0), "")</f>
        <v/>
      </c>
      <c r="F131" t="str">
        <f t="shared" ref="F131:F194" ca="1" si="10">IF(D131="first", _xlfn.CONCAT(INDIRECT(_xlfn.CONCAT(ADDRESS(ROW(G131), COLUMN(G131)), ":", ADDRESS(E131+ROW(G131)-1, COLUMN(G131))))), "")</f>
        <v/>
      </c>
      <c r="G131" s="15" t="str">
        <f t="shared" ref="G131:G194" si="11">IF(D131&lt;&gt;"last", _xlfn.CONCAT(A131, ","), A131)</f>
        <v>314,</v>
      </c>
    </row>
    <row r="132" spans="1:7" x14ac:dyDescent="0.35">
      <c r="A132">
        <v>315</v>
      </c>
      <c r="B132" t="s">
        <v>473</v>
      </c>
      <c r="C132" t="str">
        <f t="shared" si="8"/>
        <v>CAR</v>
      </c>
      <c r="D132" t="str">
        <f t="shared" si="9"/>
        <v>mid</v>
      </c>
      <c r="E132" t="str">
        <f>IF(D132="first", MATCH("last", $D132:$D$510, 0), "")</f>
        <v/>
      </c>
      <c r="F132" t="str">
        <f t="shared" ca="1" si="10"/>
        <v/>
      </c>
      <c r="G132" s="15" t="str">
        <f t="shared" si="11"/>
        <v>315,</v>
      </c>
    </row>
    <row r="133" spans="1:7" x14ac:dyDescent="0.35">
      <c r="A133">
        <v>316</v>
      </c>
      <c r="B133" t="s">
        <v>474</v>
      </c>
      <c r="C133" t="str">
        <f t="shared" si="8"/>
        <v>CAR</v>
      </c>
      <c r="D133" t="str">
        <f t="shared" si="9"/>
        <v>mid</v>
      </c>
      <c r="E133" t="str">
        <f>IF(D133="first", MATCH("last", $D133:$D$510, 0), "")</f>
        <v/>
      </c>
      <c r="F133" t="str">
        <f t="shared" ca="1" si="10"/>
        <v/>
      </c>
      <c r="G133" s="15" t="str">
        <f t="shared" si="11"/>
        <v>316,</v>
      </c>
    </row>
    <row r="134" spans="1:7" x14ac:dyDescent="0.35">
      <c r="A134">
        <v>317</v>
      </c>
      <c r="B134" t="s">
        <v>475</v>
      </c>
      <c r="C134" t="str">
        <f t="shared" si="8"/>
        <v>CAR</v>
      </c>
      <c r="D134" t="str">
        <f t="shared" si="9"/>
        <v>mid</v>
      </c>
      <c r="E134" t="str">
        <f>IF(D134="first", MATCH("last", $D134:$D$510, 0), "")</f>
        <v/>
      </c>
      <c r="F134" t="str">
        <f t="shared" ca="1" si="10"/>
        <v/>
      </c>
      <c r="G134" s="15" t="str">
        <f t="shared" si="11"/>
        <v>317,</v>
      </c>
    </row>
    <row r="135" spans="1:7" x14ac:dyDescent="0.35">
      <c r="A135">
        <v>318</v>
      </c>
      <c r="B135" t="s">
        <v>476</v>
      </c>
      <c r="C135" t="str">
        <f t="shared" si="8"/>
        <v>CAR</v>
      </c>
      <c r="D135" t="str">
        <f t="shared" si="9"/>
        <v>mid</v>
      </c>
      <c r="E135" t="str">
        <f>IF(D135="first", MATCH("last", $D135:$D$510, 0), "")</f>
        <v/>
      </c>
      <c r="F135" t="str">
        <f t="shared" ca="1" si="10"/>
        <v/>
      </c>
      <c r="G135" s="15" t="str">
        <f t="shared" si="11"/>
        <v>318,</v>
      </c>
    </row>
    <row r="136" spans="1:7" x14ac:dyDescent="0.35">
      <c r="A136">
        <v>319</v>
      </c>
      <c r="B136" t="s">
        <v>477</v>
      </c>
      <c r="C136" t="str">
        <f t="shared" si="8"/>
        <v>CAR</v>
      </c>
      <c r="D136" t="str">
        <f t="shared" si="9"/>
        <v>mid</v>
      </c>
      <c r="E136" t="str">
        <f>IF(D136="first", MATCH("last", $D136:$D$510, 0), "")</f>
        <v/>
      </c>
      <c r="F136" t="str">
        <f t="shared" ca="1" si="10"/>
        <v/>
      </c>
      <c r="G136" s="15" t="str">
        <f t="shared" si="11"/>
        <v>319,</v>
      </c>
    </row>
    <row r="137" spans="1:7" x14ac:dyDescent="0.35">
      <c r="A137">
        <v>320</v>
      </c>
      <c r="B137" t="s">
        <v>478</v>
      </c>
      <c r="C137" t="str">
        <f t="shared" si="8"/>
        <v>CAR</v>
      </c>
      <c r="D137" t="str">
        <f t="shared" si="9"/>
        <v>mid</v>
      </c>
      <c r="E137" t="str">
        <f>IF(D137="first", MATCH("last", $D137:$D$510, 0), "")</f>
        <v/>
      </c>
      <c r="F137" t="str">
        <f t="shared" ca="1" si="10"/>
        <v/>
      </c>
      <c r="G137" s="15" t="str">
        <f t="shared" si="11"/>
        <v>320,</v>
      </c>
    </row>
    <row r="138" spans="1:7" x14ac:dyDescent="0.35">
      <c r="A138">
        <v>321</v>
      </c>
      <c r="B138" t="s">
        <v>479</v>
      </c>
      <c r="C138" t="str">
        <f t="shared" si="8"/>
        <v>CAR</v>
      </c>
      <c r="D138" t="str">
        <f t="shared" si="9"/>
        <v>mid</v>
      </c>
      <c r="E138" t="str">
        <f>IF(D138="first", MATCH("last", $D138:$D$510, 0), "")</f>
        <v/>
      </c>
      <c r="F138" t="str">
        <f t="shared" ca="1" si="10"/>
        <v/>
      </c>
      <c r="G138" s="15" t="str">
        <f t="shared" si="11"/>
        <v>321,</v>
      </c>
    </row>
    <row r="139" spans="1:7" x14ac:dyDescent="0.35">
      <c r="A139">
        <v>322</v>
      </c>
      <c r="B139" t="s">
        <v>480</v>
      </c>
      <c r="C139" t="str">
        <f t="shared" si="8"/>
        <v>CAR</v>
      </c>
      <c r="D139" t="str">
        <f t="shared" si="9"/>
        <v>mid</v>
      </c>
      <c r="E139" t="str">
        <f>IF(D139="first", MATCH("last", $D139:$D$510, 0), "")</f>
        <v/>
      </c>
      <c r="F139" t="str">
        <f t="shared" ca="1" si="10"/>
        <v/>
      </c>
      <c r="G139" s="15" t="str">
        <f t="shared" si="11"/>
        <v>322,</v>
      </c>
    </row>
    <row r="140" spans="1:7" x14ac:dyDescent="0.35">
      <c r="A140">
        <v>323</v>
      </c>
      <c r="B140" t="s">
        <v>481</v>
      </c>
      <c r="C140" t="str">
        <f t="shared" si="8"/>
        <v>CAR</v>
      </c>
      <c r="D140" t="str">
        <f t="shared" si="9"/>
        <v>mid</v>
      </c>
      <c r="E140" t="str">
        <f>IF(D140="first", MATCH("last", $D140:$D$510, 0), "")</f>
        <v/>
      </c>
      <c r="F140" t="str">
        <f t="shared" ca="1" si="10"/>
        <v/>
      </c>
      <c r="G140" s="15" t="str">
        <f t="shared" si="11"/>
        <v>323,</v>
      </c>
    </row>
    <row r="141" spans="1:7" x14ac:dyDescent="0.35">
      <c r="A141">
        <v>324</v>
      </c>
      <c r="B141" t="s">
        <v>482</v>
      </c>
      <c r="C141" t="str">
        <f t="shared" si="8"/>
        <v>CAR</v>
      </c>
      <c r="D141" t="str">
        <f t="shared" si="9"/>
        <v>mid</v>
      </c>
      <c r="E141" t="str">
        <f>IF(D141="first", MATCH("last", $D141:$D$510, 0), "")</f>
        <v/>
      </c>
      <c r="F141" t="str">
        <f t="shared" ca="1" si="10"/>
        <v/>
      </c>
      <c r="G141" s="15" t="str">
        <f t="shared" si="11"/>
        <v>324,</v>
      </c>
    </row>
    <row r="142" spans="1:7" x14ac:dyDescent="0.35">
      <c r="A142">
        <v>325</v>
      </c>
      <c r="B142" t="s">
        <v>483</v>
      </c>
      <c r="C142" t="str">
        <f t="shared" si="8"/>
        <v>CAR</v>
      </c>
      <c r="D142" t="str">
        <f t="shared" si="9"/>
        <v>mid</v>
      </c>
      <c r="E142" t="str">
        <f>IF(D142="first", MATCH("last", $D142:$D$510, 0), "")</f>
        <v/>
      </c>
      <c r="F142" t="str">
        <f t="shared" ca="1" si="10"/>
        <v/>
      </c>
      <c r="G142" s="15" t="str">
        <f t="shared" si="11"/>
        <v>325,</v>
      </c>
    </row>
    <row r="143" spans="1:7" x14ac:dyDescent="0.35">
      <c r="A143">
        <v>326</v>
      </c>
      <c r="B143" t="s">
        <v>484</v>
      </c>
      <c r="C143" t="str">
        <f t="shared" si="8"/>
        <v>CAR</v>
      </c>
      <c r="D143" t="str">
        <f t="shared" si="9"/>
        <v>mid</v>
      </c>
      <c r="E143" t="str">
        <f>IF(D143="first", MATCH("last", $D143:$D$510, 0), "")</f>
        <v/>
      </c>
      <c r="F143" t="str">
        <f t="shared" ca="1" si="10"/>
        <v/>
      </c>
      <c r="G143" s="15" t="str">
        <f t="shared" si="11"/>
        <v>326,</v>
      </c>
    </row>
    <row r="144" spans="1:7" x14ac:dyDescent="0.35">
      <c r="A144">
        <v>327</v>
      </c>
      <c r="B144" t="s">
        <v>485</v>
      </c>
      <c r="C144" t="str">
        <f t="shared" si="8"/>
        <v>CAR</v>
      </c>
      <c r="D144" t="str">
        <f t="shared" si="9"/>
        <v>mid</v>
      </c>
      <c r="E144" t="str">
        <f>IF(D144="first", MATCH("last", $D144:$D$510, 0), "")</f>
        <v/>
      </c>
      <c r="F144" t="str">
        <f t="shared" ca="1" si="10"/>
        <v/>
      </c>
      <c r="G144" s="15" t="str">
        <f t="shared" si="11"/>
        <v>327,</v>
      </c>
    </row>
    <row r="145" spans="1:8" x14ac:dyDescent="0.35">
      <c r="A145">
        <v>328</v>
      </c>
      <c r="B145" t="s">
        <v>486</v>
      </c>
      <c r="C145" t="str">
        <f t="shared" si="8"/>
        <v>CAR</v>
      </c>
      <c r="D145" t="str">
        <f t="shared" si="9"/>
        <v>mid</v>
      </c>
      <c r="E145" t="str">
        <f>IF(D145="first", MATCH("last", $D145:$D$510, 0), "")</f>
        <v/>
      </c>
      <c r="F145" t="str">
        <f t="shared" ca="1" si="10"/>
        <v/>
      </c>
      <c r="G145" s="15" t="str">
        <f t="shared" si="11"/>
        <v>328,</v>
      </c>
    </row>
    <row r="146" spans="1:8" x14ac:dyDescent="0.35">
      <c r="A146">
        <v>329</v>
      </c>
      <c r="B146" t="s">
        <v>487</v>
      </c>
      <c r="C146" t="str">
        <f t="shared" si="8"/>
        <v>CAR</v>
      </c>
      <c r="D146" t="str">
        <f t="shared" si="9"/>
        <v>mid</v>
      </c>
      <c r="E146" t="str">
        <f>IF(D146="first", MATCH("last", $D146:$D$510, 0), "")</f>
        <v/>
      </c>
      <c r="F146" t="str">
        <f t="shared" ca="1" si="10"/>
        <v/>
      </c>
      <c r="G146" s="15" t="str">
        <f t="shared" si="11"/>
        <v>329,</v>
      </c>
    </row>
    <row r="147" spans="1:8" x14ac:dyDescent="0.35">
      <c r="A147">
        <v>330</v>
      </c>
      <c r="B147" t="s">
        <v>488</v>
      </c>
      <c r="C147" t="str">
        <f t="shared" si="8"/>
        <v>CAR</v>
      </c>
      <c r="D147" t="str">
        <f t="shared" si="9"/>
        <v>mid</v>
      </c>
      <c r="E147" t="str">
        <f>IF(D147="first", MATCH("last", $D147:$D$510, 0), "")</f>
        <v/>
      </c>
      <c r="F147" t="str">
        <f t="shared" ca="1" si="10"/>
        <v/>
      </c>
      <c r="G147" s="15" t="str">
        <f t="shared" si="11"/>
        <v>330,</v>
      </c>
    </row>
    <row r="148" spans="1:8" x14ac:dyDescent="0.35">
      <c r="A148">
        <v>331</v>
      </c>
      <c r="B148" t="s">
        <v>489</v>
      </c>
      <c r="C148" t="str">
        <f t="shared" si="8"/>
        <v>CAR</v>
      </c>
      <c r="D148" t="str">
        <f t="shared" si="9"/>
        <v>last</v>
      </c>
      <c r="E148" t="str">
        <f>IF(D148="first", MATCH("last", $D148:$D$510, 0), "")</f>
        <v/>
      </c>
      <c r="F148" t="str">
        <f t="shared" ca="1" si="10"/>
        <v/>
      </c>
      <c r="G148" s="15">
        <f t="shared" si="11"/>
        <v>331</v>
      </c>
    </row>
    <row r="149" spans="1:8" x14ac:dyDescent="0.35">
      <c r="A149">
        <v>340</v>
      </c>
      <c r="B149" t="s">
        <v>490</v>
      </c>
      <c r="C149" t="str">
        <f t="shared" si="8"/>
        <v>CAU</v>
      </c>
      <c r="D149" t="str">
        <f t="shared" si="9"/>
        <v>first</v>
      </c>
      <c r="E149">
        <f>IF(D149="first", MATCH("last", $D149:$D$510, 0), "")</f>
        <v>21</v>
      </c>
      <c r="F149" t="str">
        <f t="shared" ca="1" si="10"/>
        <v>340,335,333,334,339,349,344,343,337,332,347,352,336,342,345,346,351,350,341,338,348</v>
      </c>
      <c r="G149" s="15" t="str">
        <f t="shared" si="11"/>
        <v>340,</v>
      </c>
      <c r="H149" t="str">
        <f>_xlfn.CONCAT(G149:G169)</f>
        <v>340,335,333,334,339,349,344,343,337,332,347,352,336,342,345,346,351,350,341,338,348</v>
      </c>
    </row>
    <row r="150" spans="1:8" x14ac:dyDescent="0.35">
      <c r="A150">
        <v>335</v>
      </c>
      <c r="B150" t="s">
        <v>491</v>
      </c>
      <c r="C150" t="str">
        <f t="shared" si="8"/>
        <v>CAU</v>
      </c>
      <c r="D150" t="str">
        <f t="shared" si="9"/>
        <v>mid</v>
      </c>
      <c r="E150" t="str">
        <f>IF(D150="first", MATCH("last", $D150:$D$510, 0), "")</f>
        <v/>
      </c>
      <c r="F150" t="str">
        <f t="shared" ca="1" si="10"/>
        <v/>
      </c>
      <c r="G150" s="15" t="str">
        <f t="shared" si="11"/>
        <v>335,</v>
      </c>
    </row>
    <row r="151" spans="1:8" x14ac:dyDescent="0.35">
      <c r="A151">
        <v>333</v>
      </c>
      <c r="B151" t="s">
        <v>492</v>
      </c>
      <c r="C151" t="str">
        <f t="shared" si="8"/>
        <v>CAU</v>
      </c>
      <c r="D151" t="str">
        <f t="shared" si="9"/>
        <v>mid</v>
      </c>
      <c r="E151" t="str">
        <f>IF(D151="first", MATCH("last", $D151:$D$510, 0), "")</f>
        <v/>
      </c>
      <c r="F151" t="str">
        <f t="shared" ca="1" si="10"/>
        <v/>
      </c>
      <c r="G151" s="15" t="str">
        <f t="shared" si="11"/>
        <v>333,</v>
      </c>
    </row>
    <row r="152" spans="1:8" x14ac:dyDescent="0.35">
      <c r="A152">
        <v>334</v>
      </c>
      <c r="B152" t="s">
        <v>493</v>
      </c>
      <c r="C152" t="str">
        <f t="shared" si="8"/>
        <v>CAU</v>
      </c>
      <c r="D152" t="str">
        <f t="shared" si="9"/>
        <v>mid</v>
      </c>
      <c r="E152" t="str">
        <f>IF(D152="first", MATCH("last", $D152:$D$510, 0), "")</f>
        <v/>
      </c>
      <c r="F152" t="str">
        <f t="shared" ca="1" si="10"/>
        <v/>
      </c>
      <c r="G152" s="15" t="str">
        <f t="shared" si="11"/>
        <v>334,</v>
      </c>
    </row>
    <row r="153" spans="1:8" x14ac:dyDescent="0.35">
      <c r="A153">
        <v>339</v>
      </c>
      <c r="B153" t="s">
        <v>494</v>
      </c>
      <c r="C153" t="str">
        <f t="shared" si="8"/>
        <v>CAU</v>
      </c>
      <c r="D153" t="str">
        <f t="shared" si="9"/>
        <v>mid</v>
      </c>
      <c r="E153" t="str">
        <f>IF(D153="first", MATCH("last", $D153:$D$510, 0), "")</f>
        <v/>
      </c>
      <c r="F153" t="str">
        <f t="shared" ca="1" si="10"/>
        <v/>
      </c>
      <c r="G153" s="15" t="str">
        <f t="shared" si="11"/>
        <v>339,</v>
      </c>
    </row>
    <row r="154" spans="1:8" x14ac:dyDescent="0.35">
      <c r="A154">
        <v>349</v>
      </c>
      <c r="B154" t="s">
        <v>495</v>
      </c>
      <c r="C154" t="str">
        <f t="shared" si="8"/>
        <v>CAU</v>
      </c>
      <c r="D154" t="str">
        <f t="shared" si="9"/>
        <v>mid</v>
      </c>
      <c r="E154" t="str">
        <f>IF(D154="first", MATCH("last", $D154:$D$510, 0), "")</f>
        <v/>
      </c>
      <c r="F154" t="str">
        <f t="shared" ca="1" si="10"/>
        <v/>
      </c>
      <c r="G154" s="15" t="str">
        <f t="shared" si="11"/>
        <v>349,</v>
      </c>
    </row>
    <row r="155" spans="1:8" x14ac:dyDescent="0.35">
      <c r="A155">
        <v>344</v>
      </c>
      <c r="B155" t="s">
        <v>496</v>
      </c>
      <c r="C155" t="str">
        <f t="shared" si="8"/>
        <v>CAU</v>
      </c>
      <c r="D155" t="str">
        <f t="shared" si="9"/>
        <v>mid</v>
      </c>
      <c r="E155" t="str">
        <f>IF(D155="first", MATCH("last", $D155:$D$510, 0), "")</f>
        <v/>
      </c>
      <c r="F155" t="str">
        <f t="shared" ca="1" si="10"/>
        <v/>
      </c>
      <c r="G155" s="15" t="str">
        <f t="shared" si="11"/>
        <v>344,</v>
      </c>
    </row>
    <row r="156" spans="1:8" x14ac:dyDescent="0.35">
      <c r="A156">
        <v>343</v>
      </c>
      <c r="B156" t="s">
        <v>497</v>
      </c>
      <c r="C156" t="str">
        <f t="shared" si="8"/>
        <v>CAU</v>
      </c>
      <c r="D156" t="str">
        <f t="shared" si="9"/>
        <v>mid</v>
      </c>
      <c r="E156" t="str">
        <f>IF(D156="first", MATCH("last", $D156:$D$510, 0), "")</f>
        <v/>
      </c>
      <c r="F156" t="str">
        <f t="shared" ca="1" si="10"/>
        <v/>
      </c>
      <c r="G156" s="15" t="str">
        <f t="shared" si="11"/>
        <v>343,</v>
      </c>
    </row>
    <row r="157" spans="1:8" x14ac:dyDescent="0.35">
      <c r="A157">
        <v>337</v>
      </c>
      <c r="B157" t="s">
        <v>498</v>
      </c>
      <c r="C157" t="str">
        <f t="shared" si="8"/>
        <v>CAU</v>
      </c>
      <c r="D157" t="str">
        <f t="shared" si="9"/>
        <v>mid</v>
      </c>
      <c r="E157" t="str">
        <f>IF(D157="first", MATCH("last", $D157:$D$510, 0), "")</f>
        <v/>
      </c>
      <c r="F157" t="str">
        <f t="shared" ca="1" si="10"/>
        <v/>
      </c>
      <c r="G157" s="15" t="str">
        <f t="shared" si="11"/>
        <v>337,</v>
      </c>
    </row>
    <row r="158" spans="1:8" x14ac:dyDescent="0.35">
      <c r="A158">
        <v>332</v>
      </c>
      <c r="B158" t="s">
        <v>499</v>
      </c>
      <c r="C158" t="str">
        <f t="shared" si="8"/>
        <v>CAU</v>
      </c>
      <c r="D158" t="str">
        <f t="shared" si="9"/>
        <v>mid</v>
      </c>
      <c r="E158" t="str">
        <f>IF(D158="first", MATCH("last", $D158:$D$510, 0), "")</f>
        <v/>
      </c>
      <c r="F158" t="str">
        <f t="shared" ca="1" si="10"/>
        <v/>
      </c>
      <c r="G158" s="15" t="str">
        <f t="shared" si="11"/>
        <v>332,</v>
      </c>
    </row>
    <row r="159" spans="1:8" x14ac:dyDescent="0.35">
      <c r="A159">
        <v>347</v>
      </c>
      <c r="B159" t="s">
        <v>500</v>
      </c>
      <c r="C159" t="str">
        <f t="shared" si="8"/>
        <v>CAU</v>
      </c>
      <c r="D159" t="str">
        <f t="shared" si="9"/>
        <v>mid</v>
      </c>
      <c r="E159" t="str">
        <f>IF(D159="first", MATCH("last", $D159:$D$510, 0), "")</f>
        <v/>
      </c>
      <c r="F159" t="str">
        <f t="shared" ca="1" si="10"/>
        <v/>
      </c>
      <c r="G159" s="15" t="str">
        <f t="shared" si="11"/>
        <v>347,</v>
      </c>
    </row>
    <row r="160" spans="1:8" x14ac:dyDescent="0.35">
      <c r="A160">
        <v>352</v>
      </c>
      <c r="B160" t="s">
        <v>501</v>
      </c>
      <c r="C160" t="str">
        <f t="shared" si="8"/>
        <v>CAU</v>
      </c>
      <c r="D160" t="str">
        <f t="shared" si="9"/>
        <v>mid</v>
      </c>
      <c r="E160" t="str">
        <f>IF(D160="first", MATCH("last", $D160:$D$510, 0), "")</f>
        <v/>
      </c>
      <c r="F160" t="str">
        <f t="shared" ca="1" si="10"/>
        <v/>
      </c>
      <c r="G160" s="15" t="str">
        <f t="shared" si="11"/>
        <v>352,</v>
      </c>
    </row>
    <row r="161" spans="1:7" x14ac:dyDescent="0.35">
      <c r="A161">
        <v>336</v>
      </c>
      <c r="B161" t="s">
        <v>502</v>
      </c>
      <c r="C161" t="str">
        <f t="shared" si="8"/>
        <v>CAU</v>
      </c>
      <c r="D161" t="str">
        <f t="shared" si="9"/>
        <v>mid</v>
      </c>
      <c r="E161" t="str">
        <f>IF(D161="first", MATCH("last", $D161:$D$510, 0), "")</f>
        <v/>
      </c>
      <c r="F161" t="str">
        <f t="shared" ca="1" si="10"/>
        <v/>
      </c>
      <c r="G161" s="15" t="str">
        <f t="shared" si="11"/>
        <v>336,</v>
      </c>
    </row>
    <row r="162" spans="1:7" x14ac:dyDescent="0.35">
      <c r="A162">
        <v>342</v>
      </c>
      <c r="B162" t="s">
        <v>503</v>
      </c>
      <c r="C162" t="str">
        <f t="shared" si="8"/>
        <v>CAU</v>
      </c>
      <c r="D162" t="str">
        <f t="shared" si="9"/>
        <v>mid</v>
      </c>
      <c r="E162" t="str">
        <f>IF(D162="first", MATCH("last", $D162:$D$510, 0), "")</f>
        <v/>
      </c>
      <c r="F162" t="str">
        <f t="shared" ca="1" si="10"/>
        <v/>
      </c>
      <c r="G162" s="15" t="str">
        <f t="shared" si="11"/>
        <v>342,</v>
      </c>
    </row>
    <row r="163" spans="1:7" x14ac:dyDescent="0.35">
      <c r="A163">
        <v>345</v>
      </c>
      <c r="B163" t="s">
        <v>504</v>
      </c>
      <c r="C163" t="str">
        <f t="shared" si="8"/>
        <v>CAU</v>
      </c>
      <c r="D163" t="str">
        <f t="shared" si="9"/>
        <v>mid</v>
      </c>
      <c r="E163" t="str">
        <f>IF(D163="first", MATCH("last", $D163:$D$510, 0), "")</f>
        <v/>
      </c>
      <c r="F163" t="str">
        <f t="shared" ca="1" si="10"/>
        <v/>
      </c>
      <c r="G163" s="15" t="str">
        <f t="shared" si="11"/>
        <v>345,</v>
      </c>
    </row>
    <row r="164" spans="1:7" x14ac:dyDescent="0.35">
      <c r="A164">
        <v>346</v>
      </c>
      <c r="B164" t="s">
        <v>505</v>
      </c>
      <c r="C164" t="str">
        <f t="shared" si="8"/>
        <v>CAU</v>
      </c>
      <c r="D164" t="str">
        <f t="shared" si="9"/>
        <v>mid</v>
      </c>
      <c r="E164" t="str">
        <f>IF(D164="first", MATCH("last", $D164:$D$510, 0), "")</f>
        <v/>
      </c>
      <c r="F164" t="str">
        <f t="shared" ca="1" si="10"/>
        <v/>
      </c>
      <c r="G164" s="15" t="str">
        <f t="shared" si="11"/>
        <v>346,</v>
      </c>
    </row>
    <row r="165" spans="1:7" x14ac:dyDescent="0.35">
      <c r="A165">
        <v>351</v>
      </c>
      <c r="B165" t="s">
        <v>506</v>
      </c>
      <c r="C165" t="str">
        <f t="shared" si="8"/>
        <v>CAU</v>
      </c>
      <c r="D165" t="str">
        <f t="shared" si="9"/>
        <v>mid</v>
      </c>
      <c r="E165" t="str">
        <f>IF(D165="first", MATCH("last", $D165:$D$510, 0), "")</f>
        <v/>
      </c>
      <c r="F165" t="str">
        <f t="shared" ca="1" si="10"/>
        <v/>
      </c>
      <c r="G165" s="15" t="str">
        <f t="shared" si="11"/>
        <v>351,</v>
      </c>
    </row>
    <row r="166" spans="1:7" x14ac:dyDescent="0.35">
      <c r="A166">
        <v>350</v>
      </c>
      <c r="B166" t="s">
        <v>507</v>
      </c>
      <c r="C166" t="str">
        <f t="shared" si="8"/>
        <v>CAU</v>
      </c>
      <c r="D166" t="str">
        <f t="shared" si="9"/>
        <v>mid</v>
      </c>
      <c r="E166" t="str">
        <f>IF(D166="first", MATCH("last", $D166:$D$510, 0), "")</f>
        <v/>
      </c>
      <c r="F166" t="str">
        <f t="shared" ca="1" si="10"/>
        <v/>
      </c>
      <c r="G166" s="15" t="str">
        <f t="shared" si="11"/>
        <v>350,</v>
      </c>
    </row>
    <row r="167" spans="1:7" x14ac:dyDescent="0.35">
      <c r="A167">
        <v>341</v>
      </c>
      <c r="B167" t="s">
        <v>508</v>
      </c>
      <c r="C167" t="str">
        <f t="shared" si="8"/>
        <v>CAU</v>
      </c>
      <c r="D167" t="str">
        <f t="shared" si="9"/>
        <v>mid</v>
      </c>
      <c r="E167" t="str">
        <f>IF(D167="first", MATCH("last", $D167:$D$510, 0), "")</f>
        <v/>
      </c>
      <c r="F167" t="str">
        <f t="shared" ca="1" si="10"/>
        <v/>
      </c>
      <c r="G167" s="15" t="str">
        <f t="shared" si="11"/>
        <v>341,</v>
      </c>
    </row>
    <row r="168" spans="1:7" x14ac:dyDescent="0.35">
      <c r="A168">
        <v>338</v>
      </c>
      <c r="B168" t="s">
        <v>509</v>
      </c>
      <c r="C168" t="str">
        <f t="shared" si="8"/>
        <v>CAU</v>
      </c>
      <c r="D168" t="str">
        <f t="shared" si="9"/>
        <v>mid</v>
      </c>
      <c r="E168" t="str">
        <f>IF(D168="first", MATCH("last", $D168:$D$510, 0), "")</f>
        <v/>
      </c>
      <c r="F168" t="str">
        <f t="shared" ca="1" si="10"/>
        <v/>
      </c>
      <c r="G168" s="15" t="str">
        <f t="shared" si="11"/>
        <v>338,</v>
      </c>
    </row>
    <row r="169" spans="1:7" x14ac:dyDescent="0.35">
      <c r="A169">
        <v>348</v>
      </c>
      <c r="B169" t="s">
        <v>510</v>
      </c>
      <c r="C169" t="str">
        <f t="shared" si="8"/>
        <v>CAU</v>
      </c>
      <c r="D169" t="str">
        <f t="shared" si="9"/>
        <v>last</v>
      </c>
      <c r="E169" t="str">
        <f>IF(D169="first", MATCH("last", $D169:$D$510, 0), "")</f>
        <v/>
      </c>
      <c r="F169" t="str">
        <f t="shared" ca="1" si="10"/>
        <v/>
      </c>
      <c r="G169" s="15">
        <f t="shared" si="11"/>
        <v>348</v>
      </c>
    </row>
    <row r="170" spans="1:7" x14ac:dyDescent="0.35">
      <c r="A170">
        <v>24</v>
      </c>
      <c r="B170" t="s">
        <v>511</v>
      </c>
      <c r="C170" t="str">
        <f t="shared" si="8"/>
        <v>DAL</v>
      </c>
      <c r="D170" t="str">
        <f t="shared" si="9"/>
        <v>first</v>
      </c>
      <c r="E170">
        <f>IF(D170="first", MATCH("last", $D170:$D$510, 0), "")</f>
        <v>15</v>
      </c>
      <c r="F170" t="str">
        <f t="shared" ca="1" si="10"/>
        <v>24,25,26,27,28,29,30,31,32,33,34,35,36,37,38</v>
      </c>
      <c r="G170" s="15" t="str">
        <f t="shared" si="11"/>
        <v>24,</v>
      </c>
    </row>
    <row r="171" spans="1:7" x14ac:dyDescent="0.35">
      <c r="A171">
        <v>25</v>
      </c>
      <c r="B171" t="s">
        <v>512</v>
      </c>
      <c r="C171" t="str">
        <f t="shared" si="8"/>
        <v>DAL</v>
      </c>
      <c r="D171" t="str">
        <f t="shared" si="9"/>
        <v>mid</v>
      </c>
      <c r="E171" t="str">
        <f>IF(D171="first", MATCH("last", $D171:$D$510, 0), "")</f>
        <v/>
      </c>
      <c r="F171" t="str">
        <f t="shared" ca="1" si="10"/>
        <v/>
      </c>
      <c r="G171" s="15" t="str">
        <f t="shared" si="11"/>
        <v>25,</v>
      </c>
    </row>
    <row r="172" spans="1:7" x14ac:dyDescent="0.35">
      <c r="A172">
        <v>26</v>
      </c>
      <c r="B172" t="s">
        <v>513</v>
      </c>
      <c r="C172" t="str">
        <f t="shared" si="8"/>
        <v>DAL</v>
      </c>
      <c r="D172" t="str">
        <f t="shared" si="9"/>
        <v>mid</v>
      </c>
      <c r="E172" t="str">
        <f>IF(D172="first", MATCH("last", $D172:$D$510, 0), "")</f>
        <v/>
      </c>
      <c r="F172" t="str">
        <f t="shared" ca="1" si="10"/>
        <v/>
      </c>
      <c r="G172" s="15" t="str">
        <f t="shared" si="11"/>
        <v>26,</v>
      </c>
    </row>
    <row r="173" spans="1:7" x14ac:dyDescent="0.35">
      <c r="A173">
        <v>27</v>
      </c>
      <c r="B173" t="s">
        <v>514</v>
      </c>
      <c r="C173" t="str">
        <f t="shared" si="8"/>
        <v>DAL</v>
      </c>
      <c r="D173" t="str">
        <f t="shared" si="9"/>
        <v>mid</v>
      </c>
      <c r="E173" t="str">
        <f>IF(D173="first", MATCH("last", $D173:$D$510, 0), "")</f>
        <v/>
      </c>
      <c r="F173" t="str">
        <f t="shared" ca="1" si="10"/>
        <v/>
      </c>
      <c r="G173" s="15" t="str">
        <f t="shared" si="11"/>
        <v>27,</v>
      </c>
    </row>
    <row r="174" spans="1:7" x14ac:dyDescent="0.35">
      <c r="A174">
        <v>28</v>
      </c>
      <c r="B174" t="s">
        <v>515</v>
      </c>
      <c r="C174" t="str">
        <f t="shared" si="8"/>
        <v>DAL</v>
      </c>
      <c r="D174" t="str">
        <f t="shared" si="9"/>
        <v>mid</v>
      </c>
      <c r="E174" t="str">
        <f>IF(D174="first", MATCH("last", $D174:$D$510, 0), "")</f>
        <v/>
      </c>
      <c r="F174" t="str">
        <f t="shared" ca="1" si="10"/>
        <v/>
      </c>
      <c r="G174" s="15" t="str">
        <f t="shared" si="11"/>
        <v>28,</v>
      </c>
    </row>
    <row r="175" spans="1:7" x14ac:dyDescent="0.35">
      <c r="A175">
        <v>29</v>
      </c>
      <c r="B175" t="s">
        <v>516</v>
      </c>
      <c r="C175" t="str">
        <f t="shared" si="8"/>
        <v>DAL</v>
      </c>
      <c r="D175" t="str">
        <f t="shared" si="9"/>
        <v>mid</v>
      </c>
      <c r="E175" t="str">
        <f>IF(D175="first", MATCH("last", $D175:$D$510, 0), "")</f>
        <v/>
      </c>
      <c r="F175" t="str">
        <f t="shared" ca="1" si="10"/>
        <v/>
      </c>
      <c r="G175" s="15" t="str">
        <f t="shared" si="11"/>
        <v>29,</v>
      </c>
    </row>
    <row r="176" spans="1:7" x14ac:dyDescent="0.35">
      <c r="A176">
        <v>30</v>
      </c>
      <c r="B176" t="s">
        <v>517</v>
      </c>
      <c r="C176" t="str">
        <f t="shared" si="8"/>
        <v>DAL</v>
      </c>
      <c r="D176" t="str">
        <f t="shared" si="9"/>
        <v>mid</v>
      </c>
      <c r="E176" t="str">
        <f>IF(D176="first", MATCH("last", $D176:$D$510, 0), "")</f>
        <v/>
      </c>
      <c r="F176" t="str">
        <f t="shared" ca="1" si="10"/>
        <v/>
      </c>
      <c r="G176" s="15" t="str">
        <f t="shared" si="11"/>
        <v>30,</v>
      </c>
    </row>
    <row r="177" spans="1:7" x14ac:dyDescent="0.35">
      <c r="A177">
        <v>31</v>
      </c>
      <c r="B177" t="s">
        <v>518</v>
      </c>
      <c r="C177" t="str">
        <f t="shared" si="8"/>
        <v>DAL</v>
      </c>
      <c r="D177" t="str">
        <f t="shared" si="9"/>
        <v>mid</v>
      </c>
      <c r="E177" t="str">
        <f>IF(D177="first", MATCH("last", $D177:$D$510, 0), "")</f>
        <v/>
      </c>
      <c r="F177" t="str">
        <f t="shared" ca="1" si="10"/>
        <v/>
      </c>
      <c r="G177" s="15" t="str">
        <f t="shared" si="11"/>
        <v>31,</v>
      </c>
    </row>
    <row r="178" spans="1:7" x14ac:dyDescent="0.35">
      <c r="A178">
        <v>32</v>
      </c>
      <c r="B178" t="s">
        <v>519</v>
      </c>
      <c r="C178" t="str">
        <f t="shared" si="8"/>
        <v>DAL</v>
      </c>
      <c r="D178" t="str">
        <f t="shared" si="9"/>
        <v>mid</v>
      </c>
      <c r="E178" t="str">
        <f>IF(D178="first", MATCH("last", $D178:$D$510, 0), "")</f>
        <v/>
      </c>
      <c r="F178" t="str">
        <f t="shared" ca="1" si="10"/>
        <v/>
      </c>
      <c r="G178" s="15" t="str">
        <f t="shared" si="11"/>
        <v>32,</v>
      </c>
    </row>
    <row r="179" spans="1:7" x14ac:dyDescent="0.35">
      <c r="A179">
        <v>33</v>
      </c>
      <c r="B179" t="s">
        <v>520</v>
      </c>
      <c r="C179" t="str">
        <f t="shared" si="8"/>
        <v>DAL</v>
      </c>
      <c r="D179" t="str">
        <f t="shared" si="9"/>
        <v>mid</v>
      </c>
      <c r="E179" t="str">
        <f>IF(D179="first", MATCH("last", $D179:$D$510, 0), "")</f>
        <v/>
      </c>
      <c r="F179" t="str">
        <f t="shared" ca="1" si="10"/>
        <v/>
      </c>
      <c r="G179" s="15" t="str">
        <f t="shared" si="11"/>
        <v>33,</v>
      </c>
    </row>
    <row r="180" spans="1:7" x14ac:dyDescent="0.35">
      <c r="A180">
        <v>34</v>
      </c>
      <c r="B180" t="s">
        <v>521</v>
      </c>
      <c r="C180" t="str">
        <f t="shared" si="8"/>
        <v>DAL</v>
      </c>
      <c r="D180" t="str">
        <f t="shared" si="9"/>
        <v>mid</v>
      </c>
      <c r="E180" t="str">
        <f>IF(D180="first", MATCH("last", $D180:$D$510, 0), "")</f>
        <v/>
      </c>
      <c r="F180" t="str">
        <f t="shared" ca="1" si="10"/>
        <v/>
      </c>
      <c r="G180" s="15" t="str">
        <f t="shared" si="11"/>
        <v>34,</v>
      </c>
    </row>
    <row r="181" spans="1:7" x14ac:dyDescent="0.35">
      <c r="A181">
        <v>35</v>
      </c>
      <c r="B181" t="s">
        <v>522</v>
      </c>
      <c r="C181" t="str">
        <f t="shared" si="8"/>
        <v>DAL</v>
      </c>
      <c r="D181" t="str">
        <f t="shared" si="9"/>
        <v>mid</v>
      </c>
      <c r="E181" t="str">
        <f>IF(D181="first", MATCH("last", $D181:$D$510, 0), "")</f>
        <v/>
      </c>
      <c r="F181" t="str">
        <f t="shared" ca="1" si="10"/>
        <v/>
      </c>
      <c r="G181" s="15" t="str">
        <f t="shared" si="11"/>
        <v>35,</v>
      </c>
    </row>
    <row r="182" spans="1:7" x14ac:dyDescent="0.35">
      <c r="A182">
        <v>36</v>
      </c>
      <c r="B182" t="s">
        <v>523</v>
      </c>
      <c r="C182" t="str">
        <f t="shared" si="8"/>
        <v>DAL</v>
      </c>
      <c r="D182" t="str">
        <f t="shared" si="9"/>
        <v>mid</v>
      </c>
      <c r="E182" t="str">
        <f>IF(D182="first", MATCH("last", $D182:$D$510, 0), "")</f>
        <v/>
      </c>
      <c r="F182" t="str">
        <f t="shared" ca="1" si="10"/>
        <v/>
      </c>
      <c r="G182" s="15" t="str">
        <f t="shared" si="11"/>
        <v>36,</v>
      </c>
    </row>
    <row r="183" spans="1:7" x14ac:dyDescent="0.35">
      <c r="A183">
        <v>37</v>
      </c>
      <c r="B183" t="s">
        <v>524</v>
      </c>
      <c r="C183" t="str">
        <f t="shared" si="8"/>
        <v>DAL</v>
      </c>
      <c r="D183" t="str">
        <f t="shared" si="9"/>
        <v>mid</v>
      </c>
      <c r="E183" t="str">
        <f>IF(D183="first", MATCH("last", $D183:$D$510, 0), "")</f>
        <v/>
      </c>
      <c r="F183" t="str">
        <f t="shared" ca="1" si="10"/>
        <v/>
      </c>
      <c r="G183" s="15" t="str">
        <f t="shared" si="11"/>
        <v>37,</v>
      </c>
    </row>
    <row r="184" spans="1:7" x14ac:dyDescent="0.35">
      <c r="A184">
        <v>38</v>
      </c>
      <c r="B184" t="s">
        <v>525</v>
      </c>
      <c r="C184" t="str">
        <f t="shared" si="8"/>
        <v>DAL</v>
      </c>
      <c r="D184" t="str">
        <f t="shared" si="9"/>
        <v>last</v>
      </c>
      <c r="E184" t="str">
        <f>IF(D184="first", MATCH("last", $D184:$D$510, 0), "")</f>
        <v/>
      </c>
      <c r="F184" t="str">
        <f t="shared" ca="1" si="10"/>
        <v/>
      </c>
      <c r="G184" s="15">
        <f t="shared" si="11"/>
        <v>38</v>
      </c>
    </row>
    <row r="185" spans="1:7" x14ac:dyDescent="0.35">
      <c r="A185">
        <v>353</v>
      </c>
      <c r="B185" t="s">
        <v>526</v>
      </c>
      <c r="C185" t="str">
        <f t="shared" si="8"/>
        <v>FAR</v>
      </c>
      <c r="D185" t="str">
        <f t="shared" si="9"/>
        <v>first</v>
      </c>
      <c r="E185">
        <f>IF(D185="first", MATCH("last", $D185:$D$510, 0), "")</f>
        <v>40</v>
      </c>
      <c r="F185" t="str">
        <f t="shared" ca="1" si="10"/>
        <v>353,354,355,356,357,358,359,360,361,362,363,364,365,366,367,368,369,370,371,372,373,374,375,376,377,378,379,380,381,382,383,384,385,386,387,388,389,390,391,392</v>
      </c>
      <c r="G185" s="15" t="str">
        <f t="shared" si="11"/>
        <v>353,</v>
      </c>
    </row>
    <row r="186" spans="1:7" x14ac:dyDescent="0.35">
      <c r="A186">
        <v>354</v>
      </c>
      <c r="B186" t="s">
        <v>527</v>
      </c>
      <c r="C186" t="str">
        <f t="shared" si="8"/>
        <v>FAR</v>
      </c>
      <c r="D186" t="str">
        <f t="shared" si="9"/>
        <v>mid</v>
      </c>
      <c r="E186" t="str">
        <f>IF(D186="first", MATCH("last", $D186:$D$510, 0), "")</f>
        <v/>
      </c>
      <c r="F186" t="str">
        <f t="shared" ca="1" si="10"/>
        <v/>
      </c>
      <c r="G186" s="15" t="str">
        <f t="shared" si="11"/>
        <v>354,</v>
      </c>
    </row>
    <row r="187" spans="1:7" x14ac:dyDescent="0.35">
      <c r="A187">
        <v>355</v>
      </c>
      <c r="B187" t="s">
        <v>528</v>
      </c>
      <c r="C187" t="str">
        <f t="shared" si="8"/>
        <v>FAR</v>
      </c>
      <c r="D187" t="str">
        <f t="shared" si="9"/>
        <v>mid</v>
      </c>
      <c r="E187" t="str">
        <f>IF(D187="first", MATCH("last", $D187:$D$510, 0), "")</f>
        <v/>
      </c>
      <c r="F187" t="str">
        <f t="shared" ca="1" si="10"/>
        <v/>
      </c>
      <c r="G187" s="15" t="str">
        <f t="shared" si="11"/>
        <v>355,</v>
      </c>
    </row>
    <row r="188" spans="1:7" x14ac:dyDescent="0.35">
      <c r="A188">
        <v>356</v>
      </c>
      <c r="B188" t="s">
        <v>529</v>
      </c>
      <c r="C188" t="str">
        <f t="shared" si="8"/>
        <v>FAR</v>
      </c>
      <c r="D188" t="str">
        <f t="shared" si="9"/>
        <v>mid</v>
      </c>
      <c r="E188" t="str">
        <f>IF(D188="first", MATCH("last", $D188:$D$510, 0), "")</f>
        <v/>
      </c>
      <c r="F188" t="str">
        <f t="shared" ca="1" si="10"/>
        <v/>
      </c>
      <c r="G188" s="15" t="str">
        <f t="shared" si="11"/>
        <v>356,</v>
      </c>
    </row>
    <row r="189" spans="1:7" x14ac:dyDescent="0.35">
      <c r="A189">
        <v>357</v>
      </c>
      <c r="B189" t="s">
        <v>530</v>
      </c>
      <c r="C189" t="str">
        <f t="shared" si="8"/>
        <v>FAR</v>
      </c>
      <c r="D189" t="str">
        <f t="shared" si="9"/>
        <v>mid</v>
      </c>
      <c r="E189" t="str">
        <f>IF(D189="first", MATCH("last", $D189:$D$510, 0), "")</f>
        <v/>
      </c>
      <c r="F189" t="str">
        <f t="shared" ca="1" si="10"/>
        <v/>
      </c>
      <c r="G189" s="15" t="str">
        <f t="shared" si="11"/>
        <v>357,</v>
      </c>
    </row>
    <row r="190" spans="1:7" x14ac:dyDescent="0.35">
      <c r="A190">
        <v>358</v>
      </c>
      <c r="B190" t="s">
        <v>531</v>
      </c>
      <c r="C190" t="str">
        <f t="shared" si="8"/>
        <v>FAR</v>
      </c>
      <c r="D190" t="str">
        <f t="shared" si="9"/>
        <v>mid</v>
      </c>
      <c r="E190" t="str">
        <f>IF(D190="first", MATCH("last", $D190:$D$510, 0), "")</f>
        <v/>
      </c>
      <c r="F190" t="str">
        <f t="shared" ca="1" si="10"/>
        <v/>
      </c>
      <c r="G190" s="15" t="str">
        <f t="shared" si="11"/>
        <v>358,</v>
      </c>
    </row>
    <row r="191" spans="1:7" x14ac:dyDescent="0.35">
      <c r="A191">
        <v>359</v>
      </c>
      <c r="B191" t="s">
        <v>532</v>
      </c>
      <c r="C191" t="str">
        <f t="shared" si="8"/>
        <v>FAR</v>
      </c>
      <c r="D191" t="str">
        <f t="shared" si="9"/>
        <v>mid</v>
      </c>
      <c r="E191" t="str">
        <f>IF(D191="first", MATCH("last", $D191:$D$510, 0), "")</f>
        <v/>
      </c>
      <c r="F191" t="str">
        <f t="shared" ca="1" si="10"/>
        <v/>
      </c>
      <c r="G191" s="15" t="str">
        <f t="shared" si="11"/>
        <v>359,</v>
      </c>
    </row>
    <row r="192" spans="1:7" x14ac:dyDescent="0.35">
      <c r="A192">
        <v>360</v>
      </c>
      <c r="B192" t="s">
        <v>533</v>
      </c>
      <c r="C192" t="str">
        <f t="shared" si="8"/>
        <v>FAR</v>
      </c>
      <c r="D192" t="str">
        <f t="shared" si="9"/>
        <v>mid</v>
      </c>
      <c r="E192" t="str">
        <f>IF(D192="first", MATCH("last", $D192:$D$510, 0), "")</f>
        <v/>
      </c>
      <c r="F192" t="str">
        <f t="shared" ca="1" si="10"/>
        <v/>
      </c>
      <c r="G192" s="15" t="str">
        <f t="shared" si="11"/>
        <v>360,</v>
      </c>
    </row>
    <row r="193" spans="1:7" x14ac:dyDescent="0.35">
      <c r="A193">
        <v>361</v>
      </c>
      <c r="B193" t="s">
        <v>534</v>
      </c>
      <c r="C193" t="str">
        <f t="shared" si="8"/>
        <v>FAR</v>
      </c>
      <c r="D193" t="str">
        <f t="shared" si="9"/>
        <v>mid</v>
      </c>
      <c r="E193" t="str">
        <f>IF(D193="first", MATCH("last", $D193:$D$510, 0), "")</f>
        <v/>
      </c>
      <c r="F193" t="str">
        <f t="shared" ca="1" si="10"/>
        <v/>
      </c>
      <c r="G193" s="15" t="str">
        <f t="shared" si="11"/>
        <v>361,</v>
      </c>
    </row>
    <row r="194" spans="1:7" x14ac:dyDescent="0.35">
      <c r="A194">
        <v>362</v>
      </c>
      <c r="B194" t="s">
        <v>535</v>
      </c>
      <c r="C194" t="str">
        <f t="shared" si="8"/>
        <v>FAR</v>
      </c>
      <c r="D194" t="str">
        <f t="shared" si="9"/>
        <v>mid</v>
      </c>
      <c r="E194" t="str">
        <f>IF(D194="first", MATCH("last", $D194:$D$510, 0), "")</f>
        <v/>
      </c>
      <c r="F194" t="str">
        <f t="shared" ca="1" si="10"/>
        <v/>
      </c>
      <c r="G194" s="15" t="str">
        <f t="shared" si="11"/>
        <v>362,</v>
      </c>
    </row>
    <row r="195" spans="1:7" x14ac:dyDescent="0.35">
      <c r="A195">
        <v>363</v>
      </c>
      <c r="B195" t="s">
        <v>536</v>
      </c>
      <c r="C195" t="str">
        <f t="shared" ref="C195:C258" si="12">LEFT(B195, 3)</f>
        <v>FAR</v>
      </c>
      <c r="D195" t="str">
        <f t="shared" ref="D195:D258" si="13">IF(C195&lt;&gt;C194,"first",IF(C195&lt;&gt;C196,"last","mid"))</f>
        <v>mid</v>
      </c>
      <c r="E195" t="str">
        <f>IF(D195="first", MATCH("last", $D195:$D$510, 0), "")</f>
        <v/>
      </c>
      <c r="F195" t="str">
        <f t="shared" ref="F195:F258" ca="1" si="14">IF(D195="first", _xlfn.CONCAT(INDIRECT(_xlfn.CONCAT(ADDRESS(ROW(G195), COLUMN(G195)), ":", ADDRESS(E195+ROW(G195)-1, COLUMN(G195))))), "")</f>
        <v/>
      </c>
      <c r="G195" s="15" t="str">
        <f t="shared" ref="G195:G258" si="15">IF(D195&lt;&gt;"last", _xlfn.CONCAT(A195, ","), A195)</f>
        <v>363,</v>
      </c>
    </row>
    <row r="196" spans="1:7" x14ac:dyDescent="0.35">
      <c r="A196">
        <v>364</v>
      </c>
      <c r="B196" t="s">
        <v>537</v>
      </c>
      <c r="C196" t="str">
        <f t="shared" si="12"/>
        <v>FAR</v>
      </c>
      <c r="D196" t="str">
        <f t="shared" si="13"/>
        <v>mid</v>
      </c>
      <c r="E196" t="str">
        <f>IF(D196="first", MATCH("last", $D196:$D$510, 0), "")</f>
        <v/>
      </c>
      <c r="F196" t="str">
        <f t="shared" ca="1" si="14"/>
        <v/>
      </c>
      <c r="G196" s="15" t="str">
        <f t="shared" si="15"/>
        <v>364,</v>
      </c>
    </row>
    <row r="197" spans="1:7" x14ac:dyDescent="0.35">
      <c r="A197">
        <v>365</v>
      </c>
      <c r="B197" t="s">
        <v>538</v>
      </c>
      <c r="C197" t="str">
        <f t="shared" si="12"/>
        <v>FAR</v>
      </c>
      <c r="D197" t="str">
        <f t="shared" si="13"/>
        <v>mid</v>
      </c>
      <c r="E197" t="str">
        <f>IF(D197="first", MATCH("last", $D197:$D$510, 0), "")</f>
        <v/>
      </c>
      <c r="F197" t="str">
        <f t="shared" ca="1" si="14"/>
        <v/>
      </c>
      <c r="G197" s="15" t="str">
        <f t="shared" si="15"/>
        <v>365,</v>
      </c>
    </row>
    <row r="198" spans="1:7" x14ac:dyDescent="0.35">
      <c r="A198">
        <v>366</v>
      </c>
      <c r="B198" t="s">
        <v>539</v>
      </c>
      <c r="C198" t="str">
        <f t="shared" si="12"/>
        <v>FAR</v>
      </c>
      <c r="D198" t="str">
        <f t="shared" si="13"/>
        <v>mid</v>
      </c>
      <c r="E198" t="str">
        <f>IF(D198="first", MATCH("last", $D198:$D$510, 0), "")</f>
        <v/>
      </c>
      <c r="F198" t="str">
        <f t="shared" ca="1" si="14"/>
        <v/>
      </c>
      <c r="G198" s="15" t="str">
        <f t="shared" si="15"/>
        <v>366,</v>
      </c>
    </row>
    <row r="199" spans="1:7" x14ac:dyDescent="0.35">
      <c r="A199">
        <v>367</v>
      </c>
      <c r="B199" t="s">
        <v>540</v>
      </c>
      <c r="C199" t="str">
        <f t="shared" si="12"/>
        <v>FAR</v>
      </c>
      <c r="D199" t="str">
        <f t="shared" si="13"/>
        <v>mid</v>
      </c>
      <c r="E199" t="str">
        <f>IF(D199="first", MATCH("last", $D199:$D$510, 0), "")</f>
        <v/>
      </c>
      <c r="F199" t="str">
        <f t="shared" ca="1" si="14"/>
        <v/>
      </c>
      <c r="G199" s="15" t="str">
        <f t="shared" si="15"/>
        <v>367,</v>
      </c>
    </row>
    <row r="200" spans="1:7" x14ac:dyDescent="0.35">
      <c r="A200">
        <v>368</v>
      </c>
      <c r="B200" t="s">
        <v>541</v>
      </c>
      <c r="C200" t="str">
        <f t="shared" si="12"/>
        <v>FAR</v>
      </c>
      <c r="D200" t="str">
        <f t="shared" si="13"/>
        <v>mid</v>
      </c>
      <c r="E200" t="str">
        <f>IF(D200="first", MATCH("last", $D200:$D$510, 0), "")</f>
        <v/>
      </c>
      <c r="F200" t="str">
        <f t="shared" ca="1" si="14"/>
        <v/>
      </c>
      <c r="G200" s="15" t="str">
        <f t="shared" si="15"/>
        <v>368,</v>
      </c>
    </row>
    <row r="201" spans="1:7" x14ac:dyDescent="0.35">
      <c r="A201">
        <v>369</v>
      </c>
      <c r="B201" t="s">
        <v>542</v>
      </c>
      <c r="C201" t="str">
        <f t="shared" si="12"/>
        <v>FAR</v>
      </c>
      <c r="D201" t="str">
        <f t="shared" si="13"/>
        <v>mid</v>
      </c>
      <c r="E201" t="str">
        <f>IF(D201="first", MATCH("last", $D201:$D$510, 0), "")</f>
        <v/>
      </c>
      <c r="F201" t="str">
        <f t="shared" ca="1" si="14"/>
        <v/>
      </c>
      <c r="G201" s="15" t="str">
        <f t="shared" si="15"/>
        <v>369,</v>
      </c>
    </row>
    <row r="202" spans="1:7" x14ac:dyDescent="0.35">
      <c r="A202">
        <v>370</v>
      </c>
      <c r="B202" t="s">
        <v>543</v>
      </c>
      <c r="C202" t="str">
        <f t="shared" si="12"/>
        <v>FAR</v>
      </c>
      <c r="D202" t="str">
        <f t="shared" si="13"/>
        <v>mid</v>
      </c>
      <c r="E202" t="str">
        <f>IF(D202="first", MATCH("last", $D202:$D$510, 0), "")</f>
        <v/>
      </c>
      <c r="F202" t="str">
        <f t="shared" ca="1" si="14"/>
        <v/>
      </c>
      <c r="G202" s="15" t="str">
        <f t="shared" si="15"/>
        <v>370,</v>
      </c>
    </row>
    <row r="203" spans="1:7" x14ac:dyDescent="0.35">
      <c r="A203">
        <v>371</v>
      </c>
      <c r="B203" t="s">
        <v>544</v>
      </c>
      <c r="C203" t="str">
        <f t="shared" si="12"/>
        <v>FAR</v>
      </c>
      <c r="D203" t="str">
        <f t="shared" si="13"/>
        <v>mid</v>
      </c>
      <c r="E203" t="str">
        <f>IF(D203="first", MATCH("last", $D203:$D$510, 0), "")</f>
        <v/>
      </c>
      <c r="F203" t="str">
        <f t="shared" ca="1" si="14"/>
        <v/>
      </c>
      <c r="G203" s="15" t="str">
        <f t="shared" si="15"/>
        <v>371,</v>
      </c>
    </row>
    <row r="204" spans="1:7" x14ac:dyDescent="0.35">
      <c r="A204">
        <v>372</v>
      </c>
      <c r="B204" t="s">
        <v>545</v>
      </c>
      <c r="C204" t="str">
        <f t="shared" si="12"/>
        <v>FAR</v>
      </c>
      <c r="D204" t="str">
        <f t="shared" si="13"/>
        <v>mid</v>
      </c>
      <c r="E204" t="str">
        <f>IF(D204="first", MATCH("last", $D204:$D$510, 0), "")</f>
        <v/>
      </c>
      <c r="F204" t="str">
        <f t="shared" ca="1" si="14"/>
        <v/>
      </c>
      <c r="G204" s="15" t="str">
        <f t="shared" si="15"/>
        <v>372,</v>
      </c>
    </row>
    <row r="205" spans="1:7" x14ac:dyDescent="0.35">
      <c r="A205">
        <v>373</v>
      </c>
      <c r="B205" t="s">
        <v>546</v>
      </c>
      <c r="C205" t="str">
        <f t="shared" si="12"/>
        <v>FAR</v>
      </c>
      <c r="D205" t="str">
        <f t="shared" si="13"/>
        <v>mid</v>
      </c>
      <c r="E205" t="str">
        <f>IF(D205="first", MATCH("last", $D205:$D$510, 0), "")</f>
        <v/>
      </c>
      <c r="F205" t="str">
        <f t="shared" ca="1" si="14"/>
        <v/>
      </c>
      <c r="G205" s="15" t="str">
        <f t="shared" si="15"/>
        <v>373,</v>
      </c>
    </row>
    <row r="206" spans="1:7" x14ac:dyDescent="0.35">
      <c r="A206">
        <v>374</v>
      </c>
      <c r="B206" t="s">
        <v>547</v>
      </c>
      <c r="C206" t="str">
        <f t="shared" si="12"/>
        <v>FAR</v>
      </c>
      <c r="D206" t="str">
        <f t="shared" si="13"/>
        <v>mid</v>
      </c>
      <c r="E206" t="str">
        <f>IF(D206="first", MATCH("last", $D206:$D$510, 0), "")</f>
        <v/>
      </c>
      <c r="F206" t="str">
        <f t="shared" ca="1" si="14"/>
        <v/>
      </c>
      <c r="G206" s="15" t="str">
        <f t="shared" si="15"/>
        <v>374,</v>
      </c>
    </row>
    <row r="207" spans="1:7" x14ac:dyDescent="0.35">
      <c r="A207">
        <v>375</v>
      </c>
      <c r="B207" t="s">
        <v>548</v>
      </c>
      <c r="C207" t="str">
        <f t="shared" si="12"/>
        <v>FAR</v>
      </c>
      <c r="D207" t="str">
        <f t="shared" si="13"/>
        <v>mid</v>
      </c>
      <c r="E207" t="str">
        <f>IF(D207="first", MATCH("last", $D207:$D$510, 0), "")</f>
        <v/>
      </c>
      <c r="F207" t="str">
        <f t="shared" ca="1" si="14"/>
        <v/>
      </c>
      <c r="G207" s="15" t="str">
        <f t="shared" si="15"/>
        <v>375,</v>
      </c>
    </row>
    <row r="208" spans="1:7" x14ac:dyDescent="0.35">
      <c r="A208">
        <v>376</v>
      </c>
      <c r="B208" t="s">
        <v>549</v>
      </c>
      <c r="C208" t="str">
        <f t="shared" si="12"/>
        <v>FAR</v>
      </c>
      <c r="D208" t="str">
        <f t="shared" si="13"/>
        <v>mid</v>
      </c>
      <c r="E208" t="str">
        <f>IF(D208="first", MATCH("last", $D208:$D$510, 0), "")</f>
        <v/>
      </c>
      <c r="F208" t="str">
        <f t="shared" ca="1" si="14"/>
        <v/>
      </c>
      <c r="G208" s="15" t="str">
        <f t="shared" si="15"/>
        <v>376,</v>
      </c>
    </row>
    <row r="209" spans="1:7" x14ac:dyDescent="0.35">
      <c r="A209">
        <v>377</v>
      </c>
      <c r="B209" t="s">
        <v>550</v>
      </c>
      <c r="C209" t="str">
        <f t="shared" si="12"/>
        <v>FAR</v>
      </c>
      <c r="D209" t="str">
        <f t="shared" si="13"/>
        <v>mid</v>
      </c>
      <c r="E209" t="str">
        <f>IF(D209="first", MATCH("last", $D209:$D$510, 0), "")</f>
        <v/>
      </c>
      <c r="F209" t="str">
        <f t="shared" ca="1" si="14"/>
        <v/>
      </c>
      <c r="G209" s="15" t="str">
        <f t="shared" si="15"/>
        <v>377,</v>
      </c>
    </row>
    <row r="210" spans="1:7" x14ac:dyDescent="0.35">
      <c r="A210">
        <v>378</v>
      </c>
      <c r="B210" t="s">
        <v>551</v>
      </c>
      <c r="C210" t="str">
        <f t="shared" si="12"/>
        <v>FAR</v>
      </c>
      <c r="D210" t="str">
        <f t="shared" si="13"/>
        <v>mid</v>
      </c>
      <c r="E210" t="str">
        <f>IF(D210="first", MATCH("last", $D210:$D$510, 0), "")</f>
        <v/>
      </c>
      <c r="F210" t="str">
        <f t="shared" ca="1" si="14"/>
        <v/>
      </c>
      <c r="G210" s="15" t="str">
        <f t="shared" si="15"/>
        <v>378,</v>
      </c>
    </row>
    <row r="211" spans="1:7" x14ac:dyDescent="0.35">
      <c r="A211">
        <v>379</v>
      </c>
      <c r="B211" t="s">
        <v>552</v>
      </c>
      <c r="C211" t="str">
        <f t="shared" si="12"/>
        <v>FAR</v>
      </c>
      <c r="D211" t="str">
        <f t="shared" si="13"/>
        <v>mid</v>
      </c>
      <c r="E211" t="str">
        <f>IF(D211="first", MATCH("last", $D211:$D$510, 0), "")</f>
        <v/>
      </c>
      <c r="F211" t="str">
        <f t="shared" ca="1" si="14"/>
        <v/>
      </c>
      <c r="G211" s="15" t="str">
        <f t="shared" si="15"/>
        <v>379,</v>
      </c>
    </row>
    <row r="212" spans="1:7" x14ac:dyDescent="0.35">
      <c r="A212">
        <v>380</v>
      </c>
      <c r="B212" t="s">
        <v>553</v>
      </c>
      <c r="C212" t="str">
        <f t="shared" si="12"/>
        <v>FAR</v>
      </c>
      <c r="D212" t="str">
        <f t="shared" si="13"/>
        <v>mid</v>
      </c>
      <c r="E212" t="str">
        <f>IF(D212="first", MATCH("last", $D212:$D$510, 0), "")</f>
        <v/>
      </c>
      <c r="F212" t="str">
        <f t="shared" ca="1" si="14"/>
        <v/>
      </c>
      <c r="G212" s="15" t="str">
        <f t="shared" si="15"/>
        <v>380,</v>
      </c>
    </row>
    <row r="213" spans="1:7" x14ac:dyDescent="0.35">
      <c r="A213">
        <v>381</v>
      </c>
      <c r="B213" t="s">
        <v>554</v>
      </c>
      <c r="C213" t="str">
        <f t="shared" si="12"/>
        <v>FAR</v>
      </c>
      <c r="D213" t="str">
        <f t="shared" si="13"/>
        <v>mid</v>
      </c>
      <c r="E213" t="str">
        <f>IF(D213="first", MATCH("last", $D213:$D$510, 0), "")</f>
        <v/>
      </c>
      <c r="F213" t="str">
        <f t="shared" ca="1" si="14"/>
        <v/>
      </c>
      <c r="G213" s="15" t="str">
        <f t="shared" si="15"/>
        <v>381,</v>
      </c>
    </row>
    <row r="214" spans="1:7" x14ac:dyDescent="0.35">
      <c r="A214">
        <v>382</v>
      </c>
      <c r="B214" t="s">
        <v>555</v>
      </c>
      <c r="C214" t="str">
        <f t="shared" si="12"/>
        <v>FAR</v>
      </c>
      <c r="D214" t="str">
        <f t="shared" si="13"/>
        <v>mid</v>
      </c>
      <c r="E214" t="str">
        <f>IF(D214="first", MATCH("last", $D214:$D$510, 0), "")</f>
        <v/>
      </c>
      <c r="F214" t="str">
        <f t="shared" ca="1" si="14"/>
        <v/>
      </c>
      <c r="G214" s="15" t="str">
        <f t="shared" si="15"/>
        <v>382,</v>
      </c>
    </row>
    <row r="215" spans="1:7" x14ac:dyDescent="0.35">
      <c r="A215">
        <v>383</v>
      </c>
      <c r="B215" t="s">
        <v>556</v>
      </c>
      <c r="C215" t="str">
        <f t="shared" si="12"/>
        <v>FAR</v>
      </c>
      <c r="D215" t="str">
        <f t="shared" si="13"/>
        <v>mid</v>
      </c>
      <c r="E215" t="str">
        <f>IF(D215="first", MATCH("last", $D215:$D$510, 0), "")</f>
        <v/>
      </c>
      <c r="F215" t="str">
        <f t="shared" ca="1" si="14"/>
        <v/>
      </c>
      <c r="G215" s="15" t="str">
        <f t="shared" si="15"/>
        <v>383,</v>
      </c>
    </row>
    <row r="216" spans="1:7" x14ac:dyDescent="0.35">
      <c r="A216">
        <v>384</v>
      </c>
      <c r="B216" t="s">
        <v>557</v>
      </c>
      <c r="C216" t="str">
        <f t="shared" si="12"/>
        <v>FAR</v>
      </c>
      <c r="D216" t="str">
        <f t="shared" si="13"/>
        <v>mid</v>
      </c>
      <c r="E216" t="str">
        <f>IF(D216="first", MATCH("last", $D216:$D$510, 0), "")</f>
        <v/>
      </c>
      <c r="F216" t="str">
        <f t="shared" ca="1" si="14"/>
        <v/>
      </c>
      <c r="G216" s="15" t="str">
        <f t="shared" si="15"/>
        <v>384,</v>
      </c>
    </row>
    <row r="217" spans="1:7" x14ac:dyDescent="0.35">
      <c r="A217">
        <v>385</v>
      </c>
      <c r="B217" t="s">
        <v>558</v>
      </c>
      <c r="C217" t="str">
        <f t="shared" si="12"/>
        <v>FAR</v>
      </c>
      <c r="D217" t="str">
        <f t="shared" si="13"/>
        <v>mid</v>
      </c>
      <c r="E217" t="str">
        <f>IF(D217="first", MATCH("last", $D217:$D$510, 0), "")</f>
        <v/>
      </c>
      <c r="F217" t="str">
        <f t="shared" ca="1" si="14"/>
        <v/>
      </c>
      <c r="G217" s="15" t="str">
        <f t="shared" si="15"/>
        <v>385,</v>
      </c>
    </row>
    <row r="218" spans="1:7" x14ac:dyDescent="0.35">
      <c r="A218">
        <v>386</v>
      </c>
      <c r="B218" t="s">
        <v>559</v>
      </c>
      <c r="C218" t="str">
        <f t="shared" si="12"/>
        <v>FAR</v>
      </c>
      <c r="D218" t="str">
        <f t="shared" si="13"/>
        <v>mid</v>
      </c>
      <c r="E218" t="str">
        <f>IF(D218="first", MATCH("last", $D218:$D$510, 0), "")</f>
        <v/>
      </c>
      <c r="F218" t="str">
        <f t="shared" ca="1" si="14"/>
        <v/>
      </c>
      <c r="G218" s="15" t="str">
        <f t="shared" si="15"/>
        <v>386,</v>
      </c>
    </row>
    <row r="219" spans="1:7" x14ac:dyDescent="0.35">
      <c r="A219">
        <v>387</v>
      </c>
      <c r="B219" t="s">
        <v>560</v>
      </c>
      <c r="C219" t="str">
        <f t="shared" si="12"/>
        <v>FAR</v>
      </c>
      <c r="D219" t="str">
        <f t="shared" si="13"/>
        <v>mid</v>
      </c>
      <c r="E219" t="str">
        <f>IF(D219="first", MATCH("last", $D219:$D$510, 0), "")</f>
        <v/>
      </c>
      <c r="F219" t="str">
        <f t="shared" ca="1" si="14"/>
        <v/>
      </c>
      <c r="G219" s="15" t="str">
        <f t="shared" si="15"/>
        <v>387,</v>
      </c>
    </row>
    <row r="220" spans="1:7" x14ac:dyDescent="0.35">
      <c r="A220">
        <v>388</v>
      </c>
      <c r="B220" t="s">
        <v>561</v>
      </c>
      <c r="C220" t="str">
        <f t="shared" si="12"/>
        <v>FAR</v>
      </c>
      <c r="D220" t="str">
        <f t="shared" si="13"/>
        <v>mid</v>
      </c>
      <c r="E220" t="str">
        <f>IF(D220="first", MATCH("last", $D220:$D$510, 0), "")</f>
        <v/>
      </c>
      <c r="F220" t="str">
        <f t="shared" ca="1" si="14"/>
        <v/>
      </c>
      <c r="G220" s="15" t="str">
        <f t="shared" si="15"/>
        <v>388,</v>
      </c>
    </row>
    <row r="221" spans="1:7" x14ac:dyDescent="0.35">
      <c r="A221">
        <v>389</v>
      </c>
      <c r="B221" t="s">
        <v>562</v>
      </c>
      <c r="C221" t="str">
        <f t="shared" si="12"/>
        <v>FAR</v>
      </c>
      <c r="D221" t="str">
        <f t="shared" si="13"/>
        <v>mid</v>
      </c>
      <c r="E221" t="str">
        <f>IF(D221="first", MATCH("last", $D221:$D$510, 0), "")</f>
        <v/>
      </c>
      <c r="F221" t="str">
        <f t="shared" ca="1" si="14"/>
        <v/>
      </c>
      <c r="G221" s="15" t="str">
        <f t="shared" si="15"/>
        <v>389,</v>
      </c>
    </row>
    <row r="222" spans="1:7" x14ac:dyDescent="0.35">
      <c r="A222">
        <v>390</v>
      </c>
      <c r="B222" t="s">
        <v>563</v>
      </c>
      <c r="C222" t="str">
        <f t="shared" si="12"/>
        <v>FAR</v>
      </c>
      <c r="D222" t="str">
        <f t="shared" si="13"/>
        <v>mid</v>
      </c>
      <c r="E222" t="str">
        <f>IF(D222="first", MATCH("last", $D222:$D$510, 0), "")</f>
        <v/>
      </c>
      <c r="F222" t="str">
        <f t="shared" ca="1" si="14"/>
        <v/>
      </c>
      <c r="G222" s="15" t="str">
        <f t="shared" si="15"/>
        <v>390,</v>
      </c>
    </row>
    <row r="223" spans="1:7" x14ac:dyDescent="0.35">
      <c r="A223">
        <v>391</v>
      </c>
      <c r="B223" t="s">
        <v>564</v>
      </c>
      <c r="C223" t="str">
        <f t="shared" si="12"/>
        <v>FAR</v>
      </c>
      <c r="D223" t="str">
        <f t="shared" si="13"/>
        <v>mid</v>
      </c>
      <c r="E223" t="str">
        <f>IF(D223="first", MATCH("last", $D223:$D$510, 0), "")</f>
        <v/>
      </c>
      <c r="F223" t="str">
        <f t="shared" ca="1" si="14"/>
        <v/>
      </c>
      <c r="G223" s="15" t="str">
        <f t="shared" si="15"/>
        <v>391,</v>
      </c>
    </row>
    <row r="224" spans="1:7" x14ac:dyDescent="0.35">
      <c r="A224">
        <v>392</v>
      </c>
      <c r="B224" t="s">
        <v>565</v>
      </c>
      <c r="C224" t="str">
        <f t="shared" si="12"/>
        <v>FAR</v>
      </c>
      <c r="D224" t="str">
        <f t="shared" si="13"/>
        <v>last</v>
      </c>
      <c r="E224" t="str">
        <f>IF(D224="first", MATCH("last", $D224:$D$510, 0), "")</f>
        <v/>
      </c>
      <c r="F224" t="str">
        <f t="shared" ca="1" si="14"/>
        <v/>
      </c>
      <c r="G224" s="15">
        <f t="shared" si="15"/>
        <v>392</v>
      </c>
    </row>
    <row r="225" spans="1:7" x14ac:dyDescent="0.35">
      <c r="A225">
        <v>393</v>
      </c>
      <c r="B225" t="s">
        <v>566</v>
      </c>
      <c r="C225" t="str">
        <f t="shared" si="12"/>
        <v>FFY</v>
      </c>
      <c r="D225" t="str">
        <f t="shared" si="13"/>
        <v>first</v>
      </c>
      <c r="E225">
        <f>IF(D225="first", MATCH("last", $D225:$D$510, 0), "")</f>
        <v>16</v>
      </c>
      <c r="F225" t="str">
        <f t="shared" ca="1" si="14"/>
        <v>393,394,395,396,397,398,399,400,401,402,403,404,405,406,407,408</v>
      </c>
      <c r="G225" s="15" t="str">
        <f t="shared" si="15"/>
        <v>393,</v>
      </c>
    </row>
    <row r="226" spans="1:7" x14ac:dyDescent="0.35">
      <c r="A226">
        <v>394</v>
      </c>
      <c r="B226" t="s">
        <v>567</v>
      </c>
      <c r="C226" t="str">
        <f t="shared" si="12"/>
        <v>FFY</v>
      </c>
      <c r="D226" t="str">
        <f t="shared" si="13"/>
        <v>mid</v>
      </c>
      <c r="E226" t="str">
        <f>IF(D226="first", MATCH("last", $D226:$D$510, 0), "")</f>
        <v/>
      </c>
      <c r="F226" t="str">
        <f t="shared" ca="1" si="14"/>
        <v/>
      </c>
      <c r="G226" s="15" t="str">
        <f t="shared" si="15"/>
        <v>394,</v>
      </c>
    </row>
    <row r="227" spans="1:7" x14ac:dyDescent="0.35">
      <c r="A227">
        <v>395</v>
      </c>
      <c r="B227" t="s">
        <v>568</v>
      </c>
      <c r="C227" t="str">
        <f t="shared" si="12"/>
        <v>FFY</v>
      </c>
      <c r="D227" t="str">
        <f t="shared" si="13"/>
        <v>mid</v>
      </c>
      <c r="E227" t="str">
        <f>IF(D227="first", MATCH("last", $D227:$D$510, 0), "")</f>
        <v/>
      </c>
      <c r="F227" t="str">
        <f t="shared" ca="1" si="14"/>
        <v/>
      </c>
      <c r="G227" s="15" t="str">
        <f t="shared" si="15"/>
        <v>395,</v>
      </c>
    </row>
    <row r="228" spans="1:7" x14ac:dyDescent="0.35">
      <c r="A228">
        <v>396</v>
      </c>
      <c r="B228" t="s">
        <v>569</v>
      </c>
      <c r="C228" t="str">
        <f t="shared" si="12"/>
        <v>FFY</v>
      </c>
      <c r="D228" t="str">
        <f t="shared" si="13"/>
        <v>mid</v>
      </c>
      <c r="E228" t="str">
        <f>IF(D228="first", MATCH("last", $D228:$D$510, 0), "")</f>
        <v/>
      </c>
      <c r="F228" t="str">
        <f t="shared" ca="1" si="14"/>
        <v/>
      </c>
      <c r="G228" s="15" t="str">
        <f t="shared" si="15"/>
        <v>396,</v>
      </c>
    </row>
    <row r="229" spans="1:7" x14ac:dyDescent="0.35">
      <c r="A229">
        <v>397</v>
      </c>
      <c r="B229" t="s">
        <v>570</v>
      </c>
      <c r="C229" t="str">
        <f t="shared" si="12"/>
        <v>FFY</v>
      </c>
      <c r="D229" t="str">
        <f t="shared" si="13"/>
        <v>mid</v>
      </c>
      <c r="E229" t="str">
        <f>IF(D229="first", MATCH("last", $D229:$D$510, 0), "")</f>
        <v/>
      </c>
      <c r="F229" t="str">
        <f t="shared" ca="1" si="14"/>
        <v/>
      </c>
      <c r="G229" s="15" t="str">
        <f t="shared" si="15"/>
        <v>397,</v>
      </c>
    </row>
    <row r="230" spans="1:7" x14ac:dyDescent="0.35">
      <c r="A230">
        <v>398</v>
      </c>
      <c r="B230" t="s">
        <v>571</v>
      </c>
      <c r="C230" t="str">
        <f t="shared" si="12"/>
        <v>FFY</v>
      </c>
      <c r="D230" t="str">
        <f t="shared" si="13"/>
        <v>mid</v>
      </c>
      <c r="E230" t="str">
        <f>IF(D230="first", MATCH("last", $D230:$D$510, 0), "")</f>
        <v/>
      </c>
      <c r="F230" t="str">
        <f t="shared" ca="1" si="14"/>
        <v/>
      </c>
      <c r="G230" s="15" t="str">
        <f t="shared" si="15"/>
        <v>398,</v>
      </c>
    </row>
    <row r="231" spans="1:7" x14ac:dyDescent="0.35">
      <c r="A231">
        <v>399</v>
      </c>
      <c r="B231" t="s">
        <v>572</v>
      </c>
      <c r="C231" t="str">
        <f t="shared" si="12"/>
        <v>FFY</v>
      </c>
      <c r="D231" t="str">
        <f t="shared" si="13"/>
        <v>mid</v>
      </c>
      <c r="E231" t="str">
        <f>IF(D231="first", MATCH("last", $D231:$D$510, 0), "")</f>
        <v/>
      </c>
      <c r="F231" t="str">
        <f t="shared" ca="1" si="14"/>
        <v/>
      </c>
      <c r="G231" s="15" t="str">
        <f t="shared" si="15"/>
        <v>399,</v>
      </c>
    </row>
    <row r="232" spans="1:7" x14ac:dyDescent="0.35">
      <c r="A232">
        <v>400</v>
      </c>
      <c r="B232" t="s">
        <v>573</v>
      </c>
      <c r="C232" t="str">
        <f t="shared" si="12"/>
        <v>FFY</v>
      </c>
      <c r="D232" t="str">
        <f t="shared" si="13"/>
        <v>mid</v>
      </c>
      <c r="E232" t="str">
        <f>IF(D232="first", MATCH("last", $D232:$D$510, 0), "")</f>
        <v/>
      </c>
      <c r="F232" t="str">
        <f t="shared" ca="1" si="14"/>
        <v/>
      </c>
      <c r="G232" s="15" t="str">
        <f t="shared" si="15"/>
        <v>400,</v>
      </c>
    </row>
    <row r="233" spans="1:7" x14ac:dyDescent="0.35">
      <c r="A233">
        <v>401</v>
      </c>
      <c r="B233" t="s">
        <v>574</v>
      </c>
      <c r="C233" t="str">
        <f t="shared" si="12"/>
        <v>FFY</v>
      </c>
      <c r="D233" t="str">
        <f t="shared" si="13"/>
        <v>mid</v>
      </c>
      <c r="E233" t="str">
        <f>IF(D233="first", MATCH("last", $D233:$D$510, 0), "")</f>
        <v/>
      </c>
      <c r="F233" t="str">
        <f t="shared" ca="1" si="14"/>
        <v/>
      </c>
      <c r="G233" s="15" t="str">
        <f t="shared" si="15"/>
        <v>401,</v>
      </c>
    </row>
    <row r="234" spans="1:7" x14ac:dyDescent="0.35">
      <c r="A234">
        <v>402</v>
      </c>
      <c r="B234" t="s">
        <v>575</v>
      </c>
      <c r="C234" t="str">
        <f t="shared" si="12"/>
        <v>FFY</v>
      </c>
      <c r="D234" t="str">
        <f t="shared" si="13"/>
        <v>mid</v>
      </c>
      <c r="E234" t="str">
        <f>IF(D234="first", MATCH("last", $D234:$D$510, 0), "")</f>
        <v/>
      </c>
      <c r="F234" t="str">
        <f t="shared" ca="1" si="14"/>
        <v/>
      </c>
      <c r="G234" s="15" t="str">
        <f t="shared" si="15"/>
        <v>402,</v>
      </c>
    </row>
    <row r="235" spans="1:7" x14ac:dyDescent="0.35">
      <c r="A235">
        <v>403</v>
      </c>
      <c r="B235" t="s">
        <v>576</v>
      </c>
      <c r="C235" t="str">
        <f t="shared" si="12"/>
        <v>FFY</v>
      </c>
      <c r="D235" t="str">
        <f t="shared" si="13"/>
        <v>mid</v>
      </c>
      <c r="E235" t="str">
        <f>IF(D235="first", MATCH("last", $D235:$D$510, 0), "")</f>
        <v/>
      </c>
      <c r="F235" t="str">
        <f t="shared" ca="1" si="14"/>
        <v/>
      </c>
      <c r="G235" s="15" t="str">
        <f t="shared" si="15"/>
        <v>403,</v>
      </c>
    </row>
    <row r="236" spans="1:7" x14ac:dyDescent="0.35">
      <c r="A236">
        <v>404</v>
      </c>
      <c r="B236" t="s">
        <v>577</v>
      </c>
      <c r="C236" t="str">
        <f t="shared" si="12"/>
        <v>FFY</v>
      </c>
      <c r="D236" t="str">
        <f t="shared" si="13"/>
        <v>mid</v>
      </c>
      <c r="E236" t="str">
        <f>IF(D236="first", MATCH("last", $D236:$D$510, 0), "")</f>
        <v/>
      </c>
      <c r="F236" t="str">
        <f t="shared" ca="1" si="14"/>
        <v/>
      </c>
      <c r="G236" s="15" t="str">
        <f t="shared" si="15"/>
        <v>404,</v>
      </c>
    </row>
    <row r="237" spans="1:7" x14ac:dyDescent="0.35">
      <c r="A237">
        <v>405</v>
      </c>
      <c r="B237" t="s">
        <v>578</v>
      </c>
      <c r="C237" t="str">
        <f t="shared" si="12"/>
        <v>FFY</v>
      </c>
      <c r="D237" t="str">
        <f t="shared" si="13"/>
        <v>mid</v>
      </c>
      <c r="E237" t="str">
        <f>IF(D237="first", MATCH("last", $D237:$D$510, 0), "")</f>
        <v/>
      </c>
      <c r="F237" t="str">
        <f t="shared" ca="1" si="14"/>
        <v/>
      </c>
      <c r="G237" s="15" t="str">
        <f t="shared" si="15"/>
        <v>405,</v>
      </c>
    </row>
    <row r="238" spans="1:7" x14ac:dyDescent="0.35">
      <c r="A238">
        <v>406</v>
      </c>
      <c r="B238" t="s">
        <v>579</v>
      </c>
      <c r="C238" t="str">
        <f t="shared" si="12"/>
        <v>FFY</v>
      </c>
      <c r="D238" t="str">
        <f t="shared" si="13"/>
        <v>mid</v>
      </c>
      <c r="E238" t="str">
        <f>IF(D238="first", MATCH("last", $D238:$D$510, 0), "")</f>
        <v/>
      </c>
      <c r="F238" t="str">
        <f t="shared" ca="1" si="14"/>
        <v/>
      </c>
      <c r="G238" s="15" t="str">
        <f t="shared" si="15"/>
        <v>406,</v>
      </c>
    </row>
    <row r="239" spans="1:7" x14ac:dyDescent="0.35">
      <c r="A239">
        <v>407</v>
      </c>
      <c r="B239" t="s">
        <v>580</v>
      </c>
      <c r="C239" t="str">
        <f t="shared" si="12"/>
        <v>FFY</v>
      </c>
      <c r="D239" t="str">
        <f t="shared" si="13"/>
        <v>mid</v>
      </c>
      <c r="E239" t="str">
        <f>IF(D239="first", MATCH("last", $D239:$D$510, 0), "")</f>
        <v/>
      </c>
      <c r="F239" t="str">
        <f t="shared" ca="1" si="14"/>
        <v/>
      </c>
      <c r="G239" s="15" t="str">
        <f t="shared" si="15"/>
        <v>407,</v>
      </c>
    </row>
    <row r="240" spans="1:7" x14ac:dyDescent="0.35">
      <c r="A240">
        <v>408</v>
      </c>
      <c r="B240" t="s">
        <v>581</v>
      </c>
      <c r="C240" t="str">
        <f t="shared" si="12"/>
        <v>FFY</v>
      </c>
      <c r="D240" t="str">
        <f t="shared" si="13"/>
        <v>last</v>
      </c>
      <c r="E240" t="str">
        <f>IF(D240="first", MATCH("last", $D240:$D$510, 0), "")</f>
        <v/>
      </c>
      <c r="F240" t="str">
        <f t="shared" ca="1" si="14"/>
        <v/>
      </c>
      <c r="G240" s="15">
        <f t="shared" si="15"/>
        <v>408</v>
      </c>
    </row>
    <row r="241" spans="1:7" x14ac:dyDescent="0.35">
      <c r="A241">
        <v>202</v>
      </c>
      <c r="B241" t="s">
        <v>582</v>
      </c>
      <c r="C241" t="str">
        <f t="shared" si="12"/>
        <v>GAL</v>
      </c>
      <c r="D241" t="str">
        <f t="shared" si="13"/>
        <v>first</v>
      </c>
      <c r="E241">
        <f>IF(D241="first", MATCH("last", $D241:$D$510, 0), "")</f>
        <v>22</v>
      </c>
      <c r="F241" t="str">
        <f t="shared" ca="1" si="14"/>
        <v>202,203,204,205,206,207,208,209,210,211,212,213,214,215,216,217,218,219,220,221,222,223</v>
      </c>
      <c r="G241" s="15" t="str">
        <f t="shared" si="15"/>
        <v>202,</v>
      </c>
    </row>
    <row r="242" spans="1:7" x14ac:dyDescent="0.35">
      <c r="A242">
        <v>203</v>
      </c>
      <c r="B242" t="s">
        <v>583</v>
      </c>
      <c r="C242" t="str">
        <f t="shared" si="12"/>
        <v>GAL</v>
      </c>
      <c r="D242" t="str">
        <f t="shared" si="13"/>
        <v>mid</v>
      </c>
      <c r="E242" t="str">
        <f>IF(D242="first", MATCH("last", $D242:$D$510, 0), "")</f>
        <v/>
      </c>
      <c r="F242" t="str">
        <f t="shared" ca="1" si="14"/>
        <v/>
      </c>
      <c r="G242" s="15" t="str">
        <f t="shared" si="15"/>
        <v>203,</v>
      </c>
    </row>
    <row r="243" spans="1:7" x14ac:dyDescent="0.35">
      <c r="A243">
        <v>204</v>
      </c>
      <c r="B243" t="s">
        <v>584</v>
      </c>
      <c r="C243" t="str">
        <f t="shared" si="12"/>
        <v>GAL</v>
      </c>
      <c r="D243" t="str">
        <f t="shared" si="13"/>
        <v>mid</v>
      </c>
      <c r="E243" t="str">
        <f>IF(D243="first", MATCH("last", $D243:$D$510, 0), "")</f>
        <v/>
      </c>
      <c r="F243" t="str">
        <f t="shared" ca="1" si="14"/>
        <v/>
      </c>
      <c r="G243" s="15" t="str">
        <f t="shared" si="15"/>
        <v>204,</v>
      </c>
    </row>
    <row r="244" spans="1:7" x14ac:dyDescent="0.35">
      <c r="A244">
        <v>205</v>
      </c>
      <c r="B244" t="s">
        <v>585</v>
      </c>
      <c r="C244" t="str">
        <f t="shared" si="12"/>
        <v>GAL</v>
      </c>
      <c r="D244" t="str">
        <f t="shared" si="13"/>
        <v>mid</v>
      </c>
      <c r="E244" t="str">
        <f>IF(D244="first", MATCH("last", $D244:$D$510, 0), "")</f>
        <v/>
      </c>
      <c r="F244" t="str">
        <f t="shared" ca="1" si="14"/>
        <v/>
      </c>
      <c r="G244" s="15" t="str">
        <f t="shared" si="15"/>
        <v>205,</v>
      </c>
    </row>
    <row r="245" spans="1:7" x14ac:dyDescent="0.35">
      <c r="A245">
        <v>206</v>
      </c>
      <c r="B245" t="s">
        <v>586</v>
      </c>
      <c r="C245" t="str">
        <f t="shared" si="12"/>
        <v>GAL</v>
      </c>
      <c r="D245" t="str">
        <f t="shared" si="13"/>
        <v>mid</v>
      </c>
      <c r="E245" t="str">
        <f>IF(D245="first", MATCH("last", $D245:$D$510, 0), "")</f>
        <v/>
      </c>
      <c r="F245" t="str">
        <f t="shared" ca="1" si="14"/>
        <v/>
      </c>
      <c r="G245" s="15" t="str">
        <f t="shared" si="15"/>
        <v>206,</v>
      </c>
    </row>
    <row r="246" spans="1:7" x14ac:dyDescent="0.35">
      <c r="A246">
        <v>207</v>
      </c>
      <c r="B246" t="s">
        <v>587</v>
      </c>
      <c r="C246" t="str">
        <f t="shared" si="12"/>
        <v>GAL</v>
      </c>
      <c r="D246" t="str">
        <f t="shared" si="13"/>
        <v>mid</v>
      </c>
      <c r="E246" t="str">
        <f>IF(D246="first", MATCH("last", $D246:$D$510, 0), "")</f>
        <v/>
      </c>
      <c r="F246" t="str">
        <f t="shared" ca="1" si="14"/>
        <v/>
      </c>
      <c r="G246" s="15" t="str">
        <f t="shared" si="15"/>
        <v>207,</v>
      </c>
    </row>
    <row r="247" spans="1:7" x14ac:dyDescent="0.35">
      <c r="A247">
        <v>208</v>
      </c>
      <c r="B247" t="s">
        <v>588</v>
      </c>
      <c r="C247" t="str">
        <f t="shared" si="12"/>
        <v>GAL</v>
      </c>
      <c r="D247" t="str">
        <f t="shared" si="13"/>
        <v>mid</v>
      </c>
      <c r="E247" t="str">
        <f>IF(D247="first", MATCH("last", $D247:$D$510, 0), "")</f>
        <v/>
      </c>
      <c r="F247" t="str">
        <f t="shared" ca="1" si="14"/>
        <v/>
      </c>
      <c r="G247" s="15" t="str">
        <f t="shared" si="15"/>
        <v>208,</v>
      </c>
    </row>
    <row r="248" spans="1:7" x14ac:dyDescent="0.35">
      <c r="A248">
        <v>209</v>
      </c>
      <c r="B248" t="s">
        <v>589</v>
      </c>
      <c r="C248" t="str">
        <f t="shared" si="12"/>
        <v>GAL</v>
      </c>
      <c r="D248" t="str">
        <f t="shared" si="13"/>
        <v>mid</v>
      </c>
      <c r="E248" t="str">
        <f>IF(D248="first", MATCH("last", $D248:$D$510, 0), "")</f>
        <v/>
      </c>
      <c r="F248" t="str">
        <f t="shared" ca="1" si="14"/>
        <v/>
      </c>
      <c r="G248" s="15" t="str">
        <f t="shared" si="15"/>
        <v>209,</v>
      </c>
    </row>
    <row r="249" spans="1:7" x14ac:dyDescent="0.35">
      <c r="A249">
        <v>210</v>
      </c>
      <c r="B249" t="s">
        <v>590</v>
      </c>
      <c r="C249" t="str">
        <f t="shared" si="12"/>
        <v>GAL</v>
      </c>
      <c r="D249" t="str">
        <f t="shared" si="13"/>
        <v>mid</v>
      </c>
      <c r="E249" t="str">
        <f>IF(D249="first", MATCH("last", $D249:$D$510, 0), "")</f>
        <v/>
      </c>
      <c r="F249" t="str">
        <f t="shared" ca="1" si="14"/>
        <v/>
      </c>
      <c r="G249" s="15" t="str">
        <f t="shared" si="15"/>
        <v>210,</v>
      </c>
    </row>
    <row r="250" spans="1:7" x14ac:dyDescent="0.35">
      <c r="A250">
        <v>211</v>
      </c>
      <c r="B250" t="s">
        <v>591</v>
      </c>
      <c r="C250" t="str">
        <f t="shared" si="12"/>
        <v>GAL</v>
      </c>
      <c r="D250" t="str">
        <f t="shared" si="13"/>
        <v>mid</v>
      </c>
      <c r="E250" t="str">
        <f>IF(D250="first", MATCH("last", $D250:$D$510, 0), "")</f>
        <v/>
      </c>
      <c r="F250" t="str">
        <f t="shared" ca="1" si="14"/>
        <v/>
      </c>
      <c r="G250" s="15" t="str">
        <f t="shared" si="15"/>
        <v>211,</v>
      </c>
    </row>
    <row r="251" spans="1:7" x14ac:dyDescent="0.35">
      <c r="A251">
        <v>212</v>
      </c>
      <c r="B251" t="s">
        <v>592</v>
      </c>
      <c r="C251" t="str">
        <f t="shared" si="12"/>
        <v>GAL</v>
      </c>
      <c r="D251" t="str">
        <f t="shared" si="13"/>
        <v>mid</v>
      </c>
      <c r="E251" t="str">
        <f>IF(D251="first", MATCH("last", $D251:$D$510, 0), "")</f>
        <v/>
      </c>
      <c r="F251" t="str">
        <f t="shared" ca="1" si="14"/>
        <v/>
      </c>
      <c r="G251" s="15" t="str">
        <f t="shared" si="15"/>
        <v>212,</v>
      </c>
    </row>
    <row r="252" spans="1:7" x14ac:dyDescent="0.35">
      <c r="A252">
        <v>213</v>
      </c>
      <c r="B252" t="s">
        <v>593</v>
      </c>
      <c r="C252" t="str">
        <f t="shared" si="12"/>
        <v>GAL</v>
      </c>
      <c r="D252" t="str">
        <f t="shared" si="13"/>
        <v>mid</v>
      </c>
      <c r="E252" t="str">
        <f>IF(D252="first", MATCH("last", $D252:$D$510, 0), "")</f>
        <v/>
      </c>
      <c r="F252" t="str">
        <f t="shared" ca="1" si="14"/>
        <v/>
      </c>
      <c r="G252" s="15" t="str">
        <f t="shared" si="15"/>
        <v>213,</v>
      </c>
    </row>
    <row r="253" spans="1:7" x14ac:dyDescent="0.35">
      <c r="A253">
        <v>214</v>
      </c>
      <c r="B253" t="s">
        <v>594</v>
      </c>
      <c r="C253" t="str">
        <f t="shared" si="12"/>
        <v>GAL</v>
      </c>
      <c r="D253" t="str">
        <f t="shared" si="13"/>
        <v>mid</v>
      </c>
      <c r="E253" t="str">
        <f>IF(D253="first", MATCH("last", $D253:$D$510, 0), "")</f>
        <v/>
      </c>
      <c r="F253" t="str">
        <f t="shared" ca="1" si="14"/>
        <v/>
      </c>
      <c r="G253" s="15" t="str">
        <f t="shared" si="15"/>
        <v>214,</v>
      </c>
    </row>
    <row r="254" spans="1:7" x14ac:dyDescent="0.35">
      <c r="A254">
        <v>215</v>
      </c>
      <c r="B254" t="s">
        <v>595</v>
      </c>
      <c r="C254" t="str">
        <f t="shared" si="12"/>
        <v>GAL</v>
      </c>
      <c r="D254" t="str">
        <f t="shared" si="13"/>
        <v>mid</v>
      </c>
      <c r="E254" t="str">
        <f>IF(D254="first", MATCH("last", $D254:$D$510, 0), "")</f>
        <v/>
      </c>
      <c r="F254" t="str">
        <f t="shared" ca="1" si="14"/>
        <v/>
      </c>
      <c r="G254" s="15" t="str">
        <f t="shared" si="15"/>
        <v>215,</v>
      </c>
    </row>
    <row r="255" spans="1:7" x14ac:dyDescent="0.35">
      <c r="A255">
        <v>216</v>
      </c>
      <c r="B255" t="s">
        <v>596</v>
      </c>
      <c r="C255" t="str">
        <f t="shared" si="12"/>
        <v>GAL</v>
      </c>
      <c r="D255" t="str">
        <f t="shared" si="13"/>
        <v>mid</v>
      </c>
      <c r="E255" t="str">
        <f>IF(D255="first", MATCH("last", $D255:$D$510, 0), "")</f>
        <v/>
      </c>
      <c r="F255" t="str">
        <f t="shared" ca="1" si="14"/>
        <v/>
      </c>
      <c r="G255" s="15" t="str">
        <f t="shared" si="15"/>
        <v>216,</v>
      </c>
    </row>
    <row r="256" spans="1:7" x14ac:dyDescent="0.35">
      <c r="A256">
        <v>217</v>
      </c>
      <c r="B256" t="s">
        <v>597</v>
      </c>
      <c r="C256" t="str">
        <f t="shared" si="12"/>
        <v>GAL</v>
      </c>
      <c r="D256" t="str">
        <f t="shared" si="13"/>
        <v>mid</v>
      </c>
      <c r="E256" t="str">
        <f>IF(D256="first", MATCH("last", $D256:$D$510, 0), "")</f>
        <v/>
      </c>
      <c r="F256" t="str">
        <f t="shared" ca="1" si="14"/>
        <v/>
      </c>
      <c r="G256" s="15" t="str">
        <f t="shared" si="15"/>
        <v>217,</v>
      </c>
    </row>
    <row r="257" spans="1:8" x14ac:dyDescent="0.35">
      <c r="A257">
        <v>218</v>
      </c>
      <c r="B257" t="s">
        <v>598</v>
      </c>
      <c r="C257" t="str">
        <f t="shared" si="12"/>
        <v>GAL</v>
      </c>
      <c r="D257" t="str">
        <f t="shared" si="13"/>
        <v>mid</v>
      </c>
      <c r="E257" t="str">
        <f>IF(D257="first", MATCH("last", $D257:$D$510, 0), "")</f>
        <v/>
      </c>
      <c r="F257" t="str">
        <f t="shared" ca="1" si="14"/>
        <v/>
      </c>
      <c r="G257" s="15" t="str">
        <f t="shared" si="15"/>
        <v>218,</v>
      </c>
    </row>
    <row r="258" spans="1:8" x14ac:dyDescent="0.35">
      <c r="A258">
        <v>219</v>
      </c>
      <c r="B258" t="s">
        <v>599</v>
      </c>
      <c r="C258" t="str">
        <f t="shared" si="12"/>
        <v>GAL</v>
      </c>
      <c r="D258" t="str">
        <f t="shared" si="13"/>
        <v>mid</v>
      </c>
      <c r="E258" t="str">
        <f>IF(D258="first", MATCH("last", $D258:$D$510, 0), "")</f>
        <v/>
      </c>
      <c r="F258" t="str">
        <f t="shared" ca="1" si="14"/>
        <v/>
      </c>
      <c r="G258" s="15" t="str">
        <f t="shared" si="15"/>
        <v>219,</v>
      </c>
    </row>
    <row r="259" spans="1:8" x14ac:dyDescent="0.35">
      <c r="A259">
        <v>220</v>
      </c>
      <c r="B259" t="s">
        <v>600</v>
      </c>
      <c r="C259" t="str">
        <f t="shared" ref="C259:C322" si="16">LEFT(B259, 3)</f>
        <v>GAL</v>
      </c>
      <c r="D259" t="str">
        <f t="shared" ref="D259:D322" si="17">IF(C259&lt;&gt;C258,"first",IF(C259&lt;&gt;C260,"last","mid"))</f>
        <v>mid</v>
      </c>
      <c r="E259" t="str">
        <f>IF(D259="first", MATCH("last", $D259:$D$510, 0), "")</f>
        <v/>
      </c>
      <c r="F259" t="str">
        <f t="shared" ref="F259:F322" ca="1" si="18">IF(D259="first", _xlfn.CONCAT(INDIRECT(_xlfn.CONCAT(ADDRESS(ROW(G259), COLUMN(G259)), ":", ADDRESS(E259+ROW(G259)-1, COLUMN(G259))))), "")</f>
        <v/>
      </c>
      <c r="G259" s="15" t="str">
        <f t="shared" ref="G259:G322" si="19">IF(D259&lt;&gt;"last", _xlfn.CONCAT(A259, ","), A259)</f>
        <v>220,</v>
      </c>
    </row>
    <row r="260" spans="1:8" x14ac:dyDescent="0.35">
      <c r="A260">
        <v>221</v>
      </c>
      <c r="B260" t="s">
        <v>601</v>
      </c>
      <c r="C260" t="str">
        <f t="shared" si="16"/>
        <v>GAL</v>
      </c>
      <c r="D260" t="str">
        <f t="shared" si="17"/>
        <v>mid</v>
      </c>
      <c r="E260" t="str">
        <f>IF(D260="first", MATCH("last", $D260:$D$510, 0), "")</f>
        <v/>
      </c>
      <c r="F260" t="str">
        <f t="shared" ca="1" si="18"/>
        <v/>
      </c>
      <c r="G260" s="15" t="str">
        <f t="shared" si="19"/>
        <v>221,</v>
      </c>
    </row>
    <row r="261" spans="1:8" x14ac:dyDescent="0.35">
      <c r="A261">
        <v>222</v>
      </c>
      <c r="B261" t="s">
        <v>602</v>
      </c>
      <c r="C261" t="str">
        <f t="shared" si="16"/>
        <v>GAL</v>
      </c>
      <c r="D261" t="str">
        <f t="shared" si="17"/>
        <v>mid</v>
      </c>
      <c r="E261" t="str">
        <f>IF(D261="first", MATCH("last", $D261:$D$510, 0), "")</f>
        <v/>
      </c>
      <c r="F261" t="str">
        <f t="shared" ca="1" si="18"/>
        <v/>
      </c>
      <c r="G261" s="15" t="str">
        <f t="shared" si="19"/>
        <v>222,</v>
      </c>
    </row>
    <row r="262" spans="1:8" x14ac:dyDescent="0.35">
      <c r="A262">
        <v>223</v>
      </c>
      <c r="B262" t="s">
        <v>603</v>
      </c>
      <c r="C262" t="str">
        <f t="shared" si="16"/>
        <v>GAL</v>
      </c>
      <c r="D262" t="str">
        <f t="shared" si="17"/>
        <v>last</v>
      </c>
      <c r="E262" t="str">
        <f>IF(D262="first", MATCH("last", $D262:$D$510, 0), "")</f>
        <v/>
      </c>
      <c r="F262" t="str">
        <f t="shared" ca="1" si="18"/>
        <v/>
      </c>
      <c r="G262" s="15">
        <f t="shared" si="19"/>
        <v>223</v>
      </c>
    </row>
    <row r="263" spans="1:8" x14ac:dyDescent="0.35">
      <c r="A263">
        <v>1</v>
      </c>
      <c r="B263" t="s">
        <v>604</v>
      </c>
      <c r="C263" t="str">
        <f t="shared" si="16"/>
        <v>GLK</v>
      </c>
      <c r="D263" t="str">
        <f t="shared" si="17"/>
        <v>first</v>
      </c>
      <c r="E263">
        <f>IF(D263="first", MATCH("last", $D263:$D$510, 0), "")</f>
        <v>11</v>
      </c>
      <c r="F263" t="str">
        <f t="shared" ca="1" si="18"/>
        <v>1,2,3,4,5,6,7,8,9,10,11</v>
      </c>
      <c r="G263" s="15" t="str">
        <f t="shared" si="19"/>
        <v>1,</v>
      </c>
      <c r="H263" t="str">
        <f>_xlfn.CONCAT(G263:G273)</f>
        <v>1,2,3,4,5,6,7,8,9,10,11</v>
      </c>
    </row>
    <row r="264" spans="1:8" x14ac:dyDescent="0.35">
      <c r="A264">
        <v>2</v>
      </c>
      <c r="B264" t="s">
        <v>605</v>
      </c>
      <c r="C264" t="str">
        <f t="shared" si="16"/>
        <v>GLK</v>
      </c>
      <c r="D264" t="str">
        <f t="shared" si="17"/>
        <v>mid</v>
      </c>
      <c r="E264" t="str">
        <f>IF(D264="first", MATCH("last", $D264:$D$510, 0), "")</f>
        <v/>
      </c>
      <c r="F264" t="str">
        <f t="shared" ca="1" si="18"/>
        <v/>
      </c>
      <c r="G264" s="15" t="str">
        <f t="shared" si="19"/>
        <v>2,</v>
      </c>
    </row>
    <row r="265" spans="1:8" x14ac:dyDescent="0.35">
      <c r="A265">
        <v>3</v>
      </c>
      <c r="B265" t="s">
        <v>606</v>
      </c>
      <c r="C265" t="str">
        <f t="shared" si="16"/>
        <v>GLK</v>
      </c>
      <c r="D265" t="str">
        <f t="shared" si="17"/>
        <v>mid</v>
      </c>
      <c r="E265" t="str">
        <f>IF(D265="first", MATCH("last", $D265:$D$510, 0), "")</f>
        <v/>
      </c>
      <c r="F265" t="str">
        <f t="shared" ca="1" si="18"/>
        <v/>
      </c>
      <c r="G265" s="15" t="str">
        <f t="shared" si="19"/>
        <v>3,</v>
      </c>
    </row>
    <row r="266" spans="1:8" x14ac:dyDescent="0.35">
      <c r="A266">
        <v>4</v>
      </c>
      <c r="B266" t="s">
        <v>607</v>
      </c>
      <c r="C266" t="str">
        <f t="shared" si="16"/>
        <v>GLK</v>
      </c>
      <c r="D266" t="str">
        <f t="shared" si="17"/>
        <v>mid</v>
      </c>
      <c r="E266" t="str">
        <f>IF(D266="first", MATCH("last", $D266:$D$510, 0), "")</f>
        <v/>
      </c>
      <c r="F266" t="str">
        <f t="shared" ca="1" si="18"/>
        <v/>
      </c>
      <c r="G266" s="15" t="str">
        <f t="shared" si="19"/>
        <v>4,</v>
      </c>
    </row>
    <row r="267" spans="1:8" x14ac:dyDescent="0.35">
      <c r="A267">
        <v>5</v>
      </c>
      <c r="B267" t="s">
        <v>608</v>
      </c>
      <c r="C267" t="str">
        <f t="shared" si="16"/>
        <v>GLK</v>
      </c>
      <c r="D267" t="str">
        <f t="shared" si="17"/>
        <v>mid</v>
      </c>
      <c r="E267" t="str">
        <f>IF(D267="first", MATCH("last", $D267:$D$510, 0), "")</f>
        <v/>
      </c>
      <c r="F267" t="str">
        <f t="shared" ca="1" si="18"/>
        <v/>
      </c>
      <c r="G267" s="15" t="str">
        <f t="shared" si="19"/>
        <v>5,</v>
      </c>
    </row>
    <row r="268" spans="1:8" x14ac:dyDescent="0.35">
      <c r="A268">
        <v>6</v>
      </c>
      <c r="B268" t="s">
        <v>609</v>
      </c>
      <c r="C268" t="str">
        <f t="shared" si="16"/>
        <v>GLK</v>
      </c>
      <c r="D268" t="str">
        <f t="shared" si="17"/>
        <v>mid</v>
      </c>
      <c r="E268" t="str">
        <f>IF(D268="first", MATCH("last", $D268:$D$510, 0), "")</f>
        <v/>
      </c>
      <c r="F268" t="str">
        <f t="shared" ca="1" si="18"/>
        <v/>
      </c>
      <c r="G268" s="15" t="str">
        <f t="shared" si="19"/>
        <v>6,</v>
      </c>
    </row>
    <row r="269" spans="1:8" x14ac:dyDescent="0.35">
      <c r="A269">
        <v>7</v>
      </c>
      <c r="B269" t="s">
        <v>610</v>
      </c>
      <c r="C269" t="str">
        <f t="shared" si="16"/>
        <v>GLK</v>
      </c>
      <c r="D269" t="str">
        <f t="shared" si="17"/>
        <v>mid</v>
      </c>
      <c r="E269" t="str">
        <f>IF(D269="first", MATCH("last", $D269:$D$510, 0), "")</f>
        <v/>
      </c>
      <c r="F269" t="str">
        <f t="shared" ca="1" si="18"/>
        <v/>
      </c>
      <c r="G269" s="15" t="str">
        <f t="shared" si="19"/>
        <v>7,</v>
      </c>
    </row>
    <row r="270" spans="1:8" x14ac:dyDescent="0.35">
      <c r="A270">
        <v>8</v>
      </c>
      <c r="B270" t="s">
        <v>611</v>
      </c>
      <c r="C270" t="str">
        <f t="shared" si="16"/>
        <v>GLK</v>
      </c>
      <c r="D270" t="str">
        <f t="shared" si="17"/>
        <v>mid</v>
      </c>
      <c r="E270" t="str">
        <f>IF(D270="first", MATCH("last", $D270:$D$510, 0), "")</f>
        <v/>
      </c>
      <c r="F270" t="str">
        <f t="shared" ca="1" si="18"/>
        <v/>
      </c>
      <c r="G270" s="15" t="str">
        <f t="shared" si="19"/>
        <v>8,</v>
      </c>
    </row>
    <row r="271" spans="1:8" x14ac:dyDescent="0.35">
      <c r="A271">
        <v>9</v>
      </c>
      <c r="B271" t="s">
        <v>612</v>
      </c>
      <c r="C271" t="str">
        <f t="shared" si="16"/>
        <v>GLK</v>
      </c>
      <c r="D271" t="str">
        <f t="shared" si="17"/>
        <v>mid</v>
      </c>
      <c r="E271" t="str">
        <f>IF(D271="first", MATCH("last", $D271:$D$510, 0), "")</f>
        <v/>
      </c>
      <c r="F271" t="str">
        <f t="shared" ca="1" si="18"/>
        <v/>
      </c>
      <c r="G271" s="15" t="str">
        <f t="shared" si="19"/>
        <v>9,</v>
      </c>
    </row>
    <row r="272" spans="1:8" x14ac:dyDescent="0.35">
      <c r="A272">
        <v>10</v>
      </c>
      <c r="B272" t="s">
        <v>613</v>
      </c>
      <c r="C272" t="str">
        <f t="shared" si="16"/>
        <v>GLK</v>
      </c>
      <c r="D272" t="str">
        <f t="shared" si="17"/>
        <v>mid</v>
      </c>
      <c r="E272" t="str">
        <f>IF(D272="first", MATCH("last", $D272:$D$510, 0), "")</f>
        <v/>
      </c>
      <c r="F272" t="str">
        <f t="shared" ca="1" si="18"/>
        <v/>
      </c>
      <c r="G272" s="15" t="str">
        <f t="shared" si="19"/>
        <v>10,</v>
      </c>
    </row>
    <row r="273" spans="1:7" x14ac:dyDescent="0.35">
      <c r="A273">
        <v>11</v>
      </c>
      <c r="B273" t="s">
        <v>614</v>
      </c>
      <c r="C273" t="str">
        <f t="shared" si="16"/>
        <v>GLK</v>
      </c>
      <c r="D273" t="str">
        <f t="shared" si="17"/>
        <v>last</v>
      </c>
      <c r="E273" t="str">
        <f>IF(D273="first", MATCH("last", $D273:$D$510, 0), "")</f>
        <v/>
      </c>
      <c r="F273" t="str">
        <f t="shared" ca="1" si="18"/>
        <v/>
      </c>
      <c r="G273" s="15">
        <f t="shared" si="19"/>
        <v>11</v>
      </c>
    </row>
    <row r="274" spans="1:7" x14ac:dyDescent="0.35">
      <c r="A274">
        <v>75</v>
      </c>
      <c r="B274" t="s">
        <v>615</v>
      </c>
      <c r="C274" t="str">
        <f t="shared" si="16"/>
        <v>GOR</v>
      </c>
      <c r="D274" t="str">
        <f t="shared" si="17"/>
        <v>first</v>
      </c>
      <c r="E274">
        <f>IF(D274="first", MATCH("last", $D274:$D$510, 0), "")</f>
        <v>5</v>
      </c>
      <c r="F274" t="str">
        <f t="shared" ca="1" si="18"/>
        <v>75,76,77,78,79</v>
      </c>
      <c r="G274" s="15" t="str">
        <f t="shared" si="19"/>
        <v>75,</v>
      </c>
    </row>
    <row r="275" spans="1:7" x14ac:dyDescent="0.35">
      <c r="A275">
        <v>76</v>
      </c>
      <c r="B275" t="s">
        <v>616</v>
      </c>
      <c r="C275" t="str">
        <f t="shared" si="16"/>
        <v>GOR</v>
      </c>
      <c r="D275" t="str">
        <f t="shared" si="17"/>
        <v>mid</v>
      </c>
      <c r="E275" t="str">
        <f>IF(D275="first", MATCH("last", $D275:$D$510, 0), "")</f>
        <v/>
      </c>
      <c r="F275" t="str">
        <f t="shared" ca="1" si="18"/>
        <v/>
      </c>
      <c r="G275" s="15" t="str">
        <f t="shared" si="19"/>
        <v>76,</v>
      </c>
    </row>
    <row r="276" spans="1:7" x14ac:dyDescent="0.35">
      <c r="A276">
        <v>77</v>
      </c>
      <c r="B276" t="s">
        <v>617</v>
      </c>
      <c r="C276" t="str">
        <f t="shared" si="16"/>
        <v>GOR</v>
      </c>
      <c r="D276" t="str">
        <f t="shared" si="17"/>
        <v>mid</v>
      </c>
      <c r="E276" t="str">
        <f>IF(D276="first", MATCH("last", $D276:$D$510, 0), "")</f>
        <v/>
      </c>
      <c r="F276" t="str">
        <f t="shared" ca="1" si="18"/>
        <v/>
      </c>
      <c r="G276" s="15" t="str">
        <f t="shared" si="19"/>
        <v>77,</v>
      </c>
    </row>
    <row r="277" spans="1:7" x14ac:dyDescent="0.35">
      <c r="A277">
        <v>78</v>
      </c>
      <c r="B277" t="s">
        <v>618</v>
      </c>
      <c r="C277" t="str">
        <f t="shared" si="16"/>
        <v>GOR</v>
      </c>
      <c r="D277" t="str">
        <f t="shared" si="17"/>
        <v>mid</v>
      </c>
      <c r="E277" t="str">
        <f>IF(D277="first", MATCH("last", $D277:$D$510, 0), "")</f>
        <v/>
      </c>
      <c r="F277" t="str">
        <f t="shared" ca="1" si="18"/>
        <v/>
      </c>
      <c r="G277" s="15" t="str">
        <f t="shared" si="19"/>
        <v>78,</v>
      </c>
    </row>
    <row r="278" spans="1:7" x14ac:dyDescent="0.35">
      <c r="A278">
        <v>79</v>
      </c>
      <c r="B278" t="s">
        <v>619</v>
      </c>
      <c r="C278" t="str">
        <f t="shared" si="16"/>
        <v>GOR</v>
      </c>
      <c r="D278" t="str">
        <f t="shared" si="17"/>
        <v>last</v>
      </c>
      <c r="E278" t="str">
        <f>IF(D278="first", MATCH("last", $D278:$D$510, 0), "")</f>
        <v/>
      </c>
      <c r="F278" t="str">
        <f t="shared" ca="1" si="18"/>
        <v/>
      </c>
      <c r="G278" s="15">
        <f t="shared" si="19"/>
        <v>79</v>
      </c>
    </row>
    <row r="279" spans="1:7" x14ac:dyDescent="0.35">
      <c r="A279">
        <v>16</v>
      </c>
      <c r="B279" t="s">
        <v>620</v>
      </c>
      <c r="C279" t="str">
        <f t="shared" si="16"/>
        <v>HOF</v>
      </c>
      <c r="D279" t="str">
        <f t="shared" si="17"/>
        <v>first</v>
      </c>
      <c r="E279">
        <f>IF(D279="first", MATCH("last", $D279:$D$510, 0), "")</f>
        <v>3</v>
      </c>
      <c r="F279" t="str">
        <f t="shared" ca="1" si="18"/>
        <v>16,17,18</v>
      </c>
      <c r="G279" s="15" t="str">
        <f t="shared" si="19"/>
        <v>16,</v>
      </c>
    </row>
    <row r="280" spans="1:7" x14ac:dyDescent="0.35">
      <c r="A280">
        <v>17</v>
      </c>
      <c r="B280" t="s">
        <v>621</v>
      </c>
      <c r="C280" t="str">
        <f t="shared" si="16"/>
        <v>HOF</v>
      </c>
      <c r="D280" t="str">
        <f t="shared" si="17"/>
        <v>mid</v>
      </c>
      <c r="E280" t="str">
        <f>IF(D280="first", MATCH("last", $D280:$D$510, 0), "")</f>
        <v/>
      </c>
      <c r="F280" t="str">
        <f t="shared" ca="1" si="18"/>
        <v/>
      </c>
      <c r="G280" s="15" t="str">
        <f t="shared" si="19"/>
        <v>17,</v>
      </c>
    </row>
    <row r="281" spans="1:7" x14ac:dyDescent="0.35">
      <c r="A281">
        <v>18</v>
      </c>
      <c r="B281" t="s">
        <v>622</v>
      </c>
      <c r="C281" t="str">
        <f t="shared" si="16"/>
        <v>HOF</v>
      </c>
      <c r="D281" t="str">
        <f t="shared" si="17"/>
        <v>last</v>
      </c>
      <c r="E281" t="str">
        <f>IF(D281="first", MATCH("last", $D281:$D$510, 0), "")</f>
        <v/>
      </c>
      <c r="F281" t="str">
        <f t="shared" ca="1" si="18"/>
        <v/>
      </c>
      <c r="G281" s="15">
        <f t="shared" si="19"/>
        <v>18</v>
      </c>
    </row>
    <row r="282" spans="1:7" x14ac:dyDescent="0.35">
      <c r="A282">
        <v>409</v>
      </c>
      <c r="B282" t="s">
        <v>623</v>
      </c>
      <c r="C282" t="str">
        <f t="shared" si="16"/>
        <v>KIR</v>
      </c>
      <c r="D282" t="str">
        <f t="shared" si="17"/>
        <v>first</v>
      </c>
      <c r="E282">
        <f>IF(D282="first", MATCH("last", $D282:$D$510, 0), "")</f>
        <v>12</v>
      </c>
      <c r="F282" t="str">
        <f t="shared" ca="1" si="18"/>
        <v>409,410,411,412,413,414,415,416,417,418,419,420</v>
      </c>
      <c r="G282" s="15" t="str">
        <f t="shared" si="19"/>
        <v>409,</v>
      </c>
    </row>
    <row r="283" spans="1:7" x14ac:dyDescent="0.35">
      <c r="A283">
        <v>410</v>
      </c>
      <c r="B283" t="s">
        <v>624</v>
      </c>
      <c r="C283" t="str">
        <f t="shared" si="16"/>
        <v>KIR</v>
      </c>
      <c r="D283" t="str">
        <f t="shared" si="17"/>
        <v>mid</v>
      </c>
      <c r="E283" t="str">
        <f>IF(D283="first", MATCH("last", $D283:$D$510, 0), "")</f>
        <v/>
      </c>
      <c r="F283" t="str">
        <f t="shared" ca="1" si="18"/>
        <v/>
      </c>
      <c r="G283" s="15" t="str">
        <f t="shared" si="19"/>
        <v>410,</v>
      </c>
    </row>
    <row r="284" spans="1:7" x14ac:dyDescent="0.35">
      <c r="A284">
        <v>411</v>
      </c>
      <c r="B284" t="s">
        <v>625</v>
      </c>
      <c r="C284" t="str">
        <f t="shared" si="16"/>
        <v>KIR</v>
      </c>
      <c r="D284" t="str">
        <f t="shared" si="17"/>
        <v>mid</v>
      </c>
      <c r="E284" t="str">
        <f>IF(D284="first", MATCH("last", $D284:$D$510, 0), "")</f>
        <v/>
      </c>
      <c r="F284" t="str">
        <f t="shared" ca="1" si="18"/>
        <v/>
      </c>
      <c r="G284" s="15" t="str">
        <f t="shared" si="19"/>
        <v>411,</v>
      </c>
    </row>
    <row r="285" spans="1:7" x14ac:dyDescent="0.35">
      <c r="A285">
        <v>412</v>
      </c>
      <c r="B285" t="s">
        <v>626</v>
      </c>
      <c r="C285" t="str">
        <f t="shared" si="16"/>
        <v>KIR</v>
      </c>
      <c r="D285" t="str">
        <f t="shared" si="17"/>
        <v>mid</v>
      </c>
      <c r="E285" t="str">
        <f>IF(D285="first", MATCH("last", $D285:$D$510, 0), "")</f>
        <v/>
      </c>
      <c r="F285" t="str">
        <f t="shared" ca="1" si="18"/>
        <v/>
      </c>
      <c r="G285" s="15" t="str">
        <f t="shared" si="19"/>
        <v>412,</v>
      </c>
    </row>
    <row r="286" spans="1:7" x14ac:dyDescent="0.35">
      <c r="A286">
        <v>413</v>
      </c>
      <c r="B286" t="s">
        <v>627</v>
      </c>
      <c r="C286" t="str">
        <f t="shared" si="16"/>
        <v>KIR</v>
      </c>
      <c r="D286" t="str">
        <f t="shared" si="17"/>
        <v>mid</v>
      </c>
      <c r="E286" t="str">
        <f>IF(D286="first", MATCH("last", $D286:$D$510, 0), "")</f>
        <v/>
      </c>
      <c r="F286" t="str">
        <f t="shared" ca="1" si="18"/>
        <v/>
      </c>
      <c r="G286" s="15" t="str">
        <f t="shared" si="19"/>
        <v>413,</v>
      </c>
    </row>
    <row r="287" spans="1:7" x14ac:dyDescent="0.35">
      <c r="A287">
        <v>414</v>
      </c>
      <c r="B287" t="s">
        <v>628</v>
      </c>
      <c r="C287" t="str">
        <f t="shared" si="16"/>
        <v>KIR</v>
      </c>
      <c r="D287" t="str">
        <f t="shared" si="17"/>
        <v>mid</v>
      </c>
      <c r="E287" t="str">
        <f>IF(D287="first", MATCH("last", $D287:$D$510, 0), "")</f>
        <v/>
      </c>
      <c r="F287" t="str">
        <f t="shared" ca="1" si="18"/>
        <v/>
      </c>
      <c r="G287" s="15" t="str">
        <f t="shared" si="19"/>
        <v>414,</v>
      </c>
    </row>
    <row r="288" spans="1:7" x14ac:dyDescent="0.35">
      <c r="A288">
        <v>415</v>
      </c>
      <c r="B288" t="s">
        <v>629</v>
      </c>
      <c r="C288" t="str">
        <f t="shared" si="16"/>
        <v>KIR</v>
      </c>
      <c r="D288" t="str">
        <f t="shared" si="17"/>
        <v>mid</v>
      </c>
      <c r="E288" t="str">
        <f>IF(D288="first", MATCH("last", $D288:$D$510, 0), "")</f>
        <v/>
      </c>
      <c r="F288" t="str">
        <f t="shared" ca="1" si="18"/>
        <v/>
      </c>
      <c r="G288" s="15" t="str">
        <f t="shared" si="19"/>
        <v>415,</v>
      </c>
    </row>
    <row r="289" spans="1:8" x14ac:dyDescent="0.35">
      <c r="A289">
        <v>416</v>
      </c>
      <c r="B289" t="s">
        <v>630</v>
      </c>
      <c r="C289" t="str">
        <f t="shared" si="16"/>
        <v>KIR</v>
      </c>
      <c r="D289" t="str">
        <f t="shared" si="17"/>
        <v>mid</v>
      </c>
      <c r="E289" t="str">
        <f>IF(D289="first", MATCH("last", $D289:$D$510, 0), "")</f>
        <v/>
      </c>
      <c r="F289" t="str">
        <f t="shared" ca="1" si="18"/>
        <v/>
      </c>
      <c r="G289" s="15" t="str">
        <f t="shared" si="19"/>
        <v>416,</v>
      </c>
    </row>
    <row r="290" spans="1:8" x14ac:dyDescent="0.35">
      <c r="A290">
        <v>417</v>
      </c>
      <c r="B290" t="s">
        <v>631</v>
      </c>
      <c r="C290" t="str">
        <f t="shared" si="16"/>
        <v>KIR</v>
      </c>
      <c r="D290" t="str">
        <f t="shared" si="17"/>
        <v>mid</v>
      </c>
      <c r="E290" t="str">
        <f>IF(D290="first", MATCH("last", $D290:$D$510, 0), "")</f>
        <v/>
      </c>
      <c r="F290" t="str">
        <f t="shared" ca="1" si="18"/>
        <v/>
      </c>
      <c r="G290" s="15" t="str">
        <f t="shared" si="19"/>
        <v>417,</v>
      </c>
    </row>
    <row r="291" spans="1:8" x14ac:dyDescent="0.35">
      <c r="A291">
        <v>418</v>
      </c>
      <c r="B291" t="s">
        <v>632</v>
      </c>
      <c r="C291" t="str">
        <f t="shared" si="16"/>
        <v>KIR</v>
      </c>
      <c r="D291" t="str">
        <f t="shared" si="17"/>
        <v>mid</v>
      </c>
      <c r="E291" t="str">
        <f>IF(D291="first", MATCH("last", $D291:$D$510, 0), "")</f>
        <v/>
      </c>
      <c r="F291" t="str">
        <f t="shared" ca="1" si="18"/>
        <v/>
      </c>
      <c r="G291" s="15" t="str">
        <f t="shared" si="19"/>
        <v>418,</v>
      </c>
    </row>
    <row r="292" spans="1:8" x14ac:dyDescent="0.35">
      <c r="A292">
        <v>419</v>
      </c>
      <c r="B292" t="s">
        <v>633</v>
      </c>
      <c r="C292" t="str">
        <f t="shared" si="16"/>
        <v>KIR</v>
      </c>
      <c r="D292" t="str">
        <f t="shared" si="17"/>
        <v>mid</v>
      </c>
      <c r="E292" t="str">
        <f>IF(D292="first", MATCH("last", $D292:$D$510, 0), "")</f>
        <v/>
      </c>
      <c r="F292" t="str">
        <f t="shared" ca="1" si="18"/>
        <v/>
      </c>
      <c r="G292" s="15" t="str">
        <f t="shared" si="19"/>
        <v>419,</v>
      </c>
    </row>
    <row r="293" spans="1:8" x14ac:dyDescent="0.35">
      <c r="A293">
        <v>420</v>
      </c>
      <c r="B293" t="s">
        <v>634</v>
      </c>
      <c r="C293" t="str">
        <f t="shared" si="16"/>
        <v>KIR</v>
      </c>
      <c r="D293" t="str">
        <f t="shared" si="17"/>
        <v>last</v>
      </c>
      <c r="E293" t="str">
        <f>IF(D293="first", MATCH("last", $D293:$D$510, 0), "")</f>
        <v/>
      </c>
      <c r="F293" t="str">
        <f t="shared" ca="1" si="18"/>
        <v/>
      </c>
      <c r="G293" s="15">
        <f t="shared" si="19"/>
        <v>420</v>
      </c>
    </row>
    <row r="294" spans="1:8" x14ac:dyDescent="0.35">
      <c r="A294">
        <v>421</v>
      </c>
      <c r="B294" t="s">
        <v>635</v>
      </c>
      <c r="C294" t="str">
        <f t="shared" si="16"/>
        <v>LAM</v>
      </c>
      <c r="D294" t="str">
        <f t="shared" si="17"/>
        <v>first</v>
      </c>
      <c r="E294">
        <f>IF(D294="first", MATCH("last", $D294:$D$510, 0), "")</f>
        <v>5</v>
      </c>
      <c r="F294" t="str">
        <f t="shared" ca="1" si="18"/>
        <v>421,422,423,424,425</v>
      </c>
      <c r="G294" s="15" t="str">
        <f t="shared" si="19"/>
        <v>421,</v>
      </c>
    </row>
    <row r="295" spans="1:8" x14ac:dyDescent="0.35">
      <c r="A295">
        <v>422</v>
      </c>
      <c r="B295" t="s">
        <v>636</v>
      </c>
      <c r="C295" t="str">
        <f t="shared" si="16"/>
        <v>LAM</v>
      </c>
      <c r="D295" t="str">
        <f t="shared" si="17"/>
        <v>mid</v>
      </c>
      <c r="E295" t="str">
        <f>IF(D295="first", MATCH("last", $D295:$D$510, 0), "")</f>
        <v/>
      </c>
      <c r="F295" t="str">
        <f t="shared" ca="1" si="18"/>
        <v/>
      </c>
      <c r="G295" s="15" t="str">
        <f t="shared" si="19"/>
        <v>422,</v>
      </c>
    </row>
    <row r="296" spans="1:8" x14ac:dyDescent="0.35">
      <c r="A296">
        <v>423</v>
      </c>
      <c r="B296" t="s">
        <v>637</v>
      </c>
      <c r="C296" t="str">
        <f t="shared" si="16"/>
        <v>LAM</v>
      </c>
      <c r="D296" t="str">
        <f t="shared" si="17"/>
        <v>mid</v>
      </c>
      <c r="E296" t="str">
        <f>IF(D296="first", MATCH("last", $D296:$D$510, 0), "")</f>
        <v/>
      </c>
      <c r="F296" t="str">
        <f t="shared" ca="1" si="18"/>
        <v/>
      </c>
      <c r="G296" s="15" t="str">
        <f t="shared" si="19"/>
        <v>423,</v>
      </c>
    </row>
    <row r="297" spans="1:8" x14ac:dyDescent="0.35">
      <c r="A297">
        <v>424</v>
      </c>
      <c r="B297" t="s">
        <v>638</v>
      </c>
      <c r="C297" t="str">
        <f t="shared" si="16"/>
        <v>LAM</v>
      </c>
      <c r="D297" t="str">
        <f t="shared" si="17"/>
        <v>mid</v>
      </c>
      <c r="E297" t="str">
        <f>IF(D297="first", MATCH("last", $D297:$D$510, 0), "")</f>
        <v/>
      </c>
      <c r="F297" t="str">
        <f t="shared" ca="1" si="18"/>
        <v/>
      </c>
      <c r="G297" s="15" t="str">
        <f t="shared" si="19"/>
        <v>424,</v>
      </c>
    </row>
    <row r="298" spans="1:8" x14ac:dyDescent="0.35">
      <c r="A298">
        <v>425</v>
      </c>
      <c r="B298" t="s">
        <v>639</v>
      </c>
      <c r="C298" t="str">
        <f t="shared" si="16"/>
        <v>LAM</v>
      </c>
      <c r="D298" t="str">
        <f t="shared" si="17"/>
        <v>last</v>
      </c>
      <c r="E298" t="str">
        <f>IF(D298="first", MATCH("last", $D298:$D$510, 0), "")</f>
        <v/>
      </c>
      <c r="F298" t="str">
        <f t="shared" ca="1" si="18"/>
        <v/>
      </c>
      <c r="G298" s="15">
        <f t="shared" si="19"/>
        <v>425</v>
      </c>
    </row>
    <row r="299" spans="1:8" x14ac:dyDescent="0.35">
      <c r="A299">
        <v>103</v>
      </c>
      <c r="B299" t="s">
        <v>640</v>
      </c>
      <c r="C299" t="str">
        <f t="shared" si="16"/>
        <v>LIS</v>
      </c>
      <c r="D299" t="str">
        <f t="shared" si="17"/>
        <v>first</v>
      </c>
      <c r="E299">
        <f>IF(D299="first", MATCH("last", $D299:$D$510, 0), "")</f>
        <v>12</v>
      </c>
      <c r="F299" t="str">
        <f t="shared" ca="1" si="18"/>
        <v>103,104,105,106,107,108,109,110,111,112,113,114</v>
      </c>
      <c r="G299" s="15" t="str">
        <f t="shared" si="19"/>
        <v>103,</v>
      </c>
      <c r="H299" t="str">
        <f>_xlfn.CONCAT(G299:G310)</f>
        <v>103,104,105,106,107,108,109,110,111,112,113,114</v>
      </c>
    </row>
    <row r="300" spans="1:8" x14ac:dyDescent="0.35">
      <c r="A300">
        <v>104</v>
      </c>
      <c r="B300" t="s">
        <v>641</v>
      </c>
      <c r="C300" t="str">
        <f t="shared" si="16"/>
        <v>LIS</v>
      </c>
      <c r="D300" t="str">
        <f t="shared" si="17"/>
        <v>mid</v>
      </c>
      <c r="E300" t="str">
        <f>IF(D300="first", MATCH("last", $D300:$D$510, 0), "")</f>
        <v/>
      </c>
      <c r="F300" t="str">
        <f t="shared" ca="1" si="18"/>
        <v/>
      </c>
      <c r="G300" s="15" t="str">
        <f t="shared" si="19"/>
        <v>104,</v>
      </c>
    </row>
    <row r="301" spans="1:8" x14ac:dyDescent="0.35">
      <c r="A301">
        <v>105</v>
      </c>
      <c r="B301" t="s">
        <v>642</v>
      </c>
      <c r="C301" t="str">
        <f t="shared" si="16"/>
        <v>LIS</v>
      </c>
      <c r="D301" t="str">
        <f t="shared" si="17"/>
        <v>mid</v>
      </c>
      <c r="E301" t="str">
        <f>IF(D301="first", MATCH("last", $D301:$D$510, 0), "")</f>
        <v/>
      </c>
      <c r="F301" t="str">
        <f t="shared" ca="1" si="18"/>
        <v/>
      </c>
      <c r="G301" s="15" t="str">
        <f t="shared" si="19"/>
        <v>105,</v>
      </c>
    </row>
    <row r="302" spans="1:8" x14ac:dyDescent="0.35">
      <c r="A302">
        <v>106</v>
      </c>
      <c r="B302" t="s">
        <v>643</v>
      </c>
      <c r="C302" t="str">
        <f t="shared" si="16"/>
        <v>LIS</v>
      </c>
      <c r="D302" t="str">
        <f t="shared" si="17"/>
        <v>mid</v>
      </c>
      <c r="E302" t="str">
        <f>IF(D302="first", MATCH("last", $D302:$D$510, 0), "")</f>
        <v/>
      </c>
      <c r="F302" t="str">
        <f t="shared" ca="1" si="18"/>
        <v/>
      </c>
      <c r="G302" s="15" t="str">
        <f t="shared" si="19"/>
        <v>106,</v>
      </c>
    </row>
    <row r="303" spans="1:8" x14ac:dyDescent="0.35">
      <c r="A303">
        <v>107</v>
      </c>
      <c r="B303" t="s">
        <v>644</v>
      </c>
      <c r="C303" t="str">
        <f t="shared" si="16"/>
        <v>LIS</v>
      </c>
      <c r="D303" t="str">
        <f t="shared" si="17"/>
        <v>mid</v>
      </c>
      <c r="E303" t="str">
        <f>IF(D303="first", MATCH("last", $D303:$D$510, 0), "")</f>
        <v/>
      </c>
      <c r="F303" t="str">
        <f t="shared" ca="1" si="18"/>
        <v/>
      </c>
      <c r="G303" s="15" t="str">
        <f t="shared" si="19"/>
        <v>107,</v>
      </c>
    </row>
    <row r="304" spans="1:8" x14ac:dyDescent="0.35">
      <c r="A304">
        <v>108</v>
      </c>
      <c r="B304" t="s">
        <v>645</v>
      </c>
      <c r="C304" t="str">
        <f t="shared" si="16"/>
        <v>LIS</v>
      </c>
      <c r="D304" t="str">
        <f t="shared" si="17"/>
        <v>mid</v>
      </c>
      <c r="E304" t="str">
        <f>IF(D304="first", MATCH("last", $D304:$D$510, 0), "")</f>
        <v/>
      </c>
      <c r="F304" t="str">
        <f t="shared" ca="1" si="18"/>
        <v/>
      </c>
      <c r="G304" s="15" t="str">
        <f t="shared" si="19"/>
        <v>108,</v>
      </c>
    </row>
    <row r="305" spans="1:7" x14ac:dyDescent="0.35">
      <c r="A305">
        <v>109</v>
      </c>
      <c r="B305" t="s">
        <v>646</v>
      </c>
      <c r="C305" t="str">
        <f t="shared" si="16"/>
        <v>LIS</v>
      </c>
      <c r="D305" t="str">
        <f t="shared" si="17"/>
        <v>mid</v>
      </c>
      <c r="E305" t="str">
        <f>IF(D305="first", MATCH("last", $D305:$D$510, 0), "")</f>
        <v/>
      </c>
      <c r="F305" t="str">
        <f t="shared" ca="1" si="18"/>
        <v/>
      </c>
      <c r="G305" s="15" t="str">
        <f t="shared" si="19"/>
        <v>109,</v>
      </c>
    </row>
    <row r="306" spans="1:7" x14ac:dyDescent="0.35">
      <c r="A306">
        <v>110</v>
      </c>
      <c r="B306" t="s">
        <v>647</v>
      </c>
      <c r="C306" t="str">
        <f t="shared" si="16"/>
        <v>LIS</v>
      </c>
      <c r="D306" t="str">
        <f t="shared" si="17"/>
        <v>mid</v>
      </c>
      <c r="E306" t="str">
        <f>IF(D306="first", MATCH("last", $D306:$D$510, 0), "")</f>
        <v/>
      </c>
      <c r="F306" t="str">
        <f t="shared" ca="1" si="18"/>
        <v/>
      </c>
      <c r="G306" s="15" t="str">
        <f t="shared" si="19"/>
        <v>110,</v>
      </c>
    </row>
    <row r="307" spans="1:7" x14ac:dyDescent="0.35">
      <c r="A307">
        <v>111</v>
      </c>
      <c r="B307" t="s">
        <v>648</v>
      </c>
      <c r="C307" t="str">
        <f t="shared" si="16"/>
        <v>LIS</v>
      </c>
      <c r="D307" t="str">
        <f t="shared" si="17"/>
        <v>mid</v>
      </c>
      <c r="E307" t="str">
        <f>IF(D307="first", MATCH("last", $D307:$D$510, 0), "")</f>
        <v/>
      </c>
      <c r="F307" t="str">
        <f t="shared" ca="1" si="18"/>
        <v/>
      </c>
      <c r="G307" s="15" t="str">
        <f t="shared" si="19"/>
        <v>111,</v>
      </c>
    </row>
    <row r="308" spans="1:7" x14ac:dyDescent="0.35">
      <c r="A308">
        <v>112</v>
      </c>
      <c r="B308" t="s">
        <v>649</v>
      </c>
      <c r="C308" t="str">
        <f t="shared" si="16"/>
        <v>LIS</v>
      </c>
      <c r="D308" t="str">
        <f t="shared" si="17"/>
        <v>mid</v>
      </c>
      <c r="E308" t="str">
        <f>IF(D308="first", MATCH("last", $D308:$D$510, 0), "")</f>
        <v/>
      </c>
      <c r="F308" t="str">
        <f t="shared" ca="1" si="18"/>
        <v/>
      </c>
      <c r="G308" s="15" t="str">
        <f t="shared" si="19"/>
        <v>112,</v>
      </c>
    </row>
    <row r="309" spans="1:7" x14ac:dyDescent="0.35">
      <c r="A309">
        <v>113</v>
      </c>
      <c r="B309" t="s">
        <v>650</v>
      </c>
      <c r="C309" t="str">
        <f t="shared" si="16"/>
        <v>LIS</v>
      </c>
      <c r="D309" t="str">
        <f t="shared" si="17"/>
        <v>mid</v>
      </c>
      <c r="E309" t="str">
        <f>IF(D309="first", MATCH("last", $D309:$D$510, 0), "")</f>
        <v/>
      </c>
      <c r="F309" t="str">
        <f t="shared" ca="1" si="18"/>
        <v/>
      </c>
      <c r="G309" s="15" t="str">
        <f t="shared" si="19"/>
        <v>113,</v>
      </c>
    </row>
    <row r="310" spans="1:7" x14ac:dyDescent="0.35">
      <c r="A310">
        <v>114</v>
      </c>
      <c r="B310" t="s">
        <v>651</v>
      </c>
      <c r="C310" t="str">
        <f t="shared" si="16"/>
        <v>LIS</v>
      </c>
      <c r="D310" t="str">
        <f t="shared" si="17"/>
        <v>last</v>
      </c>
      <c r="E310" t="str">
        <f>IF(D310="first", MATCH("last", $D310:$D$510, 0), "")</f>
        <v/>
      </c>
      <c r="F310" t="str">
        <f t="shared" ca="1" si="18"/>
        <v/>
      </c>
      <c r="G310" s="15">
        <f t="shared" si="19"/>
        <v>114</v>
      </c>
    </row>
    <row r="311" spans="1:7" x14ac:dyDescent="0.35">
      <c r="A311">
        <v>426</v>
      </c>
      <c r="B311" t="s">
        <v>652</v>
      </c>
      <c r="C311" t="str">
        <f t="shared" si="16"/>
        <v>LLY</v>
      </c>
      <c r="D311" t="str">
        <f t="shared" si="17"/>
        <v>first</v>
      </c>
      <c r="E311">
        <f>IF(D311="first", MATCH("last", $D311:$D$510, 0), "")</f>
        <v>34</v>
      </c>
      <c r="F311" t="str">
        <f t="shared" ca="1" si="18"/>
        <v>426,427,428,429,430,431,432,433,434,435,436,437,438,439,440,441,442,443,444,445,446,447,448,449,450,451,452,453,454,455,456,457,552,553</v>
      </c>
      <c r="G311" s="15" t="str">
        <f t="shared" si="19"/>
        <v>426,</v>
      </c>
    </row>
    <row r="312" spans="1:7" x14ac:dyDescent="0.35">
      <c r="A312">
        <v>427</v>
      </c>
      <c r="B312" t="s">
        <v>653</v>
      </c>
      <c r="C312" t="str">
        <f t="shared" si="16"/>
        <v>LLY</v>
      </c>
      <c r="D312" t="str">
        <f t="shared" si="17"/>
        <v>mid</v>
      </c>
      <c r="E312" t="str">
        <f>IF(D312="first", MATCH("last", $D312:$D$510, 0), "")</f>
        <v/>
      </c>
      <c r="F312" t="str">
        <f t="shared" ca="1" si="18"/>
        <v/>
      </c>
      <c r="G312" s="15" t="str">
        <f t="shared" si="19"/>
        <v>427,</v>
      </c>
    </row>
    <row r="313" spans="1:7" x14ac:dyDescent="0.35">
      <c r="A313">
        <v>428</v>
      </c>
      <c r="B313" t="s">
        <v>654</v>
      </c>
      <c r="C313" t="str">
        <f t="shared" si="16"/>
        <v>LLY</v>
      </c>
      <c r="D313" t="str">
        <f t="shared" si="17"/>
        <v>mid</v>
      </c>
      <c r="E313" t="str">
        <f>IF(D313="first", MATCH("last", $D313:$D$510, 0), "")</f>
        <v/>
      </c>
      <c r="F313" t="str">
        <f t="shared" ca="1" si="18"/>
        <v/>
      </c>
      <c r="G313" s="15" t="str">
        <f t="shared" si="19"/>
        <v>428,</v>
      </c>
    </row>
    <row r="314" spans="1:7" x14ac:dyDescent="0.35">
      <c r="A314">
        <v>429</v>
      </c>
      <c r="B314" t="s">
        <v>655</v>
      </c>
      <c r="C314" t="str">
        <f t="shared" si="16"/>
        <v>LLY</v>
      </c>
      <c r="D314" t="str">
        <f t="shared" si="17"/>
        <v>mid</v>
      </c>
      <c r="E314" t="str">
        <f>IF(D314="first", MATCH("last", $D314:$D$510, 0), "")</f>
        <v/>
      </c>
      <c r="F314" t="str">
        <f t="shared" ca="1" si="18"/>
        <v/>
      </c>
      <c r="G314" s="15" t="str">
        <f t="shared" si="19"/>
        <v>429,</v>
      </c>
    </row>
    <row r="315" spans="1:7" x14ac:dyDescent="0.35">
      <c r="A315">
        <v>430</v>
      </c>
      <c r="B315" t="s">
        <v>656</v>
      </c>
      <c r="C315" t="str">
        <f t="shared" si="16"/>
        <v>LLY</v>
      </c>
      <c r="D315" t="str">
        <f t="shared" si="17"/>
        <v>mid</v>
      </c>
      <c r="E315" t="str">
        <f>IF(D315="first", MATCH("last", $D315:$D$510, 0), "")</f>
        <v/>
      </c>
      <c r="F315" t="str">
        <f t="shared" ca="1" si="18"/>
        <v/>
      </c>
      <c r="G315" s="15" t="str">
        <f t="shared" si="19"/>
        <v>430,</v>
      </c>
    </row>
    <row r="316" spans="1:7" x14ac:dyDescent="0.35">
      <c r="A316">
        <v>431</v>
      </c>
      <c r="B316" t="s">
        <v>657</v>
      </c>
      <c r="C316" t="str">
        <f t="shared" si="16"/>
        <v>LLY</v>
      </c>
      <c r="D316" t="str">
        <f t="shared" si="17"/>
        <v>mid</v>
      </c>
      <c r="E316" t="str">
        <f>IF(D316="first", MATCH("last", $D316:$D$510, 0), "")</f>
        <v/>
      </c>
      <c r="F316" t="str">
        <f t="shared" ca="1" si="18"/>
        <v/>
      </c>
      <c r="G316" s="15" t="str">
        <f t="shared" si="19"/>
        <v>431,</v>
      </c>
    </row>
    <row r="317" spans="1:7" x14ac:dyDescent="0.35">
      <c r="A317">
        <v>432</v>
      </c>
      <c r="B317" t="s">
        <v>658</v>
      </c>
      <c r="C317" t="str">
        <f t="shared" si="16"/>
        <v>LLY</v>
      </c>
      <c r="D317" t="str">
        <f t="shared" si="17"/>
        <v>mid</v>
      </c>
      <c r="E317" t="str">
        <f>IF(D317="first", MATCH("last", $D317:$D$510, 0), "")</f>
        <v/>
      </c>
      <c r="F317" t="str">
        <f t="shared" ca="1" si="18"/>
        <v/>
      </c>
      <c r="G317" s="15" t="str">
        <f t="shared" si="19"/>
        <v>432,</v>
      </c>
    </row>
    <row r="318" spans="1:7" x14ac:dyDescent="0.35">
      <c r="A318">
        <v>433</v>
      </c>
      <c r="B318" t="s">
        <v>659</v>
      </c>
      <c r="C318" t="str">
        <f t="shared" si="16"/>
        <v>LLY</v>
      </c>
      <c r="D318" t="str">
        <f t="shared" si="17"/>
        <v>mid</v>
      </c>
      <c r="E318" t="str">
        <f>IF(D318="first", MATCH("last", $D318:$D$510, 0), "")</f>
        <v/>
      </c>
      <c r="F318" t="str">
        <f t="shared" ca="1" si="18"/>
        <v/>
      </c>
      <c r="G318" s="15" t="str">
        <f t="shared" si="19"/>
        <v>433,</v>
      </c>
    </row>
    <row r="319" spans="1:7" x14ac:dyDescent="0.35">
      <c r="A319">
        <v>434</v>
      </c>
      <c r="B319" t="s">
        <v>660</v>
      </c>
      <c r="C319" t="str">
        <f t="shared" si="16"/>
        <v>LLY</v>
      </c>
      <c r="D319" t="str">
        <f t="shared" si="17"/>
        <v>mid</v>
      </c>
      <c r="E319" t="str">
        <f>IF(D319="first", MATCH("last", $D319:$D$510, 0), "")</f>
        <v/>
      </c>
      <c r="F319" t="str">
        <f t="shared" ca="1" si="18"/>
        <v/>
      </c>
      <c r="G319" s="15" t="str">
        <f t="shared" si="19"/>
        <v>434,</v>
      </c>
    </row>
    <row r="320" spans="1:7" x14ac:dyDescent="0.35">
      <c r="A320">
        <v>435</v>
      </c>
      <c r="B320" t="s">
        <v>661</v>
      </c>
      <c r="C320" t="str">
        <f t="shared" si="16"/>
        <v>LLY</v>
      </c>
      <c r="D320" t="str">
        <f t="shared" si="17"/>
        <v>mid</v>
      </c>
      <c r="E320" t="str">
        <f>IF(D320="first", MATCH("last", $D320:$D$510, 0), "")</f>
        <v/>
      </c>
      <c r="F320" t="str">
        <f t="shared" ca="1" si="18"/>
        <v/>
      </c>
      <c r="G320" s="15" t="str">
        <f t="shared" si="19"/>
        <v>435,</v>
      </c>
    </row>
    <row r="321" spans="1:7" x14ac:dyDescent="0.35">
      <c r="A321">
        <v>436</v>
      </c>
      <c r="B321" t="s">
        <v>662</v>
      </c>
      <c r="C321" t="str">
        <f t="shared" si="16"/>
        <v>LLY</v>
      </c>
      <c r="D321" t="str">
        <f t="shared" si="17"/>
        <v>mid</v>
      </c>
      <c r="E321" t="str">
        <f>IF(D321="first", MATCH("last", $D321:$D$510, 0), "")</f>
        <v/>
      </c>
      <c r="F321" t="str">
        <f t="shared" ca="1" si="18"/>
        <v/>
      </c>
      <c r="G321" s="15" t="str">
        <f t="shared" si="19"/>
        <v>436,</v>
      </c>
    </row>
    <row r="322" spans="1:7" x14ac:dyDescent="0.35">
      <c r="A322">
        <v>437</v>
      </c>
      <c r="B322" t="s">
        <v>663</v>
      </c>
      <c r="C322" t="str">
        <f t="shared" si="16"/>
        <v>LLY</v>
      </c>
      <c r="D322" t="str">
        <f t="shared" si="17"/>
        <v>mid</v>
      </c>
      <c r="E322" t="str">
        <f>IF(D322="first", MATCH("last", $D322:$D$510, 0), "")</f>
        <v/>
      </c>
      <c r="F322" t="str">
        <f t="shared" ca="1" si="18"/>
        <v/>
      </c>
      <c r="G322" s="15" t="str">
        <f t="shared" si="19"/>
        <v>437,</v>
      </c>
    </row>
    <row r="323" spans="1:7" x14ac:dyDescent="0.35">
      <c r="A323">
        <v>438</v>
      </c>
      <c r="B323" t="s">
        <v>664</v>
      </c>
      <c r="C323" t="str">
        <f t="shared" ref="C323:C386" si="20">LEFT(B323, 3)</f>
        <v>LLY</v>
      </c>
      <c r="D323" t="str">
        <f t="shared" ref="D323:D386" si="21">IF(C323&lt;&gt;C322,"first",IF(C323&lt;&gt;C324,"last","mid"))</f>
        <v>mid</v>
      </c>
      <c r="E323" t="str">
        <f>IF(D323="first", MATCH("last", $D323:$D$510, 0), "")</f>
        <v/>
      </c>
      <c r="F323" t="str">
        <f t="shared" ref="F323:F386" ca="1" si="22">IF(D323="first", _xlfn.CONCAT(INDIRECT(_xlfn.CONCAT(ADDRESS(ROW(G323), COLUMN(G323)), ":", ADDRESS(E323+ROW(G323)-1, COLUMN(G323))))), "")</f>
        <v/>
      </c>
      <c r="G323" s="15" t="str">
        <f t="shared" ref="G323:G386" si="23">IF(D323&lt;&gt;"last", _xlfn.CONCAT(A323, ","), A323)</f>
        <v>438,</v>
      </c>
    </row>
    <row r="324" spans="1:7" x14ac:dyDescent="0.35">
      <c r="A324">
        <v>439</v>
      </c>
      <c r="B324" t="s">
        <v>665</v>
      </c>
      <c r="C324" t="str">
        <f t="shared" si="20"/>
        <v>LLY</v>
      </c>
      <c r="D324" t="str">
        <f t="shared" si="21"/>
        <v>mid</v>
      </c>
      <c r="E324" t="str">
        <f>IF(D324="first", MATCH("last", $D324:$D$510, 0), "")</f>
        <v/>
      </c>
      <c r="F324" t="str">
        <f t="shared" ca="1" si="22"/>
        <v/>
      </c>
      <c r="G324" s="15" t="str">
        <f t="shared" si="23"/>
        <v>439,</v>
      </c>
    </row>
    <row r="325" spans="1:7" x14ac:dyDescent="0.35">
      <c r="A325">
        <v>440</v>
      </c>
      <c r="B325" t="s">
        <v>666</v>
      </c>
      <c r="C325" t="str">
        <f t="shared" si="20"/>
        <v>LLY</v>
      </c>
      <c r="D325" t="str">
        <f t="shared" si="21"/>
        <v>mid</v>
      </c>
      <c r="E325" t="str">
        <f>IF(D325="first", MATCH("last", $D325:$D$510, 0), "")</f>
        <v/>
      </c>
      <c r="F325" t="str">
        <f t="shared" ca="1" si="22"/>
        <v/>
      </c>
      <c r="G325" s="15" t="str">
        <f t="shared" si="23"/>
        <v>440,</v>
      </c>
    </row>
    <row r="326" spans="1:7" x14ac:dyDescent="0.35">
      <c r="A326">
        <v>441</v>
      </c>
      <c r="B326" t="s">
        <v>667</v>
      </c>
      <c r="C326" t="str">
        <f t="shared" si="20"/>
        <v>LLY</v>
      </c>
      <c r="D326" t="str">
        <f t="shared" si="21"/>
        <v>mid</v>
      </c>
      <c r="E326" t="str">
        <f>IF(D326="first", MATCH("last", $D326:$D$510, 0), "")</f>
        <v/>
      </c>
      <c r="F326" t="str">
        <f t="shared" ca="1" si="22"/>
        <v/>
      </c>
      <c r="G326" s="15" t="str">
        <f t="shared" si="23"/>
        <v>441,</v>
      </c>
    </row>
    <row r="327" spans="1:7" x14ac:dyDescent="0.35">
      <c r="A327">
        <v>442</v>
      </c>
      <c r="B327" t="s">
        <v>668</v>
      </c>
      <c r="C327" t="str">
        <f t="shared" si="20"/>
        <v>LLY</v>
      </c>
      <c r="D327" t="str">
        <f t="shared" si="21"/>
        <v>mid</v>
      </c>
      <c r="E327" t="str">
        <f>IF(D327="first", MATCH("last", $D327:$D$510, 0), "")</f>
        <v/>
      </c>
      <c r="F327" t="str">
        <f t="shared" ca="1" si="22"/>
        <v/>
      </c>
      <c r="G327" s="15" t="str">
        <f t="shared" si="23"/>
        <v>442,</v>
      </c>
    </row>
    <row r="328" spans="1:7" x14ac:dyDescent="0.35">
      <c r="A328">
        <v>443</v>
      </c>
      <c r="B328" t="s">
        <v>669</v>
      </c>
      <c r="C328" t="str">
        <f t="shared" si="20"/>
        <v>LLY</v>
      </c>
      <c r="D328" t="str">
        <f t="shared" si="21"/>
        <v>mid</v>
      </c>
      <c r="E328" t="str">
        <f>IF(D328="first", MATCH("last", $D328:$D$510, 0), "")</f>
        <v/>
      </c>
      <c r="F328" t="str">
        <f t="shared" ca="1" si="22"/>
        <v/>
      </c>
      <c r="G328" s="15" t="str">
        <f t="shared" si="23"/>
        <v>443,</v>
      </c>
    </row>
    <row r="329" spans="1:7" x14ac:dyDescent="0.35">
      <c r="A329">
        <v>444</v>
      </c>
      <c r="B329" t="s">
        <v>670</v>
      </c>
      <c r="C329" t="str">
        <f t="shared" si="20"/>
        <v>LLY</v>
      </c>
      <c r="D329" t="str">
        <f t="shared" si="21"/>
        <v>mid</v>
      </c>
      <c r="E329" t="str">
        <f>IF(D329="first", MATCH("last", $D329:$D$510, 0), "")</f>
        <v/>
      </c>
      <c r="F329" t="str">
        <f t="shared" ca="1" si="22"/>
        <v/>
      </c>
      <c r="G329" s="15" t="str">
        <f t="shared" si="23"/>
        <v>444,</v>
      </c>
    </row>
    <row r="330" spans="1:7" x14ac:dyDescent="0.35">
      <c r="A330">
        <v>445</v>
      </c>
      <c r="B330" t="s">
        <v>671</v>
      </c>
      <c r="C330" t="str">
        <f t="shared" si="20"/>
        <v>LLY</v>
      </c>
      <c r="D330" t="str">
        <f t="shared" si="21"/>
        <v>mid</v>
      </c>
      <c r="E330" t="str">
        <f>IF(D330="first", MATCH("last", $D330:$D$510, 0), "")</f>
        <v/>
      </c>
      <c r="F330" t="str">
        <f t="shared" ca="1" si="22"/>
        <v/>
      </c>
      <c r="G330" s="15" t="str">
        <f t="shared" si="23"/>
        <v>445,</v>
      </c>
    </row>
    <row r="331" spans="1:7" x14ac:dyDescent="0.35">
      <c r="A331">
        <v>446</v>
      </c>
      <c r="B331" t="s">
        <v>672</v>
      </c>
      <c r="C331" t="str">
        <f t="shared" si="20"/>
        <v>LLY</v>
      </c>
      <c r="D331" t="str">
        <f t="shared" si="21"/>
        <v>mid</v>
      </c>
      <c r="E331" t="str">
        <f>IF(D331="first", MATCH("last", $D331:$D$510, 0), "")</f>
        <v/>
      </c>
      <c r="F331" t="str">
        <f t="shared" ca="1" si="22"/>
        <v/>
      </c>
      <c r="G331" s="15" t="str">
        <f t="shared" si="23"/>
        <v>446,</v>
      </c>
    </row>
    <row r="332" spans="1:7" x14ac:dyDescent="0.35">
      <c r="A332">
        <v>447</v>
      </c>
      <c r="B332" t="s">
        <v>673</v>
      </c>
      <c r="C332" t="str">
        <f t="shared" si="20"/>
        <v>LLY</v>
      </c>
      <c r="D332" t="str">
        <f t="shared" si="21"/>
        <v>mid</v>
      </c>
      <c r="E332" t="str">
        <f>IF(D332="first", MATCH("last", $D332:$D$510, 0), "")</f>
        <v/>
      </c>
      <c r="F332" t="str">
        <f t="shared" ca="1" si="22"/>
        <v/>
      </c>
      <c r="G332" s="15" t="str">
        <f t="shared" si="23"/>
        <v>447,</v>
      </c>
    </row>
    <row r="333" spans="1:7" x14ac:dyDescent="0.35">
      <c r="A333">
        <v>448</v>
      </c>
      <c r="B333" t="s">
        <v>674</v>
      </c>
      <c r="C333" t="str">
        <f t="shared" si="20"/>
        <v>LLY</v>
      </c>
      <c r="D333" t="str">
        <f t="shared" si="21"/>
        <v>mid</v>
      </c>
      <c r="E333" t="str">
        <f>IF(D333="first", MATCH("last", $D333:$D$510, 0), "")</f>
        <v/>
      </c>
      <c r="F333" t="str">
        <f t="shared" ca="1" si="22"/>
        <v/>
      </c>
      <c r="G333" s="15" t="str">
        <f t="shared" si="23"/>
        <v>448,</v>
      </c>
    </row>
    <row r="334" spans="1:7" x14ac:dyDescent="0.35">
      <c r="A334">
        <v>449</v>
      </c>
      <c r="B334" t="s">
        <v>675</v>
      </c>
      <c r="C334" t="str">
        <f t="shared" si="20"/>
        <v>LLY</v>
      </c>
      <c r="D334" t="str">
        <f t="shared" si="21"/>
        <v>mid</v>
      </c>
      <c r="E334" t="str">
        <f>IF(D334="first", MATCH("last", $D334:$D$510, 0), "")</f>
        <v/>
      </c>
      <c r="F334" t="str">
        <f t="shared" ca="1" si="22"/>
        <v/>
      </c>
      <c r="G334" s="15" t="str">
        <f t="shared" si="23"/>
        <v>449,</v>
      </c>
    </row>
    <row r="335" spans="1:7" x14ac:dyDescent="0.35">
      <c r="A335">
        <v>450</v>
      </c>
      <c r="B335" t="s">
        <v>676</v>
      </c>
      <c r="C335" t="str">
        <f t="shared" si="20"/>
        <v>LLY</v>
      </c>
      <c r="D335" t="str">
        <f t="shared" si="21"/>
        <v>mid</v>
      </c>
      <c r="E335" t="str">
        <f>IF(D335="first", MATCH("last", $D335:$D$510, 0), "")</f>
        <v/>
      </c>
      <c r="F335" t="str">
        <f t="shared" ca="1" si="22"/>
        <v/>
      </c>
      <c r="G335" s="15" t="str">
        <f t="shared" si="23"/>
        <v>450,</v>
      </c>
    </row>
    <row r="336" spans="1:7" x14ac:dyDescent="0.35">
      <c r="A336">
        <v>451</v>
      </c>
      <c r="B336" t="s">
        <v>677</v>
      </c>
      <c r="C336" t="str">
        <f t="shared" si="20"/>
        <v>LLY</v>
      </c>
      <c r="D336" t="str">
        <f t="shared" si="21"/>
        <v>mid</v>
      </c>
      <c r="E336" t="str">
        <f>IF(D336="first", MATCH("last", $D336:$D$510, 0), "")</f>
        <v/>
      </c>
      <c r="F336" t="str">
        <f t="shared" ca="1" si="22"/>
        <v/>
      </c>
      <c r="G336" s="15" t="str">
        <f t="shared" si="23"/>
        <v>451,</v>
      </c>
    </row>
    <row r="337" spans="1:7" x14ac:dyDescent="0.35">
      <c r="A337">
        <v>452</v>
      </c>
      <c r="B337" t="s">
        <v>678</v>
      </c>
      <c r="C337" t="str">
        <f t="shared" si="20"/>
        <v>LLY</v>
      </c>
      <c r="D337" t="str">
        <f t="shared" si="21"/>
        <v>mid</v>
      </c>
      <c r="E337" t="str">
        <f>IF(D337="first", MATCH("last", $D337:$D$510, 0), "")</f>
        <v/>
      </c>
      <c r="F337" t="str">
        <f t="shared" ca="1" si="22"/>
        <v/>
      </c>
      <c r="G337" s="15" t="str">
        <f t="shared" si="23"/>
        <v>452,</v>
      </c>
    </row>
    <row r="338" spans="1:7" x14ac:dyDescent="0.35">
      <c r="A338">
        <v>453</v>
      </c>
      <c r="B338" t="s">
        <v>679</v>
      </c>
      <c r="C338" t="str">
        <f t="shared" si="20"/>
        <v>LLY</v>
      </c>
      <c r="D338" t="str">
        <f t="shared" si="21"/>
        <v>mid</v>
      </c>
      <c r="E338" t="str">
        <f>IF(D338="first", MATCH("last", $D338:$D$510, 0), "")</f>
        <v/>
      </c>
      <c r="F338" t="str">
        <f t="shared" ca="1" si="22"/>
        <v/>
      </c>
      <c r="G338" s="15" t="str">
        <f t="shared" si="23"/>
        <v>453,</v>
      </c>
    </row>
    <row r="339" spans="1:7" x14ac:dyDescent="0.35">
      <c r="A339">
        <v>454</v>
      </c>
      <c r="B339" t="s">
        <v>680</v>
      </c>
      <c r="C339" t="str">
        <f t="shared" si="20"/>
        <v>LLY</v>
      </c>
      <c r="D339" t="str">
        <f t="shared" si="21"/>
        <v>mid</v>
      </c>
      <c r="E339" t="str">
        <f>IF(D339="first", MATCH("last", $D339:$D$510, 0), "")</f>
        <v/>
      </c>
      <c r="F339" t="str">
        <f t="shared" ca="1" si="22"/>
        <v/>
      </c>
      <c r="G339" s="15" t="str">
        <f t="shared" si="23"/>
        <v>454,</v>
      </c>
    </row>
    <row r="340" spans="1:7" x14ac:dyDescent="0.35">
      <c r="A340">
        <v>455</v>
      </c>
      <c r="B340" t="s">
        <v>681</v>
      </c>
      <c r="C340" t="str">
        <f t="shared" si="20"/>
        <v>LLY</v>
      </c>
      <c r="D340" t="str">
        <f t="shared" si="21"/>
        <v>mid</v>
      </c>
      <c r="E340" t="str">
        <f>IF(D340="first", MATCH("last", $D340:$D$510, 0), "")</f>
        <v/>
      </c>
      <c r="F340" t="str">
        <f t="shared" ca="1" si="22"/>
        <v/>
      </c>
      <c r="G340" s="15" t="str">
        <f t="shared" si="23"/>
        <v>455,</v>
      </c>
    </row>
    <row r="341" spans="1:7" x14ac:dyDescent="0.35">
      <c r="A341">
        <v>456</v>
      </c>
      <c r="B341" t="s">
        <v>682</v>
      </c>
      <c r="C341" t="str">
        <f t="shared" si="20"/>
        <v>LLY</v>
      </c>
      <c r="D341" t="str">
        <f t="shared" si="21"/>
        <v>mid</v>
      </c>
      <c r="E341" t="str">
        <f>IF(D341="first", MATCH("last", $D341:$D$510, 0), "")</f>
        <v/>
      </c>
      <c r="F341" t="str">
        <f t="shared" ca="1" si="22"/>
        <v/>
      </c>
      <c r="G341" s="15" t="str">
        <f t="shared" si="23"/>
        <v>456,</v>
      </c>
    </row>
    <row r="342" spans="1:7" x14ac:dyDescent="0.35">
      <c r="A342">
        <v>457</v>
      </c>
      <c r="B342" t="s">
        <v>683</v>
      </c>
      <c r="C342" t="str">
        <f t="shared" si="20"/>
        <v>LLY</v>
      </c>
      <c r="D342" t="str">
        <f t="shared" si="21"/>
        <v>mid</v>
      </c>
      <c r="E342" t="str">
        <f>IF(D342="first", MATCH("last", $D342:$D$510, 0), "")</f>
        <v/>
      </c>
      <c r="F342" t="str">
        <f t="shared" ca="1" si="22"/>
        <v/>
      </c>
      <c r="G342" s="15" t="str">
        <f t="shared" si="23"/>
        <v>457,</v>
      </c>
    </row>
    <row r="343" spans="1:7" x14ac:dyDescent="0.35">
      <c r="A343">
        <v>552</v>
      </c>
      <c r="B343" t="s">
        <v>684</v>
      </c>
      <c r="C343" t="str">
        <f t="shared" si="20"/>
        <v>LLY</v>
      </c>
      <c r="D343" t="str">
        <f t="shared" si="21"/>
        <v>mid</v>
      </c>
      <c r="E343" t="str">
        <f>IF(D343="first", MATCH("last", $D343:$D$510, 0), "")</f>
        <v/>
      </c>
      <c r="F343" t="str">
        <f t="shared" ca="1" si="22"/>
        <v/>
      </c>
      <c r="G343" s="15" t="str">
        <f t="shared" si="23"/>
        <v>552,</v>
      </c>
    </row>
    <row r="344" spans="1:7" x14ac:dyDescent="0.35">
      <c r="A344">
        <v>553</v>
      </c>
      <c r="B344" t="s">
        <v>685</v>
      </c>
      <c r="C344" t="str">
        <f t="shared" si="20"/>
        <v>LLY</v>
      </c>
      <c r="D344" t="str">
        <f t="shared" si="21"/>
        <v>last</v>
      </c>
      <c r="E344" t="str">
        <f>IF(D344="first", MATCH("last", $D344:$D$510, 0), "")</f>
        <v/>
      </c>
      <c r="F344" t="str">
        <f t="shared" ca="1" si="22"/>
        <v/>
      </c>
      <c r="G344" s="15">
        <f t="shared" si="23"/>
        <v>553</v>
      </c>
    </row>
    <row r="345" spans="1:7" x14ac:dyDescent="0.35">
      <c r="A345">
        <v>12</v>
      </c>
      <c r="B345" t="s">
        <v>686</v>
      </c>
      <c r="C345" t="str">
        <f t="shared" si="20"/>
        <v>LSP</v>
      </c>
      <c r="D345" t="str">
        <f t="shared" si="21"/>
        <v>first</v>
      </c>
      <c r="E345">
        <f>IF(D345="first", MATCH("last", $D345:$D$510, 0), "")</f>
        <v>4</v>
      </c>
      <c r="F345" t="str">
        <f t="shared" ca="1" si="22"/>
        <v>12,13,14,15</v>
      </c>
      <c r="G345" s="15" t="str">
        <f t="shared" si="23"/>
        <v>12,</v>
      </c>
    </row>
    <row r="346" spans="1:7" x14ac:dyDescent="0.35">
      <c r="A346">
        <v>13</v>
      </c>
      <c r="B346" t="s">
        <v>687</v>
      </c>
      <c r="C346" t="str">
        <f t="shared" si="20"/>
        <v>LSP</v>
      </c>
      <c r="D346" t="str">
        <f t="shared" si="21"/>
        <v>mid</v>
      </c>
      <c r="E346" t="str">
        <f>IF(D346="first", MATCH("last", $D346:$D$510, 0), "")</f>
        <v/>
      </c>
      <c r="F346" t="str">
        <f t="shared" ca="1" si="22"/>
        <v/>
      </c>
      <c r="G346" s="15" t="str">
        <f t="shared" si="23"/>
        <v>13,</v>
      </c>
    </row>
    <row r="347" spans="1:7" x14ac:dyDescent="0.35">
      <c r="A347">
        <v>14</v>
      </c>
      <c r="B347" t="s">
        <v>688</v>
      </c>
      <c r="C347" t="str">
        <f t="shared" si="20"/>
        <v>LSP</v>
      </c>
      <c r="D347" t="str">
        <f t="shared" si="21"/>
        <v>mid</v>
      </c>
      <c r="E347" t="str">
        <f>IF(D347="first", MATCH("last", $D347:$D$510, 0), "")</f>
        <v/>
      </c>
      <c r="F347" t="str">
        <f t="shared" ca="1" si="22"/>
        <v/>
      </c>
      <c r="G347" s="15" t="str">
        <f t="shared" si="23"/>
        <v>14,</v>
      </c>
    </row>
    <row r="348" spans="1:7" x14ac:dyDescent="0.35">
      <c r="A348">
        <v>15</v>
      </c>
      <c r="B348" t="s">
        <v>689</v>
      </c>
      <c r="C348" t="str">
        <f t="shared" si="20"/>
        <v>LSP</v>
      </c>
      <c r="D348" t="str">
        <f t="shared" si="21"/>
        <v>last</v>
      </c>
      <c r="E348" t="str">
        <f>IF(D348="first", MATCH("last", $D348:$D$510, 0), "")</f>
        <v/>
      </c>
      <c r="F348" t="str">
        <f t="shared" ca="1" si="22"/>
        <v/>
      </c>
      <c r="G348" s="15">
        <f t="shared" si="23"/>
        <v>15</v>
      </c>
    </row>
    <row r="349" spans="1:7" x14ac:dyDescent="0.35">
      <c r="A349">
        <v>56</v>
      </c>
      <c r="B349" t="s">
        <v>690</v>
      </c>
      <c r="C349" t="str">
        <f t="shared" si="20"/>
        <v>MIN</v>
      </c>
      <c r="D349" t="str">
        <f t="shared" si="21"/>
        <v>first</v>
      </c>
      <c r="E349">
        <f>IF(D349="first", MATCH("last", $D349:$D$510, 0), "")</f>
        <v>16</v>
      </c>
      <c r="F349" t="str">
        <f t="shared" ca="1" si="22"/>
        <v>56,57,58,59,60,61,62,63,64,65,66,67,68,69,70,71</v>
      </c>
      <c r="G349" s="15" t="str">
        <f t="shared" si="23"/>
        <v>56,</v>
      </c>
    </row>
    <row r="350" spans="1:7" x14ac:dyDescent="0.35">
      <c r="A350">
        <v>57</v>
      </c>
      <c r="B350" t="s">
        <v>691</v>
      </c>
      <c r="C350" t="str">
        <f t="shared" si="20"/>
        <v>MIN</v>
      </c>
      <c r="D350" t="str">
        <f t="shared" si="21"/>
        <v>mid</v>
      </c>
      <c r="E350" t="str">
        <f>IF(D350="first", MATCH("last", $D350:$D$510, 0), "")</f>
        <v/>
      </c>
      <c r="F350" t="str">
        <f t="shared" ca="1" si="22"/>
        <v/>
      </c>
      <c r="G350" s="15" t="str">
        <f t="shared" si="23"/>
        <v>57,</v>
      </c>
    </row>
    <row r="351" spans="1:7" x14ac:dyDescent="0.35">
      <c r="A351">
        <v>58</v>
      </c>
      <c r="B351" t="s">
        <v>692</v>
      </c>
      <c r="C351" t="str">
        <f t="shared" si="20"/>
        <v>MIN</v>
      </c>
      <c r="D351" t="str">
        <f t="shared" si="21"/>
        <v>mid</v>
      </c>
      <c r="E351" t="str">
        <f>IF(D351="first", MATCH("last", $D351:$D$510, 0), "")</f>
        <v/>
      </c>
      <c r="F351" t="str">
        <f t="shared" ca="1" si="22"/>
        <v/>
      </c>
      <c r="G351" s="15" t="str">
        <f t="shared" si="23"/>
        <v>58,</v>
      </c>
    </row>
    <row r="352" spans="1:7" x14ac:dyDescent="0.35">
      <c r="A352">
        <v>59</v>
      </c>
      <c r="B352" t="s">
        <v>693</v>
      </c>
      <c r="C352" t="str">
        <f t="shared" si="20"/>
        <v>MIN</v>
      </c>
      <c r="D352" t="str">
        <f t="shared" si="21"/>
        <v>mid</v>
      </c>
      <c r="E352" t="str">
        <f>IF(D352="first", MATCH("last", $D352:$D$510, 0), "")</f>
        <v/>
      </c>
      <c r="F352" t="str">
        <f t="shared" ca="1" si="22"/>
        <v/>
      </c>
      <c r="G352" s="15" t="str">
        <f t="shared" si="23"/>
        <v>59,</v>
      </c>
    </row>
    <row r="353" spans="1:7" x14ac:dyDescent="0.35">
      <c r="A353">
        <v>60</v>
      </c>
      <c r="B353" t="s">
        <v>694</v>
      </c>
      <c r="C353" t="str">
        <f t="shared" si="20"/>
        <v>MIN</v>
      </c>
      <c r="D353" t="str">
        <f t="shared" si="21"/>
        <v>mid</v>
      </c>
      <c r="E353" t="str">
        <f>IF(D353="first", MATCH("last", $D353:$D$510, 0), "")</f>
        <v/>
      </c>
      <c r="F353" t="str">
        <f t="shared" ca="1" si="22"/>
        <v/>
      </c>
      <c r="G353" s="15" t="str">
        <f t="shared" si="23"/>
        <v>60,</v>
      </c>
    </row>
    <row r="354" spans="1:7" x14ac:dyDescent="0.35">
      <c r="A354">
        <v>61</v>
      </c>
      <c r="B354" t="s">
        <v>695</v>
      </c>
      <c r="C354" t="str">
        <f t="shared" si="20"/>
        <v>MIN</v>
      </c>
      <c r="D354" t="str">
        <f t="shared" si="21"/>
        <v>mid</v>
      </c>
      <c r="E354" t="str">
        <f>IF(D354="first", MATCH("last", $D354:$D$510, 0), "")</f>
        <v/>
      </c>
      <c r="F354" t="str">
        <f t="shared" ca="1" si="22"/>
        <v/>
      </c>
      <c r="G354" s="15" t="str">
        <f t="shared" si="23"/>
        <v>61,</v>
      </c>
    </row>
    <row r="355" spans="1:7" x14ac:dyDescent="0.35">
      <c r="A355">
        <v>62</v>
      </c>
      <c r="B355" t="s">
        <v>696</v>
      </c>
      <c r="C355" t="str">
        <f t="shared" si="20"/>
        <v>MIN</v>
      </c>
      <c r="D355" t="str">
        <f t="shared" si="21"/>
        <v>mid</v>
      </c>
      <c r="E355" t="str">
        <f>IF(D355="first", MATCH("last", $D355:$D$510, 0), "")</f>
        <v/>
      </c>
      <c r="F355" t="str">
        <f t="shared" ca="1" si="22"/>
        <v/>
      </c>
      <c r="G355" s="15" t="str">
        <f t="shared" si="23"/>
        <v>62,</v>
      </c>
    </row>
    <row r="356" spans="1:7" x14ac:dyDescent="0.35">
      <c r="A356">
        <v>63</v>
      </c>
      <c r="B356" t="s">
        <v>697</v>
      </c>
      <c r="C356" t="str">
        <f t="shared" si="20"/>
        <v>MIN</v>
      </c>
      <c r="D356" t="str">
        <f t="shared" si="21"/>
        <v>mid</v>
      </c>
      <c r="E356" t="str">
        <f>IF(D356="first", MATCH("last", $D356:$D$510, 0), "")</f>
        <v/>
      </c>
      <c r="F356" t="str">
        <f t="shared" ca="1" si="22"/>
        <v/>
      </c>
      <c r="G356" s="15" t="str">
        <f t="shared" si="23"/>
        <v>63,</v>
      </c>
    </row>
    <row r="357" spans="1:7" x14ac:dyDescent="0.35">
      <c r="A357">
        <v>64</v>
      </c>
      <c r="B357" t="s">
        <v>698</v>
      </c>
      <c r="C357" t="str">
        <f t="shared" si="20"/>
        <v>MIN</v>
      </c>
      <c r="D357" t="str">
        <f t="shared" si="21"/>
        <v>mid</v>
      </c>
      <c r="E357" t="str">
        <f>IF(D357="first", MATCH("last", $D357:$D$510, 0), "")</f>
        <v/>
      </c>
      <c r="F357" t="str">
        <f t="shared" ca="1" si="22"/>
        <v/>
      </c>
      <c r="G357" s="15" t="str">
        <f t="shared" si="23"/>
        <v>64,</v>
      </c>
    </row>
    <row r="358" spans="1:7" x14ac:dyDescent="0.35">
      <c r="A358">
        <v>65</v>
      </c>
      <c r="B358" t="s">
        <v>699</v>
      </c>
      <c r="C358" t="str">
        <f t="shared" si="20"/>
        <v>MIN</v>
      </c>
      <c r="D358" t="str">
        <f t="shared" si="21"/>
        <v>mid</v>
      </c>
      <c r="E358" t="str">
        <f>IF(D358="first", MATCH("last", $D358:$D$510, 0), "")</f>
        <v/>
      </c>
      <c r="F358" t="str">
        <f t="shared" ca="1" si="22"/>
        <v/>
      </c>
      <c r="G358" s="15" t="str">
        <f t="shared" si="23"/>
        <v>65,</v>
      </c>
    </row>
    <row r="359" spans="1:7" x14ac:dyDescent="0.35">
      <c r="A359">
        <v>66</v>
      </c>
      <c r="B359" t="s">
        <v>700</v>
      </c>
      <c r="C359" t="str">
        <f t="shared" si="20"/>
        <v>MIN</v>
      </c>
      <c r="D359" t="str">
        <f t="shared" si="21"/>
        <v>mid</v>
      </c>
      <c r="E359" t="str">
        <f>IF(D359="first", MATCH("last", $D359:$D$510, 0), "")</f>
        <v/>
      </c>
      <c r="F359" t="str">
        <f t="shared" ca="1" si="22"/>
        <v/>
      </c>
      <c r="G359" s="15" t="str">
        <f t="shared" si="23"/>
        <v>66,</v>
      </c>
    </row>
    <row r="360" spans="1:7" x14ac:dyDescent="0.35">
      <c r="A360">
        <v>67</v>
      </c>
      <c r="B360" t="s">
        <v>701</v>
      </c>
      <c r="C360" t="str">
        <f t="shared" si="20"/>
        <v>MIN</v>
      </c>
      <c r="D360" t="str">
        <f t="shared" si="21"/>
        <v>mid</v>
      </c>
      <c r="E360" t="str">
        <f>IF(D360="first", MATCH("last", $D360:$D$510, 0), "")</f>
        <v/>
      </c>
      <c r="F360" t="str">
        <f t="shared" ca="1" si="22"/>
        <v/>
      </c>
      <c r="G360" s="15" t="str">
        <f t="shared" si="23"/>
        <v>67,</v>
      </c>
    </row>
    <row r="361" spans="1:7" x14ac:dyDescent="0.35">
      <c r="A361">
        <v>68</v>
      </c>
      <c r="B361" t="s">
        <v>702</v>
      </c>
      <c r="C361" t="str">
        <f t="shared" si="20"/>
        <v>MIN</v>
      </c>
      <c r="D361" t="str">
        <f t="shared" si="21"/>
        <v>mid</v>
      </c>
      <c r="E361" t="str">
        <f>IF(D361="first", MATCH("last", $D361:$D$510, 0), "")</f>
        <v/>
      </c>
      <c r="F361" t="str">
        <f t="shared" ca="1" si="22"/>
        <v/>
      </c>
      <c r="G361" s="15" t="str">
        <f t="shared" si="23"/>
        <v>68,</v>
      </c>
    </row>
    <row r="362" spans="1:7" x14ac:dyDescent="0.35">
      <c r="A362">
        <v>69</v>
      </c>
      <c r="B362" t="s">
        <v>703</v>
      </c>
      <c r="C362" t="str">
        <f t="shared" si="20"/>
        <v>MIN</v>
      </c>
      <c r="D362" t="str">
        <f t="shared" si="21"/>
        <v>mid</v>
      </c>
      <c r="E362" t="str">
        <f>IF(D362="first", MATCH("last", $D362:$D$510, 0), "")</f>
        <v/>
      </c>
      <c r="F362" t="str">
        <f t="shared" ca="1" si="22"/>
        <v/>
      </c>
      <c r="G362" s="15" t="str">
        <f t="shared" si="23"/>
        <v>69,</v>
      </c>
    </row>
    <row r="363" spans="1:7" x14ac:dyDescent="0.35">
      <c r="A363">
        <v>70</v>
      </c>
      <c r="B363" t="s">
        <v>704</v>
      </c>
      <c r="C363" t="str">
        <f t="shared" si="20"/>
        <v>MIN</v>
      </c>
      <c r="D363" t="str">
        <f t="shared" si="21"/>
        <v>mid</v>
      </c>
      <c r="E363" t="str">
        <f>IF(D363="first", MATCH("last", $D363:$D$510, 0), "")</f>
        <v/>
      </c>
      <c r="F363" t="str">
        <f t="shared" ca="1" si="22"/>
        <v/>
      </c>
      <c r="G363" s="15" t="str">
        <f t="shared" si="23"/>
        <v>70,</v>
      </c>
    </row>
    <row r="364" spans="1:7" x14ac:dyDescent="0.35">
      <c r="A364">
        <v>71</v>
      </c>
      <c r="B364" t="s">
        <v>705</v>
      </c>
      <c r="C364" t="str">
        <f t="shared" si="20"/>
        <v>MIN</v>
      </c>
      <c r="D364" t="str">
        <f t="shared" si="21"/>
        <v>last</v>
      </c>
      <c r="E364" t="str">
        <f>IF(D364="first", MATCH("last", $D364:$D$510, 0), "")</f>
        <v/>
      </c>
      <c r="F364" t="str">
        <f t="shared" ca="1" si="22"/>
        <v/>
      </c>
      <c r="G364" s="15">
        <f t="shared" si="23"/>
        <v>71</v>
      </c>
    </row>
    <row r="365" spans="1:7" x14ac:dyDescent="0.35">
      <c r="A365">
        <v>39</v>
      </c>
      <c r="B365" t="s">
        <v>706</v>
      </c>
      <c r="C365" t="str">
        <f t="shared" si="20"/>
        <v>MYN</v>
      </c>
      <c r="D365" t="str">
        <f t="shared" si="21"/>
        <v>first</v>
      </c>
      <c r="E365">
        <f>IF(D365="first", MATCH("last", $D365:$D$510, 0), "")</f>
        <v>17</v>
      </c>
      <c r="F365" t="str">
        <f t="shared" ca="1" si="22"/>
        <v>39,40,41,42,43,44,45,46,47,48,49,50,51,52,53,54,55</v>
      </c>
      <c r="G365" s="15" t="str">
        <f t="shared" si="23"/>
        <v>39,</v>
      </c>
    </row>
    <row r="366" spans="1:7" x14ac:dyDescent="0.35">
      <c r="A366">
        <v>40</v>
      </c>
      <c r="B366" t="s">
        <v>707</v>
      </c>
      <c r="C366" t="str">
        <f t="shared" si="20"/>
        <v>MYN</v>
      </c>
      <c r="D366" t="str">
        <f t="shared" si="21"/>
        <v>mid</v>
      </c>
      <c r="E366" t="str">
        <f>IF(D366="first", MATCH("last", $D366:$D$510, 0), "")</f>
        <v/>
      </c>
      <c r="F366" t="str">
        <f t="shared" ca="1" si="22"/>
        <v/>
      </c>
      <c r="G366" s="15" t="str">
        <f t="shared" si="23"/>
        <v>40,</v>
      </c>
    </row>
    <row r="367" spans="1:7" x14ac:dyDescent="0.35">
      <c r="A367">
        <v>41</v>
      </c>
      <c r="B367" t="s">
        <v>708</v>
      </c>
      <c r="C367" t="str">
        <f t="shared" si="20"/>
        <v>MYN</v>
      </c>
      <c r="D367" t="str">
        <f t="shared" si="21"/>
        <v>mid</v>
      </c>
      <c r="E367" t="str">
        <f>IF(D367="first", MATCH("last", $D367:$D$510, 0), "")</f>
        <v/>
      </c>
      <c r="F367" t="str">
        <f t="shared" ca="1" si="22"/>
        <v/>
      </c>
      <c r="G367" s="15" t="str">
        <f t="shared" si="23"/>
        <v>41,</v>
      </c>
    </row>
    <row r="368" spans="1:7" x14ac:dyDescent="0.35">
      <c r="A368">
        <v>42</v>
      </c>
      <c r="B368" t="s">
        <v>709</v>
      </c>
      <c r="C368" t="str">
        <f t="shared" si="20"/>
        <v>MYN</v>
      </c>
      <c r="D368" t="str">
        <f t="shared" si="21"/>
        <v>mid</v>
      </c>
      <c r="E368" t="str">
        <f>IF(D368="first", MATCH("last", $D368:$D$510, 0), "")</f>
        <v/>
      </c>
      <c r="F368" t="str">
        <f t="shared" ca="1" si="22"/>
        <v/>
      </c>
      <c r="G368" s="15" t="str">
        <f t="shared" si="23"/>
        <v>42,</v>
      </c>
    </row>
    <row r="369" spans="1:7" x14ac:dyDescent="0.35">
      <c r="A369">
        <v>43</v>
      </c>
      <c r="B369" t="s">
        <v>710</v>
      </c>
      <c r="C369" t="str">
        <f t="shared" si="20"/>
        <v>MYN</v>
      </c>
      <c r="D369" t="str">
        <f t="shared" si="21"/>
        <v>mid</v>
      </c>
      <c r="E369" t="str">
        <f>IF(D369="first", MATCH("last", $D369:$D$510, 0), "")</f>
        <v/>
      </c>
      <c r="F369" t="str">
        <f t="shared" ca="1" si="22"/>
        <v/>
      </c>
      <c r="G369" s="15" t="str">
        <f t="shared" si="23"/>
        <v>43,</v>
      </c>
    </row>
    <row r="370" spans="1:7" x14ac:dyDescent="0.35">
      <c r="A370">
        <v>44</v>
      </c>
      <c r="B370" t="s">
        <v>711</v>
      </c>
      <c r="C370" t="str">
        <f t="shared" si="20"/>
        <v>MYN</v>
      </c>
      <c r="D370" t="str">
        <f t="shared" si="21"/>
        <v>mid</v>
      </c>
      <c r="E370" t="str">
        <f>IF(D370="first", MATCH("last", $D370:$D$510, 0), "")</f>
        <v/>
      </c>
      <c r="F370" t="str">
        <f t="shared" ca="1" si="22"/>
        <v/>
      </c>
      <c r="G370" s="15" t="str">
        <f t="shared" si="23"/>
        <v>44,</v>
      </c>
    </row>
    <row r="371" spans="1:7" x14ac:dyDescent="0.35">
      <c r="A371">
        <v>45</v>
      </c>
      <c r="B371" t="s">
        <v>712</v>
      </c>
      <c r="C371" t="str">
        <f t="shared" si="20"/>
        <v>MYN</v>
      </c>
      <c r="D371" t="str">
        <f t="shared" si="21"/>
        <v>mid</v>
      </c>
      <c r="E371" t="str">
        <f>IF(D371="first", MATCH("last", $D371:$D$510, 0), "")</f>
        <v/>
      </c>
      <c r="F371" t="str">
        <f t="shared" ca="1" si="22"/>
        <v/>
      </c>
      <c r="G371" s="15" t="str">
        <f t="shared" si="23"/>
        <v>45,</v>
      </c>
    </row>
    <row r="372" spans="1:7" x14ac:dyDescent="0.35">
      <c r="A372">
        <v>46</v>
      </c>
      <c r="B372" t="s">
        <v>713</v>
      </c>
      <c r="C372" t="str">
        <f t="shared" si="20"/>
        <v>MYN</v>
      </c>
      <c r="D372" t="str">
        <f t="shared" si="21"/>
        <v>mid</v>
      </c>
      <c r="E372" t="str">
        <f>IF(D372="first", MATCH("last", $D372:$D$510, 0), "")</f>
        <v/>
      </c>
      <c r="F372" t="str">
        <f t="shared" ca="1" si="22"/>
        <v/>
      </c>
      <c r="G372" s="15" t="str">
        <f t="shared" si="23"/>
        <v>46,</v>
      </c>
    </row>
    <row r="373" spans="1:7" x14ac:dyDescent="0.35">
      <c r="A373">
        <v>47</v>
      </c>
      <c r="B373" t="s">
        <v>714</v>
      </c>
      <c r="C373" t="str">
        <f t="shared" si="20"/>
        <v>MYN</v>
      </c>
      <c r="D373" t="str">
        <f t="shared" si="21"/>
        <v>mid</v>
      </c>
      <c r="E373" t="str">
        <f>IF(D373="first", MATCH("last", $D373:$D$510, 0), "")</f>
        <v/>
      </c>
      <c r="F373" t="str">
        <f t="shared" ca="1" si="22"/>
        <v/>
      </c>
      <c r="G373" s="15" t="str">
        <f t="shared" si="23"/>
        <v>47,</v>
      </c>
    </row>
    <row r="374" spans="1:7" x14ac:dyDescent="0.35">
      <c r="A374">
        <v>48</v>
      </c>
      <c r="B374" t="s">
        <v>715</v>
      </c>
      <c r="C374" t="str">
        <f t="shared" si="20"/>
        <v>MYN</v>
      </c>
      <c r="D374" t="str">
        <f t="shared" si="21"/>
        <v>mid</v>
      </c>
      <c r="E374" t="str">
        <f>IF(D374="first", MATCH("last", $D374:$D$510, 0), "")</f>
        <v/>
      </c>
      <c r="F374" t="str">
        <f t="shared" ca="1" si="22"/>
        <v/>
      </c>
      <c r="G374" s="15" t="str">
        <f t="shared" si="23"/>
        <v>48,</v>
      </c>
    </row>
    <row r="375" spans="1:7" x14ac:dyDescent="0.35">
      <c r="A375">
        <v>49</v>
      </c>
      <c r="B375" t="s">
        <v>716</v>
      </c>
      <c r="C375" t="str">
        <f t="shared" si="20"/>
        <v>MYN</v>
      </c>
      <c r="D375" t="str">
        <f t="shared" si="21"/>
        <v>mid</v>
      </c>
      <c r="E375" t="str">
        <f>IF(D375="first", MATCH("last", $D375:$D$510, 0), "")</f>
        <v/>
      </c>
      <c r="F375" t="str">
        <f t="shared" ca="1" si="22"/>
        <v/>
      </c>
      <c r="G375" s="15" t="str">
        <f t="shared" si="23"/>
        <v>49,</v>
      </c>
    </row>
    <row r="376" spans="1:7" x14ac:dyDescent="0.35">
      <c r="A376">
        <v>50</v>
      </c>
      <c r="B376" t="s">
        <v>717</v>
      </c>
      <c r="C376" t="str">
        <f t="shared" si="20"/>
        <v>MYN</v>
      </c>
      <c r="D376" t="str">
        <f t="shared" si="21"/>
        <v>mid</v>
      </c>
      <c r="E376" t="str">
        <f>IF(D376="first", MATCH("last", $D376:$D$510, 0), "")</f>
        <v/>
      </c>
      <c r="F376" t="str">
        <f t="shared" ca="1" si="22"/>
        <v/>
      </c>
      <c r="G376" s="15" t="str">
        <f t="shared" si="23"/>
        <v>50,</v>
      </c>
    </row>
    <row r="377" spans="1:7" x14ac:dyDescent="0.35">
      <c r="A377">
        <v>51</v>
      </c>
      <c r="B377" t="s">
        <v>718</v>
      </c>
      <c r="C377" t="str">
        <f t="shared" si="20"/>
        <v>MYN</v>
      </c>
      <c r="D377" t="str">
        <f t="shared" si="21"/>
        <v>mid</v>
      </c>
      <c r="E377" t="str">
        <f>IF(D377="first", MATCH("last", $D377:$D$510, 0), "")</f>
        <v/>
      </c>
      <c r="F377" t="str">
        <f t="shared" ca="1" si="22"/>
        <v/>
      </c>
      <c r="G377" s="15" t="str">
        <f t="shared" si="23"/>
        <v>51,</v>
      </c>
    </row>
    <row r="378" spans="1:7" x14ac:dyDescent="0.35">
      <c r="A378">
        <v>52</v>
      </c>
      <c r="B378" t="s">
        <v>719</v>
      </c>
      <c r="C378" t="str">
        <f t="shared" si="20"/>
        <v>MYN</v>
      </c>
      <c r="D378" t="str">
        <f t="shared" si="21"/>
        <v>mid</v>
      </c>
      <c r="E378" t="str">
        <f>IF(D378="first", MATCH("last", $D378:$D$510, 0), "")</f>
        <v/>
      </c>
      <c r="F378" t="str">
        <f t="shared" ca="1" si="22"/>
        <v/>
      </c>
      <c r="G378" s="15" t="str">
        <f t="shared" si="23"/>
        <v>52,</v>
      </c>
    </row>
    <row r="379" spans="1:7" x14ac:dyDescent="0.35">
      <c r="A379">
        <v>53</v>
      </c>
      <c r="B379" t="s">
        <v>720</v>
      </c>
      <c r="C379" t="str">
        <f t="shared" si="20"/>
        <v>MYN</v>
      </c>
      <c r="D379" t="str">
        <f t="shared" si="21"/>
        <v>mid</v>
      </c>
      <c r="E379" t="str">
        <f>IF(D379="first", MATCH("last", $D379:$D$510, 0), "")</f>
        <v/>
      </c>
      <c r="F379" t="str">
        <f t="shared" ca="1" si="22"/>
        <v/>
      </c>
      <c r="G379" s="15" t="str">
        <f t="shared" si="23"/>
        <v>53,</v>
      </c>
    </row>
    <row r="380" spans="1:7" x14ac:dyDescent="0.35">
      <c r="A380">
        <v>54</v>
      </c>
      <c r="B380" t="s">
        <v>721</v>
      </c>
      <c r="C380" t="str">
        <f t="shared" si="20"/>
        <v>MYN</v>
      </c>
      <c r="D380" t="str">
        <f t="shared" si="21"/>
        <v>mid</v>
      </c>
      <c r="E380" t="str">
        <f>IF(D380="first", MATCH("last", $D380:$D$510, 0), "")</f>
        <v/>
      </c>
      <c r="F380" t="str">
        <f t="shared" ca="1" si="22"/>
        <v/>
      </c>
      <c r="G380" s="15" t="str">
        <f t="shared" si="23"/>
        <v>54,</v>
      </c>
    </row>
    <row r="381" spans="1:7" x14ac:dyDescent="0.35">
      <c r="A381">
        <v>55</v>
      </c>
      <c r="B381" t="s">
        <v>722</v>
      </c>
      <c r="C381" t="str">
        <f t="shared" si="20"/>
        <v>MYN</v>
      </c>
      <c r="D381" t="str">
        <f t="shared" si="21"/>
        <v>last</v>
      </c>
      <c r="E381" t="str">
        <f>IF(D381="first", MATCH("last", $D381:$D$510, 0), "")</f>
        <v/>
      </c>
      <c r="F381" t="str">
        <f t="shared" ca="1" si="22"/>
        <v/>
      </c>
      <c r="G381" s="15">
        <f t="shared" si="23"/>
        <v>55</v>
      </c>
    </row>
    <row r="382" spans="1:7" x14ac:dyDescent="0.35">
      <c r="A382">
        <v>458</v>
      </c>
      <c r="B382" t="s">
        <v>723</v>
      </c>
      <c r="C382" t="str">
        <f t="shared" si="20"/>
        <v>MYG</v>
      </c>
      <c r="D382" t="str">
        <f t="shared" si="21"/>
        <v>first</v>
      </c>
      <c r="E382">
        <f>IF(D382="first", MATCH("last", $D382:$D$510, 0), "")</f>
        <v>19</v>
      </c>
      <c r="F382" t="str">
        <f t="shared" ca="1" si="22"/>
        <v>458,459,460,461,462,463,464,465,466,467,468,469,470,471,472,473,474,475,476</v>
      </c>
      <c r="G382" s="15" t="str">
        <f t="shared" si="23"/>
        <v>458,</v>
      </c>
    </row>
    <row r="383" spans="1:7" x14ac:dyDescent="0.35">
      <c r="A383">
        <v>459</v>
      </c>
      <c r="B383" t="s">
        <v>724</v>
      </c>
      <c r="C383" t="str">
        <f t="shared" si="20"/>
        <v>MYG</v>
      </c>
      <c r="D383" t="str">
        <f t="shared" si="21"/>
        <v>mid</v>
      </c>
      <c r="E383" t="str">
        <f>IF(D383="first", MATCH("last", $D383:$D$510, 0), "")</f>
        <v/>
      </c>
      <c r="F383" t="str">
        <f t="shared" ca="1" si="22"/>
        <v/>
      </c>
      <c r="G383" s="15" t="str">
        <f t="shared" si="23"/>
        <v>459,</v>
      </c>
    </row>
    <row r="384" spans="1:7" x14ac:dyDescent="0.35">
      <c r="A384">
        <v>460</v>
      </c>
      <c r="B384" t="s">
        <v>725</v>
      </c>
      <c r="C384" t="str">
        <f t="shared" si="20"/>
        <v>MYG</v>
      </c>
      <c r="D384" t="str">
        <f t="shared" si="21"/>
        <v>mid</v>
      </c>
      <c r="E384" t="str">
        <f>IF(D384="first", MATCH("last", $D384:$D$510, 0), "")</f>
        <v/>
      </c>
      <c r="F384" t="str">
        <f t="shared" ca="1" si="22"/>
        <v/>
      </c>
      <c r="G384" s="15" t="str">
        <f t="shared" si="23"/>
        <v>460,</v>
      </c>
    </row>
    <row r="385" spans="1:7" x14ac:dyDescent="0.35">
      <c r="A385">
        <v>461</v>
      </c>
      <c r="B385" t="s">
        <v>726</v>
      </c>
      <c r="C385" t="str">
        <f t="shared" si="20"/>
        <v>MYG</v>
      </c>
      <c r="D385" t="str">
        <f t="shared" si="21"/>
        <v>mid</v>
      </c>
      <c r="E385" t="str">
        <f>IF(D385="first", MATCH("last", $D385:$D$510, 0), "")</f>
        <v/>
      </c>
      <c r="F385" t="str">
        <f t="shared" ca="1" si="22"/>
        <v/>
      </c>
      <c r="G385" s="15" t="str">
        <f t="shared" si="23"/>
        <v>461,</v>
      </c>
    </row>
    <row r="386" spans="1:7" x14ac:dyDescent="0.35">
      <c r="A386">
        <v>462</v>
      </c>
      <c r="B386" t="s">
        <v>727</v>
      </c>
      <c r="C386" t="str">
        <f t="shared" si="20"/>
        <v>MYG</v>
      </c>
      <c r="D386" t="str">
        <f t="shared" si="21"/>
        <v>mid</v>
      </c>
      <c r="E386" t="str">
        <f>IF(D386="first", MATCH("last", $D386:$D$510, 0), "")</f>
        <v/>
      </c>
      <c r="F386" t="str">
        <f t="shared" ca="1" si="22"/>
        <v/>
      </c>
      <c r="G386" s="15" t="str">
        <f t="shared" si="23"/>
        <v>462,</v>
      </c>
    </row>
    <row r="387" spans="1:7" x14ac:dyDescent="0.35">
      <c r="A387">
        <v>463</v>
      </c>
      <c r="B387" t="s">
        <v>728</v>
      </c>
      <c r="C387" t="str">
        <f t="shared" ref="C387:C450" si="24">LEFT(B387, 3)</f>
        <v>MYG</v>
      </c>
      <c r="D387" t="str">
        <f t="shared" ref="D387:D450" si="25">IF(C387&lt;&gt;C386,"first",IF(C387&lt;&gt;C388,"last","mid"))</f>
        <v>mid</v>
      </c>
      <c r="E387" t="str">
        <f>IF(D387="first", MATCH("last", $D387:$D$510, 0), "")</f>
        <v/>
      </c>
      <c r="F387" t="str">
        <f t="shared" ref="F387:F450" ca="1" si="26">IF(D387="first", _xlfn.CONCAT(INDIRECT(_xlfn.CONCAT(ADDRESS(ROW(G387), COLUMN(G387)), ":", ADDRESS(E387+ROW(G387)-1, COLUMN(G387))))), "")</f>
        <v/>
      </c>
      <c r="G387" s="15" t="str">
        <f t="shared" ref="G387:G450" si="27">IF(D387&lt;&gt;"last", _xlfn.CONCAT(A387, ","), A387)</f>
        <v>463,</v>
      </c>
    </row>
    <row r="388" spans="1:7" x14ac:dyDescent="0.35">
      <c r="A388">
        <v>464</v>
      </c>
      <c r="B388" t="s">
        <v>729</v>
      </c>
      <c r="C388" t="str">
        <f t="shared" si="24"/>
        <v>MYG</v>
      </c>
      <c r="D388" t="str">
        <f t="shared" si="25"/>
        <v>mid</v>
      </c>
      <c r="E388" t="str">
        <f>IF(D388="first", MATCH("last", $D388:$D$510, 0), "")</f>
        <v/>
      </c>
      <c r="F388" t="str">
        <f t="shared" ca="1" si="26"/>
        <v/>
      </c>
      <c r="G388" s="15" t="str">
        <f t="shared" si="27"/>
        <v>464,</v>
      </c>
    </row>
    <row r="389" spans="1:7" x14ac:dyDescent="0.35">
      <c r="A389">
        <v>465</v>
      </c>
      <c r="B389" t="s">
        <v>730</v>
      </c>
      <c r="C389" t="str">
        <f t="shared" si="24"/>
        <v>MYG</v>
      </c>
      <c r="D389" t="str">
        <f t="shared" si="25"/>
        <v>mid</v>
      </c>
      <c r="E389" t="str">
        <f>IF(D389="first", MATCH("last", $D389:$D$510, 0), "")</f>
        <v/>
      </c>
      <c r="F389" t="str">
        <f t="shared" ca="1" si="26"/>
        <v/>
      </c>
      <c r="G389" s="15" t="str">
        <f t="shared" si="27"/>
        <v>465,</v>
      </c>
    </row>
    <row r="390" spans="1:7" x14ac:dyDescent="0.35">
      <c r="A390">
        <v>466</v>
      </c>
      <c r="B390" t="s">
        <v>731</v>
      </c>
      <c r="C390" t="str">
        <f t="shared" si="24"/>
        <v>MYG</v>
      </c>
      <c r="D390" t="str">
        <f t="shared" si="25"/>
        <v>mid</v>
      </c>
      <c r="E390" t="str">
        <f>IF(D390="first", MATCH("last", $D390:$D$510, 0), "")</f>
        <v/>
      </c>
      <c r="F390" t="str">
        <f t="shared" ca="1" si="26"/>
        <v/>
      </c>
      <c r="G390" s="15" t="str">
        <f t="shared" si="27"/>
        <v>466,</v>
      </c>
    </row>
    <row r="391" spans="1:7" x14ac:dyDescent="0.35">
      <c r="A391">
        <v>467</v>
      </c>
      <c r="B391" t="s">
        <v>732</v>
      </c>
      <c r="C391" t="str">
        <f t="shared" si="24"/>
        <v>MYG</v>
      </c>
      <c r="D391" t="str">
        <f t="shared" si="25"/>
        <v>mid</v>
      </c>
      <c r="E391" t="str">
        <f>IF(D391="first", MATCH("last", $D391:$D$510, 0), "")</f>
        <v/>
      </c>
      <c r="F391" t="str">
        <f t="shared" ca="1" si="26"/>
        <v/>
      </c>
      <c r="G391" s="15" t="str">
        <f t="shared" si="27"/>
        <v>467,</v>
      </c>
    </row>
    <row r="392" spans="1:7" x14ac:dyDescent="0.35">
      <c r="A392">
        <v>468</v>
      </c>
      <c r="B392" t="s">
        <v>733</v>
      </c>
      <c r="C392" t="str">
        <f t="shared" si="24"/>
        <v>MYG</v>
      </c>
      <c r="D392" t="str">
        <f t="shared" si="25"/>
        <v>mid</v>
      </c>
      <c r="E392" t="str">
        <f>IF(D392="first", MATCH("last", $D392:$D$510, 0), "")</f>
        <v/>
      </c>
      <c r="F392" t="str">
        <f t="shared" ca="1" si="26"/>
        <v/>
      </c>
      <c r="G392" s="15" t="str">
        <f t="shared" si="27"/>
        <v>468,</v>
      </c>
    </row>
    <row r="393" spans="1:7" x14ac:dyDescent="0.35">
      <c r="A393">
        <v>469</v>
      </c>
      <c r="B393" t="s">
        <v>734</v>
      </c>
      <c r="C393" t="str">
        <f t="shared" si="24"/>
        <v>MYG</v>
      </c>
      <c r="D393" t="str">
        <f t="shared" si="25"/>
        <v>mid</v>
      </c>
      <c r="E393" t="str">
        <f>IF(D393="first", MATCH("last", $D393:$D$510, 0), "")</f>
        <v/>
      </c>
      <c r="F393" t="str">
        <f t="shared" ca="1" si="26"/>
        <v/>
      </c>
      <c r="G393" s="15" t="str">
        <f t="shared" si="27"/>
        <v>469,</v>
      </c>
    </row>
    <row r="394" spans="1:7" x14ac:dyDescent="0.35">
      <c r="A394">
        <v>470</v>
      </c>
      <c r="B394" t="s">
        <v>735</v>
      </c>
      <c r="C394" t="str">
        <f t="shared" si="24"/>
        <v>MYG</v>
      </c>
      <c r="D394" t="str">
        <f t="shared" si="25"/>
        <v>mid</v>
      </c>
      <c r="E394" t="str">
        <f>IF(D394="first", MATCH("last", $D394:$D$510, 0), "")</f>
        <v/>
      </c>
      <c r="F394" t="str">
        <f t="shared" ca="1" si="26"/>
        <v/>
      </c>
      <c r="G394" s="15" t="str">
        <f t="shared" si="27"/>
        <v>470,</v>
      </c>
    </row>
    <row r="395" spans="1:7" x14ac:dyDescent="0.35">
      <c r="A395">
        <v>471</v>
      </c>
      <c r="B395" t="s">
        <v>736</v>
      </c>
      <c r="C395" t="str">
        <f t="shared" si="24"/>
        <v>MYG</v>
      </c>
      <c r="D395" t="str">
        <f t="shared" si="25"/>
        <v>mid</v>
      </c>
      <c r="E395" t="str">
        <f>IF(D395="first", MATCH("last", $D395:$D$510, 0), "")</f>
        <v/>
      </c>
      <c r="F395" t="str">
        <f t="shared" ca="1" si="26"/>
        <v/>
      </c>
      <c r="G395" s="15" t="str">
        <f t="shared" si="27"/>
        <v>471,</v>
      </c>
    </row>
    <row r="396" spans="1:7" x14ac:dyDescent="0.35">
      <c r="A396">
        <v>472</v>
      </c>
      <c r="B396" t="s">
        <v>737</v>
      </c>
      <c r="C396" t="str">
        <f t="shared" si="24"/>
        <v>MYG</v>
      </c>
      <c r="D396" t="str">
        <f t="shared" si="25"/>
        <v>mid</v>
      </c>
      <c r="E396" t="str">
        <f>IF(D396="first", MATCH("last", $D396:$D$510, 0), "")</f>
        <v/>
      </c>
      <c r="F396" t="str">
        <f t="shared" ca="1" si="26"/>
        <v/>
      </c>
      <c r="G396" s="15" t="str">
        <f t="shared" si="27"/>
        <v>472,</v>
      </c>
    </row>
    <row r="397" spans="1:7" x14ac:dyDescent="0.35">
      <c r="A397">
        <v>473</v>
      </c>
      <c r="B397" t="s">
        <v>738</v>
      </c>
      <c r="C397" t="str">
        <f t="shared" si="24"/>
        <v>MYG</v>
      </c>
      <c r="D397" t="str">
        <f t="shared" si="25"/>
        <v>mid</v>
      </c>
      <c r="E397" t="str">
        <f>IF(D397="first", MATCH("last", $D397:$D$510, 0), "")</f>
        <v/>
      </c>
      <c r="F397" t="str">
        <f t="shared" ca="1" si="26"/>
        <v/>
      </c>
      <c r="G397" s="15" t="str">
        <f t="shared" si="27"/>
        <v>473,</v>
      </c>
    </row>
    <row r="398" spans="1:7" x14ac:dyDescent="0.35">
      <c r="A398">
        <v>474</v>
      </c>
      <c r="B398" t="s">
        <v>739</v>
      </c>
      <c r="C398" t="str">
        <f t="shared" si="24"/>
        <v>MYG</v>
      </c>
      <c r="D398" t="str">
        <f t="shared" si="25"/>
        <v>mid</v>
      </c>
      <c r="E398" t="str">
        <f>IF(D398="first", MATCH("last", $D398:$D$510, 0), "")</f>
        <v/>
      </c>
      <c r="F398" t="str">
        <f t="shared" ca="1" si="26"/>
        <v/>
      </c>
      <c r="G398" s="15" t="str">
        <f t="shared" si="27"/>
        <v>474,</v>
      </c>
    </row>
    <row r="399" spans="1:7" x14ac:dyDescent="0.35">
      <c r="A399">
        <v>475</v>
      </c>
      <c r="B399" t="s">
        <v>740</v>
      </c>
      <c r="C399" t="str">
        <f t="shared" si="24"/>
        <v>MYG</v>
      </c>
      <c r="D399" t="str">
        <f t="shared" si="25"/>
        <v>mid</v>
      </c>
      <c r="E399" t="str">
        <f>IF(D399="first", MATCH("last", $D399:$D$510, 0), "")</f>
        <v/>
      </c>
      <c r="F399" t="str">
        <f t="shared" ca="1" si="26"/>
        <v/>
      </c>
      <c r="G399" s="15" t="str">
        <f t="shared" si="27"/>
        <v>475,</v>
      </c>
    </row>
    <row r="400" spans="1:7" x14ac:dyDescent="0.35">
      <c r="A400">
        <v>476</v>
      </c>
      <c r="B400" t="s">
        <v>741</v>
      </c>
      <c r="C400" t="str">
        <f t="shared" si="24"/>
        <v>MYG</v>
      </c>
      <c r="D400" t="str">
        <f t="shared" si="25"/>
        <v>last</v>
      </c>
      <c r="E400" t="str">
        <f>IF(D400="first", MATCH("last", $D400:$D$510, 0), "")</f>
        <v/>
      </c>
      <c r="F400" t="str">
        <f t="shared" ca="1" si="26"/>
        <v/>
      </c>
      <c r="G400" s="15">
        <f t="shared" si="27"/>
        <v>476</v>
      </c>
    </row>
    <row r="401" spans="1:7" x14ac:dyDescent="0.35">
      <c r="A401">
        <v>184</v>
      </c>
      <c r="B401" t="s">
        <v>742</v>
      </c>
      <c r="C401" t="str">
        <f t="shared" si="24"/>
        <v>NST</v>
      </c>
      <c r="D401" t="str">
        <f t="shared" si="25"/>
        <v>first</v>
      </c>
      <c r="E401">
        <f>IF(D401="first", MATCH("last", $D401:$D$510, 0), "")</f>
        <v>9</v>
      </c>
      <c r="F401" t="str">
        <f t="shared" ca="1" si="26"/>
        <v>184,185,186,187,188,189,190,191,192</v>
      </c>
      <c r="G401" s="15" t="str">
        <f t="shared" si="27"/>
        <v>184,</v>
      </c>
    </row>
    <row r="402" spans="1:7" x14ac:dyDescent="0.35">
      <c r="A402">
        <v>185</v>
      </c>
      <c r="B402" t="s">
        <v>743</v>
      </c>
      <c r="C402" t="str">
        <f t="shared" si="24"/>
        <v>NST</v>
      </c>
      <c r="D402" t="str">
        <f t="shared" si="25"/>
        <v>mid</v>
      </c>
      <c r="E402" t="str">
        <f>IF(D402="first", MATCH("last", $D402:$D$510, 0), "")</f>
        <v/>
      </c>
      <c r="F402" t="str">
        <f t="shared" ca="1" si="26"/>
        <v/>
      </c>
      <c r="G402" s="15" t="str">
        <f t="shared" si="27"/>
        <v>185,</v>
      </c>
    </row>
    <row r="403" spans="1:7" x14ac:dyDescent="0.35">
      <c r="A403">
        <v>186</v>
      </c>
      <c r="B403" t="s">
        <v>744</v>
      </c>
      <c r="C403" t="str">
        <f t="shared" si="24"/>
        <v>NST</v>
      </c>
      <c r="D403" t="str">
        <f t="shared" si="25"/>
        <v>mid</v>
      </c>
      <c r="E403" t="str">
        <f>IF(D403="first", MATCH("last", $D403:$D$510, 0), "")</f>
        <v/>
      </c>
      <c r="F403" t="str">
        <f t="shared" ca="1" si="26"/>
        <v/>
      </c>
      <c r="G403" s="15" t="str">
        <f t="shared" si="27"/>
        <v>186,</v>
      </c>
    </row>
    <row r="404" spans="1:7" x14ac:dyDescent="0.35">
      <c r="A404">
        <v>187</v>
      </c>
      <c r="B404" t="s">
        <v>745</v>
      </c>
      <c r="C404" t="str">
        <f t="shared" si="24"/>
        <v>NST</v>
      </c>
      <c r="D404" t="str">
        <f t="shared" si="25"/>
        <v>mid</v>
      </c>
      <c r="E404" t="str">
        <f>IF(D404="first", MATCH("last", $D404:$D$510, 0), "")</f>
        <v/>
      </c>
      <c r="F404" t="str">
        <f t="shared" ca="1" si="26"/>
        <v/>
      </c>
      <c r="G404" s="15" t="str">
        <f t="shared" si="27"/>
        <v>187,</v>
      </c>
    </row>
    <row r="405" spans="1:7" x14ac:dyDescent="0.35">
      <c r="A405">
        <v>188</v>
      </c>
      <c r="B405" t="s">
        <v>746</v>
      </c>
      <c r="C405" t="str">
        <f t="shared" si="24"/>
        <v>NST</v>
      </c>
      <c r="D405" t="str">
        <f t="shared" si="25"/>
        <v>mid</v>
      </c>
      <c r="E405" t="str">
        <f>IF(D405="first", MATCH("last", $D405:$D$510, 0), "")</f>
        <v/>
      </c>
      <c r="F405" t="str">
        <f t="shared" ca="1" si="26"/>
        <v/>
      </c>
      <c r="G405" s="15" t="str">
        <f t="shared" si="27"/>
        <v>188,</v>
      </c>
    </row>
    <row r="406" spans="1:7" x14ac:dyDescent="0.35">
      <c r="A406">
        <v>189</v>
      </c>
      <c r="B406" t="s">
        <v>747</v>
      </c>
      <c r="C406" t="str">
        <f t="shared" si="24"/>
        <v>NST</v>
      </c>
      <c r="D406" t="str">
        <f t="shared" si="25"/>
        <v>mid</v>
      </c>
      <c r="E406" t="str">
        <f>IF(D406="first", MATCH("last", $D406:$D$510, 0), "")</f>
        <v/>
      </c>
      <c r="F406" t="str">
        <f t="shared" ca="1" si="26"/>
        <v/>
      </c>
      <c r="G406" s="15" t="str">
        <f t="shared" si="27"/>
        <v>189,</v>
      </c>
    </row>
    <row r="407" spans="1:7" x14ac:dyDescent="0.35">
      <c r="A407">
        <v>190</v>
      </c>
      <c r="B407" t="s">
        <v>748</v>
      </c>
      <c r="C407" t="str">
        <f t="shared" si="24"/>
        <v>NST</v>
      </c>
      <c r="D407" t="str">
        <f t="shared" si="25"/>
        <v>mid</v>
      </c>
      <c r="E407" t="str">
        <f>IF(D407="first", MATCH("last", $D407:$D$510, 0), "")</f>
        <v/>
      </c>
      <c r="F407" t="str">
        <f t="shared" ca="1" si="26"/>
        <v/>
      </c>
      <c r="G407" s="15" t="str">
        <f t="shared" si="27"/>
        <v>190,</v>
      </c>
    </row>
    <row r="408" spans="1:7" x14ac:dyDescent="0.35">
      <c r="A408">
        <v>191</v>
      </c>
      <c r="B408" t="s">
        <v>749</v>
      </c>
      <c r="C408" t="str">
        <f t="shared" si="24"/>
        <v>NST</v>
      </c>
      <c r="D408" t="str">
        <f t="shared" si="25"/>
        <v>mid</v>
      </c>
      <c r="E408" t="str">
        <f>IF(D408="first", MATCH("last", $D408:$D$510, 0), "")</f>
        <v/>
      </c>
      <c r="F408" t="str">
        <f t="shared" ca="1" si="26"/>
        <v/>
      </c>
      <c r="G408" s="15" t="str">
        <f t="shared" si="27"/>
        <v>191,</v>
      </c>
    </row>
    <row r="409" spans="1:7" x14ac:dyDescent="0.35">
      <c r="A409">
        <v>192</v>
      </c>
      <c r="B409" t="s">
        <v>750</v>
      </c>
      <c r="C409" t="str">
        <f t="shared" si="24"/>
        <v>NST</v>
      </c>
      <c r="D409" t="str">
        <f t="shared" si="25"/>
        <v>last</v>
      </c>
      <c r="E409" t="str">
        <f>IF(D409="first", MATCH("last", $D409:$D$510, 0), "")</f>
        <v/>
      </c>
      <c r="F409" t="str">
        <f t="shared" ca="1" si="26"/>
        <v/>
      </c>
      <c r="G409" s="15">
        <f t="shared" si="27"/>
        <v>192</v>
      </c>
    </row>
    <row r="410" spans="1:7" x14ac:dyDescent="0.35">
      <c r="A410">
        <v>477</v>
      </c>
      <c r="B410" t="s">
        <v>751</v>
      </c>
      <c r="C410" t="str">
        <f t="shared" si="24"/>
        <v>NOV</v>
      </c>
      <c r="D410" t="str">
        <f t="shared" si="25"/>
        <v>first</v>
      </c>
      <c r="E410">
        <f>IF(D410="first", MATCH("last", $D410:$D$510, 0), "")</f>
        <v>34</v>
      </c>
      <c r="F410" t="str">
        <f t="shared" ca="1" si="26"/>
        <v>477,478,479,480,481,482,483,484,485,486,487,488,489,490,491,492,493,494,495,496,497,498,499,500,501,502,503,504,505,506,507,508,509,510</v>
      </c>
      <c r="G410" s="15" t="str">
        <f t="shared" si="27"/>
        <v>477,</v>
      </c>
    </row>
    <row r="411" spans="1:7" x14ac:dyDescent="0.35">
      <c r="A411">
        <v>478</v>
      </c>
      <c r="B411" t="s">
        <v>752</v>
      </c>
      <c r="C411" t="str">
        <f t="shared" si="24"/>
        <v>NOV</v>
      </c>
      <c r="D411" t="str">
        <f t="shared" si="25"/>
        <v>mid</v>
      </c>
      <c r="E411" t="str">
        <f>IF(D411="first", MATCH("last", $D411:$D$510, 0), "")</f>
        <v/>
      </c>
      <c r="F411" t="str">
        <f t="shared" ca="1" si="26"/>
        <v/>
      </c>
      <c r="G411" s="15" t="str">
        <f t="shared" si="27"/>
        <v>478,</v>
      </c>
    </row>
    <row r="412" spans="1:7" x14ac:dyDescent="0.35">
      <c r="A412">
        <v>479</v>
      </c>
      <c r="B412" t="s">
        <v>753</v>
      </c>
      <c r="C412" t="str">
        <f t="shared" si="24"/>
        <v>NOV</v>
      </c>
      <c r="D412" t="str">
        <f t="shared" si="25"/>
        <v>mid</v>
      </c>
      <c r="E412" t="str">
        <f>IF(D412="first", MATCH("last", $D412:$D$510, 0), "")</f>
        <v/>
      </c>
      <c r="F412" t="str">
        <f t="shared" ca="1" si="26"/>
        <v/>
      </c>
      <c r="G412" s="15" t="str">
        <f t="shared" si="27"/>
        <v>479,</v>
      </c>
    </row>
    <row r="413" spans="1:7" x14ac:dyDescent="0.35">
      <c r="A413">
        <v>480</v>
      </c>
      <c r="B413" t="s">
        <v>754</v>
      </c>
      <c r="C413" t="str">
        <f t="shared" si="24"/>
        <v>NOV</v>
      </c>
      <c r="D413" t="str">
        <f t="shared" si="25"/>
        <v>mid</v>
      </c>
      <c r="E413" t="str">
        <f>IF(D413="first", MATCH("last", $D413:$D$510, 0), "")</f>
        <v/>
      </c>
      <c r="F413" t="str">
        <f t="shared" ca="1" si="26"/>
        <v/>
      </c>
      <c r="G413" s="15" t="str">
        <f t="shared" si="27"/>
        <v>480,</v>
      </c>
    </row>
    <row r="414" spans="1:7" x14ac:dyDescent="0.35">
      <c r="A414">
        <v>481</v>
      </c>
      <c r="B414" t="s">
        <v>755</v>
      </c>
      <c r="C414" t="str">
        <f t="shared" si="24"/>
        <v>NOV</v>
      </c>
      <c r="D414" t="str">
        <f t="shared" si="25"/>
        <v>mid</v>
      </c>
      <c r="E414" t="str">
        <f>IF(D414="first", MATCH("last", $D414:$D$510, 0), "")</f>
        <v/>
      </c>
      <c r="F414" t="str">
        <f t="shared" ca="1" si="26"/>
        <v/>
      </c>
      <c r="G414" s="15" t="str">
        <f t="shared" si="27"/>
        <v>481,</v>
      </c>
    </row>
    <row r="415" spans="1:7" x14ac:dyDescent="0.35">
      <c r="A415">
        <v>482</v>
      </c>
      <c r="B415" t="s">
        <v>756</v>
      </c>
      <c r="C415" t="str">
        <f t="shared" si="24"/>
        <v>NOV</v>
      </c>
      <c r="D415" t="str">
        <f t="shared" si="25"/>
        <v>mid</v>
      </c>
      <c r="E415" t="str">
        <f>IF(D415="first", MATCH("last", $D415:$D$510, 0), "")</f>
        <v/>
      </c>
      <c r="F415" t="str">
        <f t="shared" ca="1" si="26"/>
        <v/>
      </c>
      <c r="G415" s="15" t="str">
        <f t="shared" si="27"/>
        <v>482,</v>
      </c>
    </row>
    <row r="416" spans="1:7" x14ac:dyDescent="0.35">
      <c r="A416">
        <v>483</v>
      </c>
      <c r="B416" t="s">
        <v>757</v>
      </c>
      <c r="C416" t="str">
        <f t="shared" si="24"/>
        <v>NOV</v>
      </c>
      <c r="D416" t="str">
        <f t="shared" si="25"/>
        <v>mid</v>
      </c>
      <c r="E416" t="str">
        <f>IF(D416="first", MATCH("last", $D416:$D$510, 0), "")</f>
        <v/>
      </c>
      <c r="F416" t="str">
        <f t="shared" ca="1" si="26"/>
        <v/>
      </c>
      <c r="G416" s="15" t="str">
        <f t="shared" si="27"/>
        <v>483,</v>
      </c>
    </row>
    <row r="417" spans="1:7" x14ac:dyDescent="0.35">
      <c r="A417">
        <v>484</v>
      </c>
      <c r="B417" t="s">
        <v>758</v>
      </c>
      <c r="C417" t="str">
        <f t="shared" si="24"/>
        <v>NOV</v>
      </c>
      <c r="D417" t="str">
        <f t="shared" si="25"/>
        <v>mid</v>
      </c>
      <c r="E417" t="str">
        <f>IF(D417="first", MATCH("last", $D417:$D$510, 0), "")</f>
        <v/>
      </c>
      <c r="F417" t="str">
        <f t="shared" ca="1" si="26"/>
        <v/>
      </c>
      <c r="G417" s="15" t="str">
        <f t="shared" si="27"/>
        <v>484,</v>
      </c>
    </row>
    <row r="418" spans="1:7" x14ac:dyDescent="0.35">
      <c r="A418">
        <v>485</v>
      </c>
      <c r="B418" t="s">
        <v>759</v>
      </c>
      <c r="C418" t="str">
        <f t="shared" si="24"/>
        <v>NOV</v>
      </c>
      <c r="D418" t="str">
        <f t="shared" si="25"/>
        <v>mid</v>
      </c>
      <c r="E418" t="str">
        <f>IF(D418="first", MATCH("last", $D418:$D$510, 0), "")</f>
        <v/>
      </c>
      <c r="F418" t="str">
        <f t="shared" ca="1" si="26"/>
        <v/>
      </c>
      <c r="G418" s="15" t="str">
        <f t="shared" si="27"/>
        <v>485,</v>
      </c>
    </row>
    <row r="419" spans="1:7" x14ac:dyDescent="0.35">
      <c r="A419">
        <v>486</v>
      </c>
      <c r="B419" t="s">
        <v>760</v>
      </c>
      <c r="C419" t="str">
        <f t="shared" si="24"/>
        <v>NOV</v>
      </c>
      <c r="D419" t="str">
        <f t="shared" si="25"/>
        <v>mid</v>
      </c>
      <c r="E419" t="str">
        <f>IF(D419="first", MATCH("last", $D419:$D$510, 0), "")</f>
        <v/>
      </c>
      <c r="F419" t="str">
        <f t="shared" ca="1" si="26"/>
        <v/>
      </c>
      <c r="G419" s="15" t="str">
        <f t="shared" si="27"/>
        <v>486,</v>
      </c>
    </row>
    <row r="420" spans="1:7" x14ac:dyDescent="0.35">
      <c r="A420">
        <v>487</v>
      </c>
      <c r="B420" t="s">
        <v>761</v>
      </c>
      <c r="C420" t="str">
        <f t="shared" si="24"/>
        <v>NOV</v>
      </c>
      <c r="D420" t="str">
        <f t="shared" si="25"/>
        <v>mid</v>
      </c>
      <c r="E420" t="str">
        <f>IF(D420="first", MATCH("last", $D420:$D$510, 0), "")</f>
        <v/>
      </c>
      <c r="F420" t="str">
        <f t="shared" ca="1" si="26"/>
        <v/>
      </c>
      <c r="G420" s="15" t="str">
        <f t="shared" si="27"/>
        <v>487,</v>
      </c>
    </row>
    <row r="421" spans="1:7" x14ac:dyDescent="0.35">
      <c r="A421">
        <v>488</v>
      </c>
      <c r="B421" t="s">
        <v>762</v>
      </c>
      <c r="C421" t="str">
        <f t="shared" si="24"/>
        <v>NOV</v>
      </c>
      <c r="D421" t="str">
        <f t="shared" si="25"/>
        <v>mid</v>
      </c>
      <c r="E421" t="str">
        <f>IF(D421="first", MATCH("last", $D421:$D$510, 0), "")</f>
        <v/>
      </c>
      <c r="F421" t="str">
        <f t="shared" ca="1" si="26"/>
        <v/>
      </c>
      <c r="G421" s="15" t="str">
        <f t="shared" si="27"/>
        <v>488,</v>
      </c>
    </row>
    <row r="422" spans="1:7" x14ac:dyDescent="0.35">
      <c r="A422">
        <v>489</v>
      </c>
      <c r="B422" t="s">
        <v>763</v>
      </c>
      <c r="C422" t="str">
        <f t="shared" si="24"/>
        <v>NOV</v>
      </c>
      <c r="D422" t="str">
        <f t="shared" si="25"/>
        <v>mid</v>
      </c>
      <c r="E422" t="str">
        <f>IF(D422="first", MATCH("last", $D422:$D$510, 0), "")</f>
        <v/>
      </c>
      <c r="F422" t="str">
        <f t="shared" ca="1" si="26"/>
        <v/>
      </c>
      <c r="G422" s="15" t="str">
        <f t="shared" si="27"/>
        <v>489,</v>
      </c>
    </row>
    <row r="423" spans="1:7" x14ac:dyDescent="0.35">
      <c r="A423">
        <v>490</v>
      </c>
      <c r="B423" t="s">
        <v>764</v>
      </c>
      <c r="C423" t="str">
        <f t="shared" si="24"/>
        <v>NOV</v>
      </c>
      <c r="D423" t="str">
        <f t="shared" si="25"/>
        <v>mid</v>
      </c>
      <c r="E423" t="str">
        <f>IF(D423="first", MATCH("last", $D423:$D$510, 0), "")</f>
        <v/>
      </c>
      <c r="F423" t="str">
        <f t="shared" ca="1" si="26"/>
        <v/>
      </c>
      <c r="G423" s="15" t="str">
        <f t="shared" si="27"/>
        <v>490,</v>
      </c>
    </row>
    <row r="424" spans="1:7" x14ac:dyDescent="0.35">
      <c r="A424">
        <v>491</v>
      </c>
      <c r="B424" t="s">
        <v>765</v>
      </c>
      <c r="C424" t="str">
        <f t="shared" si="24"/>
        <v>NOV</v>
      </c>
      <c r="D424" t="str">
        <f t="shared" si="25"/>
        <v>mid</v>
      </c>
      <c r="E424" t="str">
        <f>IF(D424="first", MATCH("last", $D424:$D$510, 0), "")</f>
        <v/>
      </c>
      <c r="F424" t="str">
        <f t="shared" ca="1" si="26"/>
        <v/>
      </c>
      <c r="G424" s="15" t="str">
        <f t="shared" si="27"/>
        <v>491,</v>
      </c>
    </row>
    <row r="425" spans="1:7" x14ac:dyDescent="0.35">
      <c r="A425">
        <v>492</v>
      </c>
      <c r="B425" t="s">
        <v>766</v>
      </c>
      <c r="C425" t="str">
        <f t="shared" si="24"/>
        <v>NOV</v>
      </c>
      <c r="D425" t="str">
        <f t="shared" si="25"/>
        <v>mid</v>
      </c>
      <c r="E425" t="str">
        <f>IF(D425="first", MATCH("last", $D425:$D$510, 0), "")</f>
        <v/>
      </c>
      <c r="F425" t="str">
        <f t="shared" ca="1" si="26"/>
        <v/>
      </c>
      <c r="G425" s="15" t="str">
        <f t="shared" si="27"/>
        <v>492,</v>
      </c>
    </row>
    <row r="426" spans="1:7" x14ac:dyDescent="0.35">
      <c r="A426">
        <v>493</v>
      </c>
      <c r="B426" t="s">
        <v>767</v>
      </c>
      <c r="C426" t="str">
        <f t="shared" si="24"/>
        <v>NOV</v>
      </c>
      <c r="D426" t="str">
        <f t="shared" si="25"/>
        <v>mid</v>
      </c>
      <c r="E426" t="str">
        <f>IF(D426="first", MATCH("last", $D426:$D$510, 0), "")</f>
        <v/>
      </c>
      <c r="F426" t="str">
        <f t="shared" ca="1" si="26"/>
        <v/>
      </c>
      <c r="G426" s="15" t="str">
        <f t="shared" si="27"/>
        <v>493,</v>
      </c>
    </row>
    <row r="427" spans="1:7" x14ac:dyDescent="0.35">
      <c r="A427">
        <v>494</v>
      </c>
      <c r="B427" t="s">
        <v>768</v>
      </c>
      <c r="C427" t="str">
        <f t="shared" si="24"/>
        <v>NOV</v>
      </c>
      <c r="D427" t="str">
        <f t="shared" si="25"/>
        <v>mid</v>
      </c>
      <c r="E427" t="str">
        <f>IF(D427="first", MATCH("last", $D427:$D$510, 0), "")</f>
        <v/>
      </c>
      <c r="F427" t="str">
        <f t="shared" ca="1" si="26"/>
        <v/>
      </c>
      <c r="G427" s="15" t="str">
        <f t="shared" si="27"/>
        <v>494,</v>
      </c>
    </row>
    <row r="428" spans="1:7" x14ac:dyDescent="0.35">
      <c r="A428">
        <v>495</v>
      </c>
      <c r="B428" t="s">
        <v>769</v>
      </c>
      <c r="C428" t="str">
        <f t="shared" si="24"/>
        <v>NOV</v>
      </c>
      <c r="D428" t="str">
        <f t="shared" si="25"/>
        <v>mid</v>
      </c>
      <c r="E428" t="str">
        <f>IF(D428="first", MATCH("last", $D428:$D$510, 0), "")</f>
        <v/>
      </c>
      <c r="F428" t="str">
        <f t="shared" ca="1" si="26"/>
        <v/>
      </c>
      <c r="G428" s="15" t="str">
        <f t="shared" si="27"/>
        <v>495,</v>
      </c>
    </row>
    <row r="429" spans="1:7" x14ac:dyDescent="0.35">
      <c r="A429">
        <v>496</v>
      </c>
      <c r="B429" t="s">
        <v>770</v>
      </c>
      <c r="C429" t="str">
        <f t="shared" si="24"/>
        <v>NOV</v>
      </c>
      <c r="D429" t="str">
        <f t="shared" si="25"/>
        <v>mid</v>
      </c>
      <c r="E429" t="str">
        <f>IF(D429="first", MATCH("last", $D429:$D$510, 0), "")</f>
        <v/>
      </c>
      <c r="F429" t="str">
        <f t="shared" ca="1" si="26"/>
        <v/>
      </c>
      <c r="G429" s="15" t="str">
        <f t="shared" si="27"/>
        <v>496,</v>
      </c>
    </row>
    <row r="430" spans="1:7" x14ac:dyDescent="0.35">
      <c r="A430">
        <v>497</v>
      </c>
      <c r="B430" t="s">
        <v>771</v>
      </c>
      <c r="C430" t="str">
        <f t="shared" si="24"/>
        <v>NOV</v>
      </c>
      <c r="D430" t="str">
        <f t="shared" si="25"/>
        <v>mid</v>
      </c>
      <c r="E430" t="str">
        <f>IF(D430="first", MATCH("last", $D430:$D$510, 0), "")</f>
        <v/>
      </c>
      <c r="F430" t="str">
        <f t="shared" ca="1" si="26"/>
        <v/>
      </c>
      <c r="G430" s="15" t="str">
        <f t="shared" si="27"/>
        <v>497,</v>
      </c>
    </row>
    <row r="431" spans="1:7" x14ac:dyDescent="0.35">
      <c r="A431">
        <v>498</v>
      </c>
      <c r="B431" t="s">
        <v>772</v>
      </c>
      <c r="C431" t="str">
        <f t="shared" si="24"/>
        <v>NOV</v>
      </c>
      <c r="D431" t="str">
        <f t="shared" si="25"/>
        <v>mid</v>
      </c>
      <c r="E431" t="str">
        <f>IF(D431="first", MATCH("last", $D431:$D$510, 0), "")</f>
        <v/>
      </c>
      <c r="F431" t="str">
        <f t="shared" ca="1" si="26"/>
        <v/>
      </c>
      <c r="G431" s="15" t="str">
        <f t="shared" si="27"/>
        <v>498,</v>
      </c>
    </row>
    <row r="432" spans="1:7" x14ac:dyDescent="0.35">
      <c r="A432">
        <v>499</v>
      </c>
      <c r="B432" t="s">
        <v>773</v>
      </c>
      <c r="C432" t="str">
        <f t="shared" si="24"/>
        <v>NOV</v>
      </c>
      <c r="D432" t="str">
        <f t="shared" si="25"/>
        <v>mid</v>
      </c>
      <c r="E432" t="str">
        <f>IF(D432="first", MATCH("last", $D432:$D$510, 0), "")</f>
        <v/>
      </c>
      <c r="F432" t="str">
        <f t="shared" ca="1" si="26"/>
        <v/>
      </c>
      <c r="G432" s="15" t="str">
        <f t="shared" si="27"/>
        <v>499,</v>
      </c>
    </row>
    <row r="433" spans="1:7" x14ac:dyDescent="0.35">
      <c r="A433">
        <v>500</v>
      </c>
      <c r="B433" t="s">
        <v>774</v>
      </c>
      <c r="C433" t="str">
        <f t="shared" si="24"/>
        <v>NOV</v>
      </c>
      <c r="D433" t="str">
        <f t="shared" si="25"/>
        <v>mid</v>
      </c>
      <c r="E433" t="str">
        <f>IF(D433="first", MATCH("last", $D433:$D$510, 0), "")</f>
        <v/>
      </c>
      <c r="F433" t="str">
        <f t="shared" ca="1" si="26"/>
        <v/>
      </c>
      <c r="G433" s="15" t="str">
        <f t="shared" si="27"/>
        <v>500,</v>
      </c>
    </row>
    <row r="434" spans="1:7" x14ac:dyDescent="0.35">
      <c r="A434">
        <v>501</v>
      </c>
      <c r="B434" t="s">
        <v>775</v>
      </c>
      <c r="C434" t="str">
        <f t="shared" si="24"/>
        <v>NOV</v>
      </c>
      <c r="D434" t="str">
        <f t="shared" si="25"/>
        <v>mid</v>
      </c>
      <c r="E434" t="str">
        <f>IF(D434="first", MATCH("last", $D434:$D$510, 0), "")</f>
        <v/>
      </c>
      <c r="F434" t="str">
        <f t="shared" ca="1" si="26"/>
        <v/>
      </c>
      <c r="G434" s="15" t="str">
        <f t="shared" si="27"/>
        <v>501,</v>
      </c>
    </row>
    <row r="435" spans="1:7" x14ac:dyDescent="0.35">
      <c r="A435">
        <v>502</v>
      </c>
      <c r="B435" t="s">
        <v>776</v>
      </c>
      <c r="C435" t="str">
        <f t="shared" si="24"/>
        <v>NOV</v>
      </c>
      <c r="D435" t="str">
        <f t="shared" si="25"/>
        <v>mid</v>
      </c>
      <c r="E435" t="str">
        <f>IF(D435="first", MATCH("last", $D435:$D$510, 0), "")</f>
        <v/>
      </c>
      <c r="F435" t="str">
        <f t="shared" ca="1" si="26"/>
        <v/>
      </c>
      <c r="G435" s="15" t="str">
        <f t="shared" si="27"/>
        <v>502,</v>
      </c>
    </row>
    <row r="436" spans="1:7" x14ac:dyDescent="0.35">
      <c r="A436">
        <v>503</v>
      </c>
      <c r="B436" t="s">
        <v>777</v>
      </c>
      <c r="C436" t="str">
        <f t="shared" si="24"/>
        <v>NOV</v>
      </c>
      <c r="D436" t="str">
        <f t="shared" si="25"/>
        <v>mid</v>
      </c>
      <c r="E436" t="str">
        <f>IF(D436="first", MATCH("last", $D436:$D$510, 0), "")</f>
        <v/>
      </c>
      <c r="F436" t="str">
        <f t="shared" ca="1" si="26"/>
        <v/>
      </c>
      <c r="G436" s="15" t="str">
        <f t="shared" si="27"/>
        <v>503,</v>
      </c>
    </row>
    <row r="437" spans="1:7" x14ac:dyDescent="0.35">
      <c r="A437">
        <v>504</v>
      </c>
      <c r="B437" t="s">
        <v>778</v>
      </c>
      <c r="C437" t="str">
        <f t="shared" si="24"/>
        <v>NOV</v>
      </c>
      <c r="D437" t="str">
        <f t="shared" si="25"/>
        <v>mid</v>
      </c>
      <c r="E437" t="str">
        <f>IF(D437="first", MATCH("last", $D437:$D$510, 0), "")</f>
        <v/>
      </c>
      <c r="F437" t="str">
        <f t="shared" ca="1" si="26"/>
        <v/>
      </c>
      <c r="G437" s="15" t="str">
        <f t="shared" si="27"/>
        <v>504,</v>
      </c>
    </row>
    <row r="438" spans="1:7" x14ac:dyDescent="0.35">
      <c r="A438">
        <v>505</v>
      </c>
      <c r="B438" t="s">
        <v>779</v>
      </c>
      <c r="C438" t="str">
        <f t="shared" si="24"/>
        <v>NOV</v>
      </c>
      <c r="D438" t="str">
        <f t="shared" si="25"/>
        <v>mid</v>
      </c>
      <c r="E438" t="str">
        <f>IF(D438="first", MATCH("last", $D438:$D$510, 0), "")</f>
        <v/>
      </c>
      <c r="F438" t="str">
        <f t="shared" ca="1" si="26"/>
        <v/>
      </c>
      <c r="G438" s="15" t="str">
        <f t="shared" si="27"/>
        <v>505,</v>
      </c>
    </row>
    <row r="439" spans="1:7" x14ac:dyDescent="0.35">
      <c r="A439">
        <v>506</v>
      </c>
      <c r="B439" t="s">
        <v>780</v>
      </c>
      <c r="C439" t="str">
        <f t="shared" si="24"/>
        <v>NOV</v>
      </c>
      <c r="D439" t="str">
        <f t="shared" si="25"/>
        <v>mid</v>
      </c>
      <c r="E439" t="str">
        <f>IF(D439="first", MATCH("last", $D439:$D$510, 0), "")</f>
        <v/>
      </c>
      <c r="F439" t="str">
        <f t="shared" ca="1" si="26"/>
        <v/>
      </c>
      <c r="G439" s="15" t="str">
        <f t="shared" si="27"/>
        <v>506,</v>
      </c>
    </row>
    <row r="440" spans="1:7" x14ac:dyDescent="0.35">
      <c r="A440">
        <v>507</v>
      </c>
      <c r="B440" t="s">
        <v>781</v>
      </c>
      <c r="C440" t="str">
        <f t="shared" si="24"/>
        <v>NOV</v>
      </c>
      <c r="D440" t="str">
        <f t="shared" si="25"/>
        <v>mid</v>
      </c>
      <c r="E440" t="str">
        <f>IF(D440="first", MATCH("last", $D440:$D$510, 0), "")</f>
        <v/>
      </c>
      <c r="F440" t="str">
        <f t="shared" ca="1" si="26"/>
        <v/>
      </c>
      <c r="G440" s="15" t="str">
        <f t="shared" si="27"/>
        <v>507,</v>
      </c>
    </row>
    <row r="441" spans="1:7" x14ac:dyDescent="0.35">
      <c r="A441">
        <v>508</v>
      </c>
      <c r="B441" t="s">
        <v>782</v>
      </c>
      <c r="C441" t="str">
        <f t="shared" si="24"/>
        <v>NOV</v>
      </c>
      <c r="D441" t="str">
        <f t="shared" si="25"/>
        <v>mid</v>
      </c>
      <c r="E441" t="str">
        <f>IF(D441="first", MATCH("last", $D441:$D$510, 0), "")</f>
        <v/>
      </c>
      <c r="F441" t="str">
        <f t="shared" ca="1" si="26"/>
        <v/>
      </c>
      <c r="G441" s="15" t="str">
        <f t="shared" si="27"/>
        <v>508,</v>
      </c>
    </row>
    <row r="442" spans="1:7" x14ac:dyDescent="0.35">
      <c r="A442">
        <v>509</v>
      </c>
      <c r="B442" t="s">
        <v>783</v>
      </c>
      <c r="C442" t="str">
        <f t="shared" si="24"/>
        <v>NOV</v>
      </c>
      <c r="D442" t="str">
        <f t="shared" si="25"/>
        <v>mid</v>
      </c>
      <c r="E442" t="str">
        <f>IF(D442="first", MATCH("last", $D442:$D$510, 0), "")</f>
        <v/>
      </c>
      <c r="F442" t="str">
        <f t="shared" ca="1" si="26"/>
        <v/>
      </c>
      <c r="G442" s="15" t="str">
        <f t="shared" si="27"/>
        <v>509,</v>
      </c>
    </row>
    <row r="443" spans="1:7" x14ac:dyDescent="0.35">
      <c r="A443">
        <v>510</v>
      </c>
      <c r="B443" t="s">
        <v>784</v>
      </c>
      <c r="C443" t="str">
        <f t="shared" si="24"/>
        <v>NOV</v>
      </c>
      <c r="D443" t="str">
        <f t="shared" si="25"/>
        <v>last</v>
      </c>
      <c r="E443" t="str">
        <f>IF(D443="first", MATCH("last", $D443:$D$510, 0), "")</f>
        <v/>
      </c>
      <c r="F443" t="str">
        <f t="shared" ca="1" si="26"/>
        <v/>
      </c>
      <c r="G443" s="15">
        <f t="shared" si="27"/>
        <v>510</v>
      </c>
    </row>
    <row r="444" spans="1:7" x14ac:dyDescent="0.35">
      <c r="A444">
        <v>95</v>
      </c>
      <c r="B444" t="s">
        <v>785</v>
      </c>
      <c r="C444" t="str">
        <f t="shared" si="24"/>
        <v>RHE</v>
      </c>
      <c r="D444" t="str">
        <f t="shared" si="25"/>
        <v>first</v>
      </c>
      <c r="E444">
        <f>IF(D444="first", MATCH("last", $D444:$D$510, 0), "")</f>
        <v>8</v>
      </c>
      <c r="F444" t="str">
        <f t="shared" ca="1" si="26"/>
        <v>95,96,97,98,99,100,101,102</v>
      </c>
      <c r="G444" s="15" t="str">
        <f t="shared" si="27"/>
        <v>95,</v>
      </c>
    </row>
    <row r="445" spans="1:7" x14ac:dyDescent="0.35">
      <c r="A445">
        <v>96</v>
      </c>
      <c r="B445" t="s">
        <v>786</v>
      </c>
      <c r="C445" t="str">
        <f t="shared" si="24"/>
        <v>RHE</v>
      </c>
      <c r="D445" t="str">
        <f t="shared" si="25"/>
        <v>mid</v>
      </c>
      <c r="E445" t="str">
        <f>IF(D445="first", MATCH("last", $D445:$D$510, 0), "")</f>
        <v/>
      </c>
      <c r="F445" t="str">
        <f t="shared" ca="1" si="26"/>
        <v/>
      </c>
      <c r="G445" s="15" t="str">
        <f t="shared" si="27"/>
        <v>96,</v>
      </c>
    </row>
    <row r="446" spans="1:7" x14ac:dyDescent="0.35">
      <c r="A446">
        <v>97</v>
      </c>
      <c r="B446" t="s">
        <v>787</v>
      </c>
      <c r="C446" t="str">
        <f t="shared" si="24"/>
        <v>RHE</v>
      </c>
      <c r="D446" t="str">
        <f t="shared" si="25"/>
        <v>mid</v>
      </c>
      <c r="E446" t="str">
        <f>IF(D446="first", MATCH("last", $D446:$D$510, 0), "")</f>
        <v/>
      </c>
      <c r="F446" t="str">
        <f t="shared" ca="1" si="26"/>
        <v/>
      </c>
      <c r="G446" s="15" t="str">
        <f t="shared" si="27"/>
        <v>97,</v>
      </c>
    </row>
    <row r="447" spans="1:7" x14ac:dyDescent="0.35">
      <c r="A447">
        <v>98</v>
      </c>
      <c r="B447" t="s">
        <v>788</v>
      </c>
      <c r="C447" t="str">
        <f t="shared" si="24"/>
        <v>RHE</v>
      </c>
      <c r="D447" t="str">
        <f t="shared" si="25"/>
        <v>mid</v>
      </c>
      <c r="E447" t="str">
        <f>IF(D447="first", MATCH("last", $D447:$D$510, 0), "")</f>
        <v/>
      </c>
      <c r="F447" t="str">
        <f t="shared" ca="1" si="26"/>
        <v/>
      </c>
      <c r="G447" s="15" t="str">
        <f t="shared" si="27"/>
        <v>98,</v>
      </c>
    </row>
    <row r="448" spans="1:7" x14ac:dyDescent="0.35">
      <c r="A448">
        <v>99</v>
      </c>
      <c r="B448" t="s">
        <v>789</v>
      </c>
      <c r="C448" t="str">
        <f t="shared" si="24"/>
        <v>RHE</v>
      </c>
      <c r="D448" t="str">
        <f t="shared" si="25"/>
        <v>mid</v>
      </c>
      <c r="E448" t="str">
        <f>IF(D448="first", MATCH("last", $D448:$D$510, 0), "")</f>
        <v/>
      </c>
      <c r="F448" t="str">
        <f t="shared" ca="1" si="26"/>
        <v/>
      </c>
      <c r="G448" s="15" t="str">
        <f t="shared" si="27"/>
        <v>99,</v>
      </c>
    </row>
    <row r="449" spans="1:7" x14ac:dyDescent="0.35">
      <c r="A449">
        <v>100</v>
      </c>
      <c r="B449" t="s">
        <v>790</v>
      </c>
      <c r="C449" t="str">
        <f t="shared" si="24"/>
        <v>RHE</v>
      </c>
      <c r="D449" t="str">
        <f t="shared" si="25"/>
        <v>mid</v>
      </c>
      <c r="E449" t="str">
        <f>IF(D449="first", MATCH("last", $D449:$D$510, 0), "")</f>
        <v/>
      </c>
      <c r="F449" t="str">
        <f t="shared" ca="1" si="26"/>
        <v/>
      </c>
      <c r="G449" s="15" t="str">
        <f t="shared" si="27"/>
        <v>100,</v>
      </c>
    </row>
    <row r="450" spans="1:7" x14ac:dyDescent="0.35">
      <c r="A450">
        <v>101</v>
      </c>
      <c r="B450" t="s">
        <v>791</v>
      </c>
      <c r="C450" t="str">
        <f t="shared" si="24"/>
        <v>RHE</v>
      </c>
      <c r="D450" t="str">
        <f t="shared" si="25"/>
        <v>mid</v>
      </c>
      <c r="E450" t="str">
        <f>IF(D450="first", MATCH("last", $D450:$D$510, 0), "")</f>
        <v/>
      </c>
      <c r="F450" t="str">
        <f t="shared" ca="1" si="26"/>
        <v/>
      </c>
      <c r="G450" s="15" t="str">
        <f t="shared" si="27"/>
        <v>101,</v>
      </c>
    </row>
    <row r="451" spans="1:7" x14ac:dyDescent="0.35">
      <c r="A451">
        <v>102</v>
      </c>
      <c r="B451" t="s">
        <v>792</v>
      </c>
      <c r="C451" t="str">
        <f t="shared" ref="C451:C510" si="28">LEFT(B451, 3)</f>
        <v>RHE</v>
      </c>
      <c r="D451" t="str">
        <f t="shared" ref="D451:D510" si="29">IF(C451&lt;&gt;C450,"first",IF(C451&lt;&gt;C452,"last","mid"))</f>
        <v>last</v>
      </c>
      <c r="E451" t="str">
        <f>IF(D451="first", MATCH("last", $D451:$D$510, 0), "")</f>
        <v/>
      </c>
      <c r="F451" t="str">
        <f t="shared" ref="F451:F510" ca="1" si="30">IF(D451="first", _xlfn.CONCAT(INDIRECT(_xlfn.CONCAT(ADDRESS(ROW(G451), COLUMN(G451)), ":", ADDRESS(E451+ROW(G451)-1, COLUMN(G451))))), "")</f>
        <v/>
      </c>
      <c r="G451" s="15">
        <f t="shared" ref="G451:G510" si="31">IF(D451&lt;&gt;"last", _xlfn.CONCAT(A451, ","), A451)</f>
        <v>102</v>
      </c>
    </row>
    <row r="452" spans="1:7" x14ac:dyDescent="0.35">
      <c r="A452">
        <v>19</v>
      </c>
      <c r="B452" t="s">
        <v>793</v>
      </c>
      <c r="C452" t="str">
        <f t="shared" si="28"/>
        <v>SEA</v>
      </c>
      <c r="D452" t="str">
        <f t="shared" si="29"/>
        <v>first</v>
      </c>
      <c r="E452">
        <f>IF(D452="first", MATCH("last", $D452:$D$510, 0), "")</f>
        <v>5</v>
      </c>
      <c r="F452" t="str">
        <f t="shared" ca="1" si="30"/>
        <v>19,20,21,22,23</v>
      </c>
      <c r="G452" s="15" t="str">
        <f t="shared" si="31"/>
        <v>19,</v>
      </c>
    </row>
    <row r="453" spans="1:7" x14ac:dyDescent="0.35">
      <c r="A453">
        <v>20</v>
      </c>
      <c r="B453" t="s">
        <v>794</v>
      </c>
      <c r="C453" t="str">
        <f t="shared" si="28"/>
        <v>SEA</v>
      </c>
      <c r="D453" t="str">
        <f t="shared" si="29"/>
        <v>mid</v>
      </c>
      <c r="E453" t="str">
        <f>IF(D453="first", MATCH("last", $D453:$D$510, 0), "")</f>
        <v/>
      </c>
      <c r="F453" t="str">
        <f t="shared" ca="1" si="30"/>
        <v/>
      </c>
      <c r="G453" s="15" t="str">
        <f t="shared" si="31"/>
        <v>20,</v>
      </c>
    </row>
    <row r="454" spans="1:7" x14ac:dyDescent="0.35">
      <c r="A454">
        <v>21</v>
      </c>
      <c r="B454" t="s">
        <v>795</v>
      </c>
      <c r="C454" t="str">
        <f t="shared" si="28"/>
        <v>SEA</v>
      </c>
      <c r="D454" t="str">
        <f t="shared" si="29"/>
        <v>mid</v>
      </c>
      <c r="E454" t="str">
        <f>IF(D454="first", MATCH("last", $D454:$D$510, 0), "")</f>
        <v/>
      </c>
      <c r="F454" t="str">
        <f t="shared" ca="1" si="30"/>
        <v/>
      </c>
      <c r="G454" s="15" t="str">
        <f t="shared" si="31"/>
        <v>21,</v>
      </c>
    </row>
    <row r="455" spans="1:7" x14ac:dyDescent="0.35">
      <c r="A455">
        <v>22</v>
      </c>
      <c r="B455" t="s">
        <v>796</v>
      </c>
      <c r="C455" t="str">
        <f t="shared" si="28"/>
        <v>SEA</v>
      </c>
      <c r="D455" t="str">
        <f t="shared" si="29"/>
        <v>mid</v>
      </c>
      <c r="E455" t="str">
        <f>IF(D455="first", MATCH("last", $D455:$D$510, 0), "")</f>
        <v/>
      </c>
      <c r="F455" t="str">
        <f t="shared" ca="1" si="30"/>
        <v/>
      </c>
      <c r="G455" s="15" t="str">
        <f t="shared" si="31"/>
        <v>22,</v>
      </c>
    </row>
    <row r="456" spans="1:7" x14ac:dyDescent="0.35">
      <c r="A456">
        <v>23</v>
      </c>
      <c r="B456" t="s">
        <v>797</v>
      </c>
      <c r="C456" t="str">
        <f t="shared" si="28"/>
        <v>SEA</v>
      </c>
      <c r="D456" t="str">
        <f t="shared" si="29"/>
        <v>last</v>
      </c>
      <c r="E456" t="str">
        <f>IF(D456="first", MATCH("last", $D456:$D$510, 0), "")</f>
        <v/>
      </c>
      <c r="F456" t="str">
        <f t="shared" ca="1" si="30"/>
        <v/>
      </c>
      <c r="G456" s="15">
        <f t="shared" si="31"/>
        <v>23</v>
      </c>
    </row>
    <row r="457" spans="1:7" x14ac:dyDescent="0.35">
      <c r="A457">
        <v>193</v>
      </c>
      <c r="B457" t="s">
        <v>798</v>
      </c>
      <c r="C457" t="str">
        <f t="shared" si="28"/>
        <v>SIS</v>
      </c>
      <c r="D457" t="str">
        <f t="shared" si="29"/>
        <v>first</v>
      </c>
      <c r="E457">
        <f>IF(D457="first", MATCH("last", $D457:$D$510, 0), "")</f>
        <v>4</v>
      </c>
      <c r="F457" t="str">
        <f t="shared" ca="1" si="30"/>
        <v>193,194,195,196</v>
      </c>
      <c r="G457" s="15" t="str">
        <f t="shared" si="31"/>
        <v>193,</v>
      </c>
    </row>
    <row r="458" spans="1:7" x14ac:dyDescent="0.35">
      <c r="A458">
        <v>194</v>
      </c>
      <c r="B458" t="s">
        <v>799</v>
      </c>
      <c r="C458" t="str">
        <f t="shared" si="28"/>
        <v>SIS</v>
      </c>
      <c r="D458" t="str">
        <f t="shared" si="29"/>
        <v>mid</v>
      </c>
      <c r="E458" t="str">
        <f>IF(D458="first", MATCH("last", $D458:$D$510, 0), "")</f>
        <v/>
      </c>
      <c r="F458" t="str">
        <f t="shared" ca="1" si="30"/>
        <v/>
      </c>
      <c r="G458" s="15" t="str">
        <f t="shared" si="31"/>
        <v>194,</v>
      </c>
    </row>
    <row r="459" spans="1:7" x14ac:dyDescent="0.35">
      <c r="A459">
        <v>195</v>
      </c>
      <c r="B459" t="s">
        <v>800</v>
      </c>
      <c r="C459" t="str">
        <f t="shared" si="28"/>
        <v>SIS</v>
      </c>
      <c r="D459" t="str">
        <f t="shared" si="29"/>
        <v>mid</v>
      </c>
      <c r="E459" t="str">
        <f>IF(D459="first", MATCH("last", $D459:$D$510, 0), "")</f>
        <v/>
      </c>
      <c r="F459" t="str">
        <f t="shared" ca="1" si="30"/>
        <v/>
      </c>
      <c r="G459" s="15" t="str">
        <f t="shared" si="31"/>
        <v>195,</v>
      </c>
    </row>
    <row r="460" spans="1:7" x14ac:dyDescent="0.35">
      <c r="A460">
        <v>196</v>
      </c>
      <c r="B460" t="s">
        <v>801</v>
      </c>
      <c r="C460" t="str">
        <f t="shared" si="28"/>
        <v>SIS</v>
      </c>
      <c r="D460" t="str">
        <f t="shared" si="29"/>
        <v>last</v>
      </c>
      <c r="E460" t="str">
        <f>IF(D460="first", MATCH("last", $D460:$D$510, 0), "")</f>
        <v/>
      </c>
      <c r="F460" t="str">
        <f t="shared" ca="1" si="30"/>
        <v/>
      </c>
      <c r="G460" s="15">
        <f t="shared" si="31"/>
        <v>196</v>
      </c>
    </row>
    <row r="461" spans="1:7" x14ac:dyDescent="0.35">
      <c r="A461">
        <v>511</v>
      </c>
      <c r="B461" t="s">
        <v>802</v>
      </c>
      <c r="C461" t="str">
        <f t="shared" si="28"/>
        <v>TAF</v>
      </c>
      <c r="D461" t="str">
        <f t="shared" si="29"/>
        <v>first</v>
      </c>
      <c r="E461">
        <f>IF(D461="first", MATCH("last", $D461:$D$510, 0), "")</f>
        <v>20</v>
      </c>
      <c r="F461" t="str">
        <f t="shared" ca="1" si="30"/>
        <v>511,512,513,514,515,516,517,518,519,520,521,522,523,524,525,526,527,528,529,530</v>
      </c>
      <c r="G461" s="15" t="str">
        <f t="shared" si="31"/>
        <v>511,</v>
      </c>
    </row>
    <row r="462" spans="1:7" x14ac:dyDescent="0.35">
      <c r="A462">
        <v>512</v>
      </c>
      <c r="B462" t="s">
        <v>803</v>
      </c>
      <c r="C462" t="str">
        <f t="shared" si="28"/>
        <v>TAF</v>
      </c>
      <c r="D462" t="str">
        <f t="shared" si="29"/>
        <v>mid</v>
      </c>
      <c r="E462" t="str">
        <f>IF(D462="first", MATCH("last", $D462:$D$510, 0), "")</f>
        <v/>
      </c>
      <c r="F462" t="str">
        <f t="shared" ca="1" si="30"/>
        <v/>
      </c>
      <c r="G462" s="15" t="str">
        <f t="shared" si="31"/>
        <v>512,</v>
      </c>
    </row>
    <row r="463" spans="1:7" x14ac:dyDescent="0.35">
      <c r="A463">
        <v>513</v>
      </c>
      <c r="B463" t="s">
        <v>804</v>
      </c>
      <c r="C463" t="str">
        <f t="shared" si="28"/>
        <v>TAF</v>
      </c>
      <c r="D463" t="str">
        <f t="shared" si="29"/>
        <v>mid</v>
      </c>
      <c r="E463" t="str">
        <f>IF(D463="first", MATCH("last", $D463:$D$510, 0), "")</f>
        <v/>
      </c>
      <c r="F463" t="str">
        <f t="shared" ca="1" si="30"/>
        <v/>
      </c>
      <c r="G463" s="15" t="str">
        <f t="shared" si="31"/>
        <v>513,</v>
      </c>
    </row>
    <row r="464" spans="1:7" x14ac:dyDescent="0.35">
      <c r="A464">
        <v>514</v>
      </c>
      <c r="B464" t="s">
        <v>805</v>
      </c>
      <c r="C464" t="str">
        <f t="shared" si="28"/>
        <v>TAF</v>
      </c>
      <c r="D464" t="str">
        <f t="shared" si="29"/>
        <v>mid</v>
      </c>
      <c r="E464" t="str">
        <f>IF(D464="first", MATCH("last", $D464:$D$510, 0), "")</f>
        <v/>
      </c>
      <c r="F464" t="str">
        <f t="shared" ca="1" si="30"/>
        <v/>
      </c>
      <c r="G464" s="15" t="str">
        <f t="shared" si="31"/>
        <v>514,</v>
      </c>
    </row>
    <row r="465" spans="1:7" x14ac:dyDescent="0.35">
      <c r="A465">
        <v>515</v>
      </c>
      <c r="B465" t="s">
        <v>806</v>
      </c>
      <c r="C465" t="str">
        <f t="shared" si="28"/>
        <v>TAF</v>
      </c>
      <c r="D465" t="str">
        <f t="shared" si="29"/>
        <v>mid</v>
      </c>
      <c r="E465" t="str">
        <f>IF(D465="first", MATCH("last", $D465:$D$510, 0), "")</f>
        <v/>
      </c>
      <c r="F465" t="str">
        <f t="shared" ca="1" si="30"/>
        <v/>
      </c>
      <c r="G465" s="15" t="str">
        <f t="shared" si="31"/>
        <v>515,</v>
      </c>
    </row>
    <row r="466" spans="1:7" x14ac:dyDescent="0.35">
      <c r="A466">
        <v>516</v>
      </c>
      <c r="B466" t="s">
        <v>807</v>
      </c>
      <c r="C466" t="str">
        <f t="shared" si="28"/>
        <v>TAF</v>
      </c>
      <c r="D466" t="str">
        <f t="shared" si="29"/>
        <v>mid</v>
      </c>
      <c r="E466" t="str">
        <f>IF(D466="first", MATCH("last", $D466:$D$510, 0), "")</f>
        <v/>
      </c>
      <c r="F466" t="str">
        <f t="shared" ca="1" si="30"/>
        <v/>
      </c>
      <c r="G466" s="15" t="str">
        <f t="shared" si="31"/>
        <v>516,</v>
      </c>
    </row>
    <row r="467" spans="1:7" x14ac:dyDescent="0.35">
      <c r="A467">
        <v>517</v>
      </c>
      <c r="B467" t="s">
        <v>808</v>
      </c>
      <c r="C467" t="str">
        <f t="shared" si="28"/>
        <v>TAF</v>
      </c>
      <c r="D467" t="str">
        <f t="shared" si="29"/>
        <v>mid</v>
      </c>
      <c r="E467" t="str">
        <f>IF(D467="first", MATCH("last", $D467:$D$510, 0), "")</f>
        <v/>
      </c>
      <c r="F467" t="str">
        <f t="shared" ca="1" si="30"/>
        <v/>
      </c>
      <c r="G467" s="15" t="str">
        <f t="shared" si="31"/>
        <v>517,</v>
      </c>
    </row>
    <row r="468" spans="1:7" x14ac:dyDescent="0.35">
      <c r="A468">
        <v>518</v>
      </c>
      <c r="B468" t="s">
        <v>809</v>
      </c>
      <c r="C468" t="str">
        <f t="shared" si="28"/>
        <v>TAF</v>
      </c>
      <c r="D468" t="str">
        <f t="shared" si="29"/>
        <v>mid</v>
      </c>
      <c r="E468" t="str">
        <f>IF(D468="first", MATCH("last", $D468:$D$510, 0), "")</f>
        <v/>
      </c>
      <c r="F468" t="str">
        <f t="shared" ca="1" si="30"/>
        <v/>
      </c>
      <c r="G468" s="15" t="str">
        <f t="shared" si="31"/>
        <v>518,</v>
      </c>
    </row>
    <row r="469" spans="1:7" x14ac:dyDescent="0.35">
      <c r="A469">
        <v>519</v>
      </c>
      <c r="B469" t="s">
        <v>810</v>
      </c>
      <c r="C469" t="str">
        <f t="shared" si="28"/>
        <v>TAF</v>
      </c>
      <c r="D469" t="str">
        <f t="shared" si="29"/>
        <v>mid</v>
      </c>
      <c r="E469" t="str">
        <f>IF(D469="first", MATCH("last", $D469:$D$510, 0), "")</f>
        <v/>
      </c>
      <c r="F469" t="str">
        <f t="shared" ca="1" si="30"/>
        <v/>
      </c>
      <c r="G469" s="15" t="str">
        <f t="shared" si="31"/>
        <v>519,</v>
      </c>
    </row>
    <row r="470" spans="1:7" x14ac:dyDescent="0.35">
      <c r="A470">
        <v>520</v>
      </c>
      <c r="B470" t="s">
        <v>811</v>
      </c>
      <c r="C470" t="str">
        <f t="shared" si="28"/>
        <v>TAF</v>
      </c>
      <c r="D470" t="str">
        <f t="shared" si="29"/>
        <v>mid</v>
      </c>
      <c r="E470" t="str">
        <f>IF(D470="first", MATCH("last", $D470:$D$510, 0), "")</f>
        <v/>
      </c>
      <c r="F470" t="str">
        <f t="shared" ca="1" si="30"/>
        <v/>
      </c>
      <c r="G470" s="15" t="str">
        <f t="shared" si="31"/>
        <v>520,</v>
      </c>
    </row>
    <row r="471" spans="1:7" x14ac:dyDescent="0.35">
      <c r="A471">
        <v>521</v>
      </c>
      <c r="B471" t="s">
        <v>812</v>
      </c>
      <c r="C471" t="str">
        <f t="shared" si="28"/>
        <v>TAF</v>
      </c>
      <c r="D471" t="str">
        <f t="shared" si="29"/>
        <v>mid</v>
      </c>
      <c r="E471" t="str">
        <f>IF(D471="first", MATCH("last", $D471:$D$510, 0), "")</f>
        <v/>
      </c>
      <c r="F471" t="str">
        <f t="shared" ca="1" si="30"/>
        <v/>
      </c>
      <c r="G471" s="15" t="str">
        <f t="shared" si="31"/>
        <v>521,</v>
      </c>
    </row>
    <row r="472" spans="1:7" x14ac:dyDescent="0.35">
      <c r="A472">
        <v>522</v>
      </c>
      <c r="B472" t="s">
        <v>813</v>
      </c>
      <c r="C472" t="str">
        <f t="shared" si="28"/>
        <v>TAF</v>
      </c>
      <c r="D472" t="str">
        <f t="shared" si="29"/>
        <v>mid</v>
      </c>
      <c r="E472" t="str">
        <f>IF(D472="first", MATCH("last", $D472:$D$510, 0), "")</f>
        <v/>
      </c>
      <c r="F472" t="str">
        <f t="shared" ca="1" si="30"/>
        <v/>
      </c>
      <c r="G472" s="15" t="str">
        <f t="shared" si="31"/>
        <v>522,</v>
      </c>
    </row>
    <row r="473" spans="1:7" x14ac:dyDescent="0.35">
      <c r="A473">
        <v>523</v>
      </c>
      <c r="B473" t="s">
        <v>814</v>
      </c>
      <c r="C473" t="str">
        <f t="shared" si="28"/>
        <v>TAF</v>
      </c>
      <c r="D473" t="str">
        <f t="shared" si="29"/>
        <v>mid</v>
      </c>
      <c r="E473" t="str">
        <f>IF(D473="first", MATCH("last", $D473:$D$510, 0), "")</f>
        <v/>
      </c>
      <c r="F473" t="str">
        <f t="shared" ca="1" si="30"/>
        <v/>
      </c>
      <c r="G473" s="15" t="str">
        <f t="shared" si="31"/>
        <v>523,</v>
      </c>
    </row>
    <row r="474" spans="1:7" x14ac:dyDescent="0.35">
      <c r="A474">
        <v>524</v>
      </c>
      <c r="B474" t="s">
        <v>815</v>
      </c>
      <c r="C474" t="str">
        <f t="shared" si="28"/>
        <v>TAF</v>
      </c>
      <c r="D474" t="str">
        <f t="shared" si="29"/>
        <v>mid</v>
      </c>
      <c r="E474" t="str">
        <f>IF(D474="first", MATCH("last", $D474:$D$510, 0), "")</f>
        <v/>
      </c>
      <c r="F474" t="str">
        <f t="shared" ca="1" si="30"/>
        <v/>
      </c>
      <c r="G474" s="15" t="str">
        <f t="shared" si="31"/>
        <v>524,</v>
      </c>
    </row>
    <row r="475" spans="1:7" x14ac:dyDescent="0.35">
      <c r="A475">
        <v>525</v>
      </c>
      <c r="B475" t="s">
        <v>816</v>
      </c>
      <c r="C475" t="str">
        <f t="shared" si="28"/>
        <v>TAF</v>
      </c>
      <c r="D475" t="str">
        <f t="shared" si="29"/>
        <v>mid</v>
      </c>
      <c r="E475" t="str">
        <f>IF(D475="first", MATCH("last", $D475:$D$510, 0), "")</f>
        <v/>
      </c>
      <c r="F475" t="str">
        <f t="shared" ca="1" si="30"/>
        <v/>
      </c>
      <c r="G475" s="15" t="str">
        <f t="shared" si="31"/>
        <v>525,</v>
      </c>
    </row>
    <row r="476" spans="1:7" x14ac:dyDescent="0.35">
      <c r="A476">
        <v>526</v>
      </c>
      <c r="B476" t="s">
        <v>817</v>
      </c>
      <c r="C476" t="str">
        <f t="shared" si="28"/>
        <v>TAF</v>
      </c>
      <c r="D476" t="str">
        <f t="shared" si="29"/>
        <v>mid</v>
      </c>
      <c r="E476" t="str">
        <f>IF(D476="first", MATCH("last", $D476:$D$510, 0), "")</f>
        <v/>
      </c>
      <c r="F476" t="str">
        <f t="shared" ca="1" si="30"/>
        <v/>
      </c>
      <c r="G476" s="15" t="str">
        <f t="shared" si="31"/>
        <v>526,</v>
      </c>
    </row>
    <row r="477" spans="1:7" x14ac:dyDescent="0.35">
      <c r="A477">
        <v>527</v>
      </c>
      <c r="B477" t="s">
        <v>818</v>
      </c>
      <c r="C477" t="str">
        <f t="shared" si="28"/>
        <v>TAF</v>
      </c>
      <c r="D477" t="str">
        <f t="shared" si="29"/>
        <v>mid</v>
      </c>
      <c r="E477" t="str">
        <f>IF(D477="first", MATCH("last", $D477:$D$510, 0), "")</f>
        <v/>
      </c>
      <c r="F477" t="str">
        <f t="shared" ca="1" si="30"/>
        <v/>
      </c>
      <c r="G477" s="15" t="str">
        <f t="shared" si="31"/>
        <v>527,</v>
      </c>
    </row>
    <row r="478" spans="1:7" x14ac:dyDescent="0.35">
      <c r="A478">
        <v>528</v>
      </c>
      <c r="B478" t="s">
        <v>819</v>
      </c>
      <c r="C478" t="str">
        <f t="shared" si="28"/>
        <v>TAF</v>
      </c>
      <c r="D478" t="str">
        <f t="shared" si="29"/>
        <v>mid</v>
      </c>
      <c r="E478" t="str">
        <f>IF(D478="first", MATCH("last", $D478:$D$510, 0), "")</f>
        <v/>
      </c>
      <c r="F478" t="str">
        <f t="shared" ca="1" si="30"/>
        <v/>
      </c>
      <c r="G478" s="15" t="str">
        <f t="shared" si="31"/>
        <v>528,</v>
      </c>
    </row>
    <row r="479" spans="1:7" x14ac:dyDescent="0.35">
      <c r="A479">
        <v>529</v>
      </c>
      <c r="B479" t="s">
        <v>820</v>
      </c>
      <c r="C479" t="str">
        <f t="shared" si="28"/>
        <v>TAF</v>
      </c>
      <c r="D479" t="str">
        <f t="shared" si="29"/>
        <v>mid</v>
      </c>
      <c r="E479" t="str">
        <f>IF(D479="first", MATCH("last", $D479:$D$510, 0), "")</f>
        <v/>
      </c>
      <c r="F479" t="str">
        <f t="shared" ca="1" si="30"/>
        <v/>
      </c>
      <c r="G479" s="15" t="str">
        <f t="shared" si="31"/>
        <v>529,</v>
      </c>
    </row>
    <row r="480" spans="1:7" x14ac:dyDescent="0.35">
      <c r="A480">
        <v>530</v>
      </c>
      <c r="B480" t="s">
        <v>821</v>
      </c>
      <c r="C480" t="str">
        <f t="shared" si="28"/>
        <v>TAF</v>
      </c>
      <c r="D480" t="str">
        <f t="shared" si="29"/>
        <v>last</v>
      </c>
      <c r="E480" t="str">
        <f>IF(D480="first", MATCH("last", $D480:$D$510, 0), "")</f>
        <v/>
      </c>
      <c r="F480" t="str">
        <f t="shared" ca="1" si="30"/>
        <v/>
      </c>
      <c r="G480" s="15">
        <f t="shared" si="31"/>
        <v>530</v>
      </c>
    </row>
    <row r="481" spans="1:7" x14ac:dyDescent="0.35">
      <c r="A481">
        <v>137</v>
      </c>
      <c r="B481" t="s">
        <v>822</v>
      </c>
      <c r="C481" t="str">
        <f t="shared" si="28"/>
        <v>TED</v>
      </c>
      <c r="D481" t="str">
        <f t="shared" si="29"/>
        <v>first</v>
      </c>
      <c r="E481">
        <f>IF(D481="first", MATCH("last", $D481:$D$510, 0), "")</f>
        <v>3</v>
      </c>
      <c r="F481" t="str">
        <f t="shared" ca="1" si="30"/>
        <v>137,138,139</v>
      </c>
      <c r="G481" s="15" t="str">
        <f t="shared" si="31"/>
        <v>137,</v>
      </c>
    </row>
    <row r="482" spans="1:7" x14ac:dyDescent="0.35">
      <c r="A482">
        <v>138</v>
      </c>
      <c r="B482" t="s">
        <v>823</v>
      </c>
      <c r="C482" t="str">
        <f t="shared" si="28"/>
        <v>TED</v>
      </c>
      <c r="D482" t="str">
        <f t="shared" si="29"/>
        <v>mid</v>
      </c>
      <c r="E482" t="str">
        <f>IF(D482="first", MATCH("last", $D482:$D$510, 0), "")</f>
        <v/>
      </c>
      <c r="F482" t="str">
        <f t="shared" ca="1" si="30"/>
        <v/>
      </c>
      <c r="G482" s="15" t="str">
        <f t="shared" si="31"/>
        <v>138,</v>
      </c>
    </row>
    <row r="483" spans="1:7" x14ac:dyDescent="0.35">
      <c r="A483">
        <v>139</v>
      </c>
      <c r="B483" t="s">
        <v>824</v>
      </c>
      <c r="C483" t="str">
        <f t="shared" si="28"/>
        <v>TED</v>
      </c>
      <c r="D483" t="str">
        <f t="shared" si="29"/>
        <v>last</v>
      </c>
      <c r="E483" t="str">
        <f>IF(D483="first", MATCH("last", $D483:$D$510, 0), "")</f>
        <v/>
      </c>
      <c r="F483" t="str">
        <f t="shared" ca="1" si="30"/>
        <v/>
      </c>
      <c r="G483" s="15">
        <f t="shared" si="31"/>
        <v>139</v>
      </c>
    </row>
    <row r="484" spans="1:7" x14ac:dyDescent="0.35">
      <c r="A484">
        <v>531</v>
      </c>
      <c r="B484" t="s">
        <v>825</v>
      </c>
      <c r="C484" t="str">
        <f t="shared" si="28"/>
        <v>TOW</v>
      </c>
      <c r="D484" t="str">
        <f t="shared" si="29"/>
        <v>first</v>
      </c>
      <c r="E484">
        <f>IF(D484="first", MATCH("last", $D484:$D$510, 0), "")</f>
        <v>3</v>
      </c>
      <c r="F484" t="str">
        <f t="shared" ca="1" si="30"/>
        <v>531,532,533</v>
      </c>
      <c r="G484" s="15" t="str">
        <f t="shared" si="31"/>
        <v>531,</v>
      </c>
    </row>
    <row r="485" spans="1:7" x14ac:dyDescent="0.35">
      <c r="A485">
        <v>532</v>
      </c>
      <c r="B485" t="s">
        <v>826</v>
      </c>
      <c r="C485" t="str">
        <f t="shared" si="28"/>
        <v>TOW</v>
      </c>
      <c r="D485" t="str">
        <f t="shared" si="29"/>
        <v>mid</v>
      </c>
      <c r="E485" t="str">
        <f>IF(D485="first", MATCH("last", $D485:$D$510, 0), "")</f>
        <v/>
      </c>
      <c r="F485" t="str">
        <f t="shared" ca="1" si="30"/>
        <v/>
      </c>
      <c r="G485" s="15" t="str">
        <f t="shared" si="31"/>
        <v>532,</v>
      </c>
    </row>
    <row r="486" spans="1:7" x14ac:dyDescent="0.35">
      <c r="A486">
        <v>533</v>
      </c>
      <c r="B486" t="s">
        <v>827</v>
      </c>
      <c r="C486" t="str">
        <f t="shared" si="28"/>
        <v>TOW</v>
      </c>
      <c r="D486" t="str">
        <f t="shared" si="29"/>
        <v>last</v>
      </c>
      <c r="E486" t="str">
        <f>IF(D486="first", MATCH("last", $D486:$D$510, 0), "")</f>
        <v/>
      </c>
      <c r="F486" t="str">
        <f t="shared" ca="1" si="30"/>
        <v/>
      </c>
      <c r="G486" s="15">
        <f t="shared" si="31"/>
        <v>533</v>
      </c>
    </row>
    <row r="487" spans="1:7" x14ac:dyDescent="0.35">
      <c r="A487">
        <v>534</v>
      </c>
      <c r="B487" t="s">
        <v>828</v>
      </c>
      <c r="C487" t="str">
        <f t="shared" si="28"/>
        <v>TRY</v>
      </c>
      <c r="D487" t="str">
        <f t="shared" si="29"/>
        <v>first</v>
      </c>
      <c r="E487">
        <f>IF(D487="first", MATCH("last", $D487:$D$510, 0), "")</f>
        <v>14</v>
      </c>
      <c r="F487" t="str">
        <f t="shared" ca="1" si="30"/>
        <v>534,535,536,537,538,539,540,541,542,543,544,545,546,547</v>
      </c>
      <c r="G487" s="15" t="str">
        <f t="shared" si="31"/>
        <v>534,</v>
      </c>
    </row>
    <row r="488" spans="1:7" x14ac:dyDescent="0.35">
      <c r="A488">
        <v>535</v>
      </c>
      <c r="B488" t="s">
        <v>829</v>
      </c>
      <c r="C488" t="str">
        <f t="shared" si="28"/>
        <v>TRY</v>
      </c>
      <c r="D488" t="str">
        <f t="shared" si="29"/>
        <v>mid</v>
      </c>
      <c r="E488" t="str">
        <f>IF(D488="first", MATCH("last", $D488:$D$510, 0), "")</f>
        <v/>
      </c>
      <c r="F488" t="str">
        <f t="shared" ca="1" si="30"/>
        <v/>
      </c>
      <c r="G488" s="15" t="str">
        <f t="shared" si="31"/>
        <v>535,</v>
      </c>
    </row>
    <row r="489" spans="1:7" x14ac:dyDescent="0.35">
      <c r="A489">
        <v>536</v>
      </c>
      <c r="B489" t="s">
        <v>830</v>
      </c>
      <c r="C489" t="str">
        <f t="shared" si="28"/>
        <v>TRY</v>
      </c>
      <c r="D489" t="str">
        <f t="shared" si="29"/>
        <v>mid</v>
      </c>
      <c r="E489" t="str">
        <f>IF(D489="first", MATCH("last", $D489:$D$510, 0), "")</f>
        <v/>
      </c>
      <c r="F489" t="str">
        <f t="shared" ca="1" si="30"/>
        <v/>
      </c>
      <c r="G489" s="15" t="str">
        <f t="shared" si="31"/>
        <v>536,</v>
      </c>
    </row>
    <row r="490" spans="1:7" x14ac:dyDescent="0.35">
      <c r="A490">
        <v>537</v>
      </c>
      <c r="B490" t="s">
        <v>831</v>
      </c>
      <c r="C490" t="str">
        <f t="shared" si="28"/>
        <v>TRY</v>
      </c>
      <c r="D490" t="str">
        <f t="shared" si="29"/>
        <v>mid</v>
      </c>
      <c r="E490" t="str">
        <f>IF(D490="first", MATCH("last", $D490:$D$510, 0), "")</f>
        <v/>
      </c>
      <c r="F490" t="str">
        <f t="shared" ca="1" si="30"/>
        <v/>
      </c>
      <c r="G490" s="15" t="str">
        <f t="shared" si="31"/>
        <v>537,</v>
      </c>
    </row>
    <row r="491" spans="1:7" x14ac:dyDescent="0.35">
      <c r="A491">
        <v>538</v>
      </c>
      <c r="B491" t="s">
        <v>832</v>
      </c>
      <c r="C491" t="str">
        <f t="shared" si="28"/>
        <v>TRY</v>
      </c>
      <c r="D491" t="str">
        <f t="shared" si="29"/>
        <v>mid</v>
      </c>
      <c r="E491" t="str">
        <f>IF(D491="first", MATCH("last", $D491:$D$510, 0), "")</f>
        <v/>
      </c>
      <c r="F491" t="str">
        <f t="shared" ca="1" si="30"/>
        <v/>
      </c>
      <c r="G491" s="15" t="str">
        <f t="shared" si="31"/>
        <v>538,</v>
      </c>
    </row>
    <row r="492" spans="1:7" x14ac:dyDescent="0.35">
      <c r="A492">
        <v>539</v>
      </c>
      <c r="B492" t="s">
        <v>833</v>
      </c>
      <c r="C492" t="str">
        <f t="shared" si="28"/>
        <v>TRY</v>
      </c>
      <c r="D492" t="str">
        <f t="shared" si="29"/>
        <v>mid</v>
      </c>
      <c r="E492" t="str">
        <f>IF(D492="first", MATCH("last", $D492:$D$510, 0), "")</f>
        <v/>
      </c>
      <c r="F492" t="str">
        <f t="shared" ca="1" si="30"/>
        <v/>
      </c>
      <c r="G492" s="15" t="str">
        <f t="shared" si="31"/>
        <v>539,</v>
      </c>
    </row>
    <row r="493" spans="1:7" x14ac:dyDescent="0.35">
      <c r="A493">
        <v>540</v>
      </c>
      <c r="B493" t="s">
        <v>834</v>
      </c>
      <c r="C493" t="str">
        <f t="shared" si="28"/>
        <v>TRY</v>
      </c>
      <c r="D493" t="str">
        <f t="shared" si="29"/>
        <v>mid</v>
      </c>
      <c r="E493" t="str">
        <f>IF(D493="first", MATCH("last", $D493:$D$510, 0), "")</f>
        <v/>
      </c>
      <c r="F493" t="str">
        <f t="shared" ca="1" si="30"/>
        <v/>
      </c>
      <c r="G493" s="15" t="str">
        <f t="shared" si="31"/>
        <v>540,</v>
      </c>
    </row>
    <row r="494" spans="1:7" x14ac:dyDescent="0.35">
      <c r="A494">
        <v>541</v>
      </c>
      <c r="B494" t="s">
        <v>835</v>
      </c>
      <c r="C494" t="str">
        <f t="shared" si="28"/>
        <v>TRY</v>
      </c>
      <c r="D494" t="str">
        <f t="shared" si="29"/>
        <v>mid</v>
      </c>
      <c r="E494" t="str">
        <f>IF(D494="first", MATCH("last", $D494:$D$510, 0), "")</f>
        <v/>
      </c>
      <c r="F494" t="str">
        <f t="shared" ca="1" si="30"/>
        <v/>
      </c>
      <c r="G494" s="15" t="str">
        <f t="shared" si="31"/>
        <v>541,</v>
      </c>
    </row>
    <row r="495" spans="1:7" x14ac:dyDescent="0.35">
      <c r="A495">
        <v>542</v>
      </c>
      <c r="B495" t="s">
        <v>836</v>
      </c>
      <c r="C495" t="str">
        <f t="shared" si="28"/>
        <v>TRY</v>
      </c>
      <c r="D495" t="str">
        <f t="shared" si="29"/>
        <v>mid</v>
      </c>
      <c r="E495" t="str">
        <f>IF(D495="first", MATCH("last", $D495:$D$510, 0), "")</f>
        <v/>
      </c>
      <c r="F495" t="str">
        <f t="shared" ca="1" si="30"/>
        <v/>
      </c>
      <c r="G495" s="15" t="str">
        <f t="shared" si="31"/>
        <v>542,</v>
      </c>
    </row>
    <row r="496" spans="1:7" x14ac:dyDescent="0.35">
      <c r="A496">
        <v>543</v>
      </c>
      <c r="B496" t="s">
        <v>837</v>
      </c>
      <c r="C496" t="str">
        <f t="shared" si="28"/>
        <v>TRY</v>
      </c>
      <c r="D496" t="str">
        <f t="shared" si="29"/>
        <v>mid</v>
      </c>
      <c r="E496" t="str">
        <f>IF(D496="first", MATCH("last", $D496:$D$510, 0), "")</f>
        <v/>
      </c>
      <c r="F496" t="str">
        <f t="shared" ca="1" si="30"/>
        <v/>
      </c>
      <c r="G496" s="15" t="str">
        <f t="shared" si="31"/>
        <v>543,</v>
      </c>
    </row>
    <row r="497" spans="1:7" x14ac:dyDescent="0.35">
      <c r="A497">
        <v>544</v>
      </c>
      <c r="B497" t="s">
        <v>838</v>
      </c>
      <c r="C497" t="str">
        <f t="shared" si="28"/>
        <v>TRY</v>
      </c>
      <c r="D497" t="str">
        <f t="shared" si="29"/>
        <v>mid</v>
      </c>
      <c r="E497" t="str">
        <f>IF(D497="first", MATCH("last", $D497:$D$510, 0), "")</f>
        <v/>
      </c>
      <c r="F497" t="str">
        <f t="shared" ca="1" si="30"/>
        <v/>
      </c>
      <c r="G497" s="15" t="str">
        <f t="shared" si="31"/>
        <v>544,</v>
      </c>
    </row>
    <row r="498" spans="1:7" x14ac:dyDescent="0.35">
      <c r="A498">
        <v>545</v>
      </c>
      <c r="B498" t="s">
        <v>839</v>
      </c>
      <c r="C498" t="str">
        <f t="shared" si="28"/>
        <v>TRY</v>
      </c>
      <c r="D498" t="str">
        <f t="shared" si="29"/>
        <v>mid</v>
      </c>
      <c r="E498" t="str">
        <f>IF(D498="first", MATCH("last", $D498:$D$510, 0), "")</f>
        <v/>
      </c>
      <c r="F498" t="str">
        <f t="shared" ca="1" si="30"/>
        <v/>
      </c>
      <c r="G498" s="15" t="str">
        <f t="shared" si="31"/>
        <v>545,</v>
      </c>
    </row>
    <row r="499" spans="1:7" x14ac:dyDescent="0.35">
      <c r="A499">
        <v>546</v>
      </c>
      <c r="B499" t="s">
        <v>840</v>
      </c>
      <c r="C499" t="str">
        <f t="shared" si="28"/>
        <v>TRY</v>
      </c>
      <c r="D499" t="str">
        <f t="shared" si="29"/>
        <v>mid</v>
      </c>
      <c r="E499" t="str">
        <f>IF(D499="first", MATCH("last", $D499:$D$510, 0), "")</f>
        <v/>
      </c>
      <c r="F499" t="str">
        <f t="shared" ca="1" si="30"/>
        <v/>
      </c>
      <c r="G499" s="15" t="str">
        <f t="shared" si="31"/>
        <v>546,</v>
      </c>
    </row>
    <row r="500" spans="1:7" x14ac:dyDescent="0.35">
      <c r="A500">
        <v>547</v>
      </c>
      <c r="B500" t="s">
        <v>841</v>
      </c>
      <c r="C500" t="str">
        <f t="shared" si="28"/>
        <v>TRY</v>
      </c>
      <c r="D500" t="str">
        <f t="shared" si="29"/>
        <v>last</v>
      </c>
      <c r="E500" t="str">
        <f>IF(D500="first", MATCH("last", $D500:$D$510, 0), "")</f>
        <v/>
      </c>
      <c r="F500" t="str">
        <f t="shared" ca="1" si="30"/>
        <v/>
      </c>
      <c r="G500" s="15">
        <f t="shared" si="31"/>
        <v>547</v>
      </c>
    </row>
    <row r="501" spans="1:7" x14ac:dyDescent="0.35">
      <c r="A501">
        <v>127</v>
      </c>
      <c r="B501" t="s">
        <v>842</v>
      </c>
      <c r="C501" t="str">
        <f t="shared" si="28"/>
        <v>WST</v>
      </c>
      <c r="D501" t="str">
        <f t="shared" si="29"/>
        <v>first</v>
      </c>
      <c r="E501">
        <f>IF(D501="first", MATCH("last", $D501:$D$510, 0), "")</f>
        <v>4</v>
      </c>
      <c r="F501" t="str">
        <f t="shared" ca="1" si="30"/>
        <v>127,128,129,130</v>
      </c>
      <c r="G501" s="15" t="str">
        <f t="shared" si="31"/>
        <v>127,</v>
      </c>
    </row>
    <row r="502" spans="1:7" x14ac:dyDescent="0.35">
      <c r="A502">
        <v>128</v>
      </c>
      <c r="B502" t="s">
        <v>843</v>
      </c>
      <c r="C502" t="str">
        <f t="shared" si="28"/>
        <v>WST</v>
      </c>
      <c r="D502" t="str">
        <f t="shared" si="29"/>
        <v>mid</v>
      </c>
      <c r="E502" t="str">
        <f>IF(D502="first", MATCH("last", $D502:$D$510, 0), "")</f>
        <v/>
      </c>
      <c r="F502" t="str">
        <f t="shared" ca="1" si="30"/>
        <v/>
      </c>
      <c r="G502" s="15" t="str">
        <f t="shared" si="31"/>
        <v>128,</v>
      </c>
    </row>
    <row r="503" spans="1:7" x14ac:dyDescent="0.35">
      <c r="A503">
        <v>129</v>
      </c>
      <c r="B503" t="s">
        <v>844</v>
      </c>
      <c r="C503" t="str">
        <f t="shared" si="28"/>
        <v>WST</v>
      </c>
      <c r="D503" t="str">
        <f t="shared" si="29"/>
        <v>mid</v>
      </c>
      <c r="E503" t="str">
        <f>IF(D503="first", MATCH("last", $D503:$D$510, 0), "")</f>
        <v/>
      </c>
      <c r="F503" t="str">
        <f t="shared" ca="1" si="30"/>
        <v/>
      </c>
      <c r="G503" s="15" t="str">
        <f t="shared" si="31"/>
        <v>129,</v>
      </c>
    </row>
    <row r="504" spans="1:7" x14ac:dyDescent="0.35">
      <c r="A504">
        <v>130</v>
      </c>
      <c r="B504" t="s">
        <v>845</v>
      </c>
      <c r="C504" t="str">
        <f t="shared" si="28"/>
        <v>WST</v>
      </c>
      <c r="D504" t="str">
        <f t="shared" si="29"/>
        <v>last</v>
      </c>
      <c r="E504" t="str">
        <f>IF(D504="first", MATCH("last", $D504:$D$510, 0), "")</f>
        <v/>
      </c>
      <c r="F504" t="str">
        <f t="shared" ca="1" si="30"/>
        <v/>
      </c>
      <c r="G504" s="15">
        <f t="shared" si="31"/>
        <v>130</v>
      </c>
    </row>
    <row r="505" spans="1:7" x14ac:dyDescent="0.35">
      <c r="A505">
        <v>131</v>
      </c>
      <c r="B505" t="s">
        <v>846</v>
      </c>
      <c r="C505" t="str">
        <f t="shared" si="28"/>
        <v>WNT</v>
      </c>
      <c r="D505" t="str">
        <f t="shared" si="29"/>
        <v>first</v>
      </c>
      <c r="E505">
        <f>IF(D505="first", MATCH("last", $D505:$D$510, 0), "")</f>
        <v>6</v>
      </c>
      <c r="F505" t="str">
        <f t="shared" ca="1" si="30"/>
        <v>131,132,133,134,135,136</v>
      </c>
      <c r="G505" s="15" t="str">
        <f t="shared" si="31"/>
        <v>131,</v>
      </c>
    </row>
    <row r="506" spans="1:7" x14ac:dyDescent="0.35">
      <c r="A506">
        <v>132</v>
      </c>
      <c r="B506" t="s">
        <v>847</v>
      </c>
      <c r="C506" t="str">
        <f t="shared" si="28"/>
        <v>WNT</v>
      </c>
      <c r="D506" t="str">
        <f t="shared" si="29"/>
        <v>mid</v>
      </c>
      <c r="E506" t="str">
        <f>IF(D506="first", MATCH("last", $D506:$D$510, 0), "")</f>
        <v/>
      </c>
      <c r="F506" t="str">
        <f t="shared" ca="1" si="30"/>
        <v/>
      </c>
      <c r="G506" s="15" t="str">
        <f t="shared" si="31"/>
        <v>132,</v>
      </c>
    </row>
    <row r="507" spans="1:7" x14ac:dyDescent="0.35">
      <c r="A507">
        <v>133</v>
      </c>
      <c r="B507" t="s">
        <v>848</v>
      </c>
      <c r="C507" t="str">
        <f t="shared" si="28"/>
        <v>WNT</v>
      </c>
      <c r="D507" t="str">
        <f t="shared" si="29"/>
        <v>mid</v>
      </c>
      <c r="E507" t="str">
        <f>IF(D507="first", MATCH("last", $D507:$D$510, 0), "")</f>
        <v/>
      </c>
      <c r="F507" t="str">
        <f t="shared" ca="1" si="30"/>
        <v/>
      </c>
      <c r="G507" s="15" t="str">
        <f t="shared" si="31"/>
        <v>133,</v>
      </c>
    </row>
    <row r="508" spans="1:7" x14ac:dyDescent="0.35">
      <c r="A508">
        <v>134</v>
      </c>
      <c r="B508" t="s">
        <v>849</v>
      </c>
      <c r="C508" t="str">
        <f t="shared" si="28"/>
        <v>WNT</v>
      </c>
      <c r="D508" t="str">
        <f t="shared" si="29"/>
        <v>mid</v>
      </c>
      <c r="E508" t="str">
        <f>IF(D508="first", MATCH("last", $D508:$D$510, 0), "")</f>
        <v/>
      </c>
      <c r="F508" t="str">
        <f t="shared" ca="1" si="30"/>
        <v/>
      </c>
      <c r="G508" s="15" t="str">
        <f t="shared" si="31"/>
        <v>134,</v>
      </c>
    </row>
    <row r="509" spans="1:7" x14ac:dyDescent="0.35">
      <c r="A509">
        <v>135</v>
      </c>
      <c r="B509" t="s">
        <v>850</v>
      </c>
      <c r="C509" t="str">
        <f t="shared" si="28"/>
        <v>WNT</v>
      </c>
      <c r="D509" t="str">
        <f t="shared" si="29"/>
        <v>mid</v>
      </c>
      <c r="E509" t="str">
        <f>IF(D509="first", MATCH("last", $D509:$D$510, 0), "")</f>
        <v/>
      </c>
      <c r="F509" t="str">
        <f t="shared" ca="1" si="30"/>
        <v/>
      </c>
      <c r="G509" s="15" t="str">
        <f t="shared" si="31"/>
        <v>135,</v>
      </c>
    </row>
    <row r="510" spans="1:7" x14ac:dyDescent="0.35">
      <c r="A510">
        <v>136</v>
      </c>
      <c r="B510" t="s">
        <v>851</v>
      </c>
      <c r="C510" t="str">
        <f t="shared" si="28"/>
        <v>WNT</v>
      </c>
      <c r="D510" t="str">
        <f t="shared" si="29"/>
        <v>last</v>
      </c>
      <c r="E510" t="str">
        <f>IF(D510="first", MATCH("last", $D510:$D$510, 0), "")</f>
        <v/>
      </c>
      <c r="F510" t="str">
        <f t="shared" ca="1" si="30"/>
        <v/>
      </c>
      <c r="G510" s="15">
        <f t="shared" si="31"/>
        <v>136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9FC3B-583A-4E82-8559-ED892CF2F170}">
  <sheetPr codeName="Sheet2"/>
  <dimension ref="A1:AJ297"/>
  <sheetViews>
    <sheetView workbookViewId="0">
      <selection activeCell="B9" sqref="B9"/>
    </sheetView>
  </sheetViews>
  <sheetFormatPr defaultRowHeight="14.5" x14ac:dyDescent="0.35"/>
  <cols>
    <col min="2" max="2" width="58.26953125" customWidth="1"/>
    <col min="3" max="4" width="18.26953125" customWidth="1"/>
    <col min="17" max="17" width="9.1796875" customWidth="1"/>
  </cols>
  <sheetData>
    <row r="1" spans="1:36" x14ac:dyDescent="0.35">
      <c r="A1" t="s">
        <v>856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</row>
    <row r="2" spans="1:36" x14ac:dyDescent="0.35">
      <c r="A2">
        <v>233</v>
      </c>
      <c r="B2" t="s">
        <v>160</v>
      </c>
      <c r="C2" t="s">
        <v>36</v>
      </c>
      <c r="D2" t="s">
        <v>36</v>
      </c>
      <c r="E2" t="s">
        <v>36</v>
      </c>
      <c r="F2" t="s">
        <v>36</v>
      </c>
      <c r="G2" t="s">
        <v>36</v>
      </c>
      <c r="H2" t="s">
        <v>36</v>
      </c>
      <c r="I2" t="s">
        <v>36</v>
      </c>
      <c r="J2" t="s">
        <v>36</v>
      </c>
      <c r="K2" t="s">
        <v>36</v>
      </c>
      <c r="L2" t="s">
        <v>36</v>
      </c>
      <c r="M2" t="s">
        <v>36</v>
      </c>
      <c r="N2" t="s">
        <v>36</v>
      </c>
      <c r="O2" t="s">
        <v>36</v>
      </c>
      <c r="P2" t="s">
        <v>36</v>
      </c>
      <c r="Q2" t="s">
        <v>36</v>
      </c>
      <c r="R2" t="s">
        <v>36</v>
      </c>
      <c r="S2" t="s">
        <v>36</v>
      </c>
      <c r="T2" t="s">
        <v>36</v>
      </c>
      <c r="U2" t="s">
        <v>36</v>
      </c>
      <c r="V2" t="s">
        <v>36</v>
      </c>
      <c r="W2" t="s">
        <v>36</v>
      </c>
      <c r="X2" t="s">
        <v>36</v>
      </c>
      <c r="Y2" t="s">
        <v>36</v>
      </c>
      <c r="Z2" t="s">
        <v>36</v>
      </c>
      <c r="AA2" t="s">
        <v>36</v>
      </c>
      <c r="AB2" t="s">
        <v>36</v>
      </c>
      <c r="AC2" t="s">
        <v>36</v>
      </c>
      <c r="AD2" t="s">
        <v>36</v>
      </c>
      <c r="AE2" t="s">
        <v>36</v>
      </c>
      <c r="AF2" t="s">
        <v>36</v>
      </c>
      <c r="AG2" t="s">
        <v>36</v>
      </c>
      <c r="AH2" t="s">
        <v>36</v>
      </c>
      <c r="AI2" t="s">
        <v>36</v>
      </c>
      <c r="AJ2" t="s">
        <v>36</v>
      </c>
    </row>
    <row r="3" spans="1:36" x14ac:dyDescent="0.35">
      <c r="A3">
        <v>320</v>
      </c>
      <c r="B3" t="s">
        <v>188</v>
      </c>
      <c r="C3" t="s">
        <v>36</v>
      </c>
      <c r="D3" t="s">
        <v>36</v>
      </c>
      <c r="E3" t="s">
        <v>36</v>
      </c>
      <c r="F3" t="s">
        <v>36</v>
      </c>
      <c r="G3" s="1">
        <v>41426</v>
      </c>
      <c r="H3" t="s">
        <v>36</v>
      </c>
      <c r="I3" t="s">
        <v>36</v>
      </c>
      <c r="J3" t="s">
        <v>36</v>
      </c>
      <c r="K3" t="s">
        <v>36</v>
      </c>
      <c r="L3" t="s">
        <v>36</v>
      </c>
      <c r="M3" t="s">
        <v>36</v>
      </c>
      <c r="N3" t="s">
        <v>36</v>
      </c>
      <c r="O3" t="s">
        <v>36</v>
      </c>
      <c r="P3" s="1">
        <v>41426</v>
      </c>
      <c r="Q3" t="s">
        <v>36</v>
      </c>
      <c r="R3" t="s">
        <v>36</v>
      </c>
      <c r="S3" t="s">
        <v>36</v>
      </c>
      <c r="T3" s="1">
        <v>39873</v>
      </c>
      <c r="U3" t="s">
        <v>36</v>
      </c>
      <c r="V3" t="s">
        <v>36</v>
      </c>
      <c r="W3" t="s">
        <v>36</v>
      </c>
      <c r="X3" t="s">
        <v>36</v>
      </c>
      <c r="Y3" t="s">
        <v>36</v>
      </c>
      <c r="Z3" t="s">
        <v>36</v>
      </c>
      <c r="AA3" t="s">
        <v>36</v>
      </c>
      <c r="AB3" t="s">
        <v>36</v>
      </c>
      <c r="AC3" t="s">
        <v>36</v>
      </c>
      <c r="AD3" t="s">
        <v>36</v>
      </c>
      <c r="AE3" t="s">
        <v>36</v>
      </c>
      <c r="AF3" s="1">
        <v>41513.4375</v>
      </c>
      <c r="AG3" s="1">
        <v>43040</v>
      </c>
      <c r="AH3" t="s">
        <v>36</v>
      </c>
      <c r="AI3" s="1">
        <v>41365</v>
      </c>
      <c r="AJ3" s="1">
        <v>41426</v>
      </c>
    </row>
    <row r="4" spans="1:36" x14ac:dyDescent="0.35">
      <c r="A4">
        <v>306</v>
      </c>
      <c r="B4" t="s">
        <v>183</v>
      </c>
      <c r="C4" t="s">
        <v>36</v>
      </c>
      <c r="D4" s="1">
        <v>42058.680555555555</v>
      </c>
      <c r="E4" t="s">
        <v>36</v>
      </c>
      <c r="F4" t="s">
        <v>36</v>
      </c>
      <c r="G4" t="s">
        <v>36</v>
      </c>
      <c r="H4" t="s">
        <v>36</v>
      </c>
      <c r="I4" t="s">
        <v>36</v>
      </c>
      <c r="J4" t="s">
        <v>36</v>
      </c>
      <c r="K4" t="s">
        <v>36</v>
      </c>
      <c r="L4" t="s">
        <v>36</v>
      </c>
      <c r="M4" t="s">
        <v>36</v>
      </c>
      <c r="N4" s="1">
        <v>42795</v>
      </c>
      <c r="O4" s="1">
        <v>42662.875</v>
      </c>
      <c r="P4" t="s">
        <v>36</v>
      </c>
      <c r="Q4" t="s">
        <v>36</v>
      </c>
      <c r="R4" t="s">
        <v>36</v>
      </c>
      <c r="S4" t="s">
        <v>36</v>
      </c>
      <c r="T4" t="s">
        <v>36</v>
      </c>
      <c r="U4" t="s">
        <v>36</v>
      </c>
      <c r="V4" t="s">
        <v>36</v>
      </c>
      <c r="W4" t="s">
        <v>36</v>
      </c>
      <c r="X4" s="1">
        <v>42193.618055555555</v>
      </c>
      <c r="Y4" t="s">
        <v>36</v>
      </c>
      <c r="Z4" t="s">
        <v>36</v>
      </c>
      <c r="AA4" t="s">
        <v>36</v>
      </c>
      <c r="AB4" t="s">
        <v>36</v>
      </c>
      <c r="AC4" t="s">
        <v>36</v>
      </c>
      <c r="AD4" t="s">
        <v>36</v>
      </c>
      <c r="AE4" t="s">
        <v>36</v>
      </c>
      <c r="AF4" t="s">
        <v>36</v>
      </c>
      <c r="AG4" t="s">
        <v>36</v>
      </c>
      <c r="AH4" t="s">
        <v>36</v>
      </c>
      <c r="AI4" t="s">
        <v>36</v>
      </c>
      <c r="AJ4" t="s">
        <v>36</v>
      </c>
    </row>
    <row r="5" spans="1:36" x14ac:dyDescent="0.35">
      <c r="A5">
        <v>31</v>
      </c>
      <c r="B5" t="s">
        <v>66</v>
      </c>
      <c r="C5" s="1">
        <v>42544.520833333336</v>
      </c>
      <c r="D5" s="1">
        <v>42058.680555555555</v>
      </c>
      <c r="E5" s="1">
        <v>39245.465277777781</v>
      </c>
      <c r="F5" s="1">
        <v>43002.951388888891</v>
      </c>
      <c r="G5" s="1">
        <v>41426</v>
      </c>
      <c r="H5" s="1">
        <v>43059.576388888891</v>
      </c>
      <c r="I5" s="1">
        <v>43050.451388888891</v>
      </c>
      <c r="J5" s="1">
        <v>42995.930555555555</v>
      </c>
      <c r="K5" s="1">
        <v>41061</v>
      </c>
      <c r="L5" s="1">
        <v>42940.347222222219</v>
      </c>
      <c r="M5" s="1">
        <v>43009</v>
      </c>
      <c r="N5" s="1">
        <v>42795</v>
      </c>
      <c r="O5" s="1">
        <v>42376.743055555555</v>
      </c>
      <c r="P5" t="s">
        <v>36</v>
      </c>
      <c r="Q5" s="1">
        <v>40911.534722222219</v>
      </c>
      <c r="R5" t="s">
        <v>36</v>
      </c>
      <c r="S5" s="1">
        <v>42735.993055555555</v>
      </c>
      <c r="T5" s="1">
        <v>39873</v>
      </c>
      <c r="U5" s="1">
        <v>43054.631944444445</v>
      </c>
      <c r="V5" s="1">
        <v>42473.520833333336</v>
      </c>
      <c r="W5" s="1">
        <v>39599.958333333336</v>
      </c>
      <c r="X5" s="1">
        <v>42193.618055555555</v>
      </c>
      <c r="Y5" s="1">
        <v>43396.4375</v>
      </c>
      <c r="Z5" s="1">
        <v>42648.458333333336</v>
      </c>
      <c r="AA5" s="1">
        <v>43054.611111111109</v>
      </c>
      <c r="AB5" s="1">
        <v>41225.597222222219</v>
      </c>
      <c r="AC5" s="1">
        <v>42485.743055555555</v>
      </c>
      <c r="AD5" s="1">
        <v>42649.430555555555</v>
      </c>
      <c r="AE5" s="1">
        <v>43397.416666666664</v>
      </c>
      <c r="AF5" s="1">
        <v>41513.4375</v>
      </c>
      <c r="AG5" s="1">
        <v>43040</v>
      </c>
      <c r="AH5" s="1">
        <v>39659.506944444445</v>
      </c>
      <c r="AI5" s="1">
        <v>41365</v>
      </c>
      <c r="AJ5" s="1">
        <v>41426</v>
      </c>
    </row>
    <row r="6" spans="1:36" x14ac:dyDescent="0.35">
      <c r="A6">
        <v>323</v>
      </c>
      <c r="B6" t="s">
        <v>191</v>
      </c>
      <c r="C6" t="s">
        <v>36</v>
      </c>
      <c r="D6" t="s">
        <v>36</v>
      </c>
      <c r="E6" t="s">
        <v>36</v>
      </c>
      <c r="F6" t="s">
        <v>36</v>
      </c>
      <c r="G6" s="1">
        <v>41426</v>
      </c>
      <c r="H6" t="s">
        <v>36</v>
      </c>
      <c r="I6" t="s">
        <v>36</v>
      </c>
      <c r="J6" t="s">
        <v>36</v>
      </c>
      <c r="K6" t="s">
        <v>36</v>
      </c>
      <c r="L6" t="s">
        <v>36</v>
      </c>
      <c r="M6" t="s">
        <v>36</v>
      </c>
      <c r="N6" t="s">
        <v>36</v>
      </c>
      <c r="O6" t="s">
        <v>36</v>
      </c>
      <c r="P6" t="s">
        <v>36</v>
      </c>
      <c r="Q6" t="s">
        <v>36</v>
      </c>
      <c r="R6" t="s">
        <v>36</v>
      </c>
      <c r="S6" t="s">
        <v>36</v>
      </c>
      <c r="T6" s="1">
        <v>39873</v>
      </c>
      <c r="U6" t="s">
        <v>36</v>
      </c>
      <c r="V6" t="s">
        <v>36</v>
      </c>
      <c r="W6" t="s">
        <v>36</v>
      </c>
      <c r="X6" t="s">
        <v>36</v>
      </c>
      <c r="Y6" t="s">
        <v>36</v>
      </c>
      <c r="Z6" t="s">
        <v>36</v>
      </c>
      <c r="AA6" t="s">
        <v>36</v>
      </c>
      <c r="AB6" t="s">
        <v>36</v>
      </c>
      <c r="AC6" t="s">
        <v>36</v>
      </c>
      <c r="AD6" t="s">
        <v>36</v>
      </c>
      <c r="AE6" t="s">
        <v>36</v>
      </c>
      <c r="AF6" s="1">
        <v>41513.4375</v>
      </c>
      <c r="AG6" t="s">
        <v>36</v>
      </c>
      <c r="AH6" t="s">
        <v>36</v>
      </c>
      <c r="AI6" s="1">
        <v>41365</v>
      </c>
      <c r="AJ6" s="1">
        <v>41426</v>
      </c>
    </row>
    <row r="7" spans="1:36" x14ac:dyDescent="0.35">
      <c r="A7">
        <v>330</v>
      </c>
      <c r="B7" t="s">
        <v>198</v>
      </c>
      <c r="C7" t="s">
        <v>36</v>
      </c>
      <c r="D7" t="s">
        <v>36</v>
      </c>
      <c r="E7" t="s">
        <v>36</v>
      </c>
      <c r="F7" t="s">
        <v>36</v>
      </c>
      <c r="G7" s="1">
        <v>41426</v>
      </c>
      <c r="H7" t="s">
        <v>36</v>
      </c>
      <c r="I7" t="s">
        <v>36</v>
      </c>
      <c r="J7" t="s">
        <v>36</v>
      </c>
      <c r="K7" t="s">
        <v>36</v>
      </c>
      <c r="L7" t="s">
        <v>36</v>
      </c>
      <c r="M7" t="s">
        <v>36</v>
      </c>
      <c r="N7" t="s">
        <v>36</v>
      </c>
      <c r="O7" t="s">
        <v>36</v>
      </c>
      <c r="P7" s="1">
        <v>41426</v>
      </c>
      <c r="Q7" t="s">
        <v>36</v>
      </c>
      <c r="R7" t="s">
        <v>36</v>
      </c>
      <c r="S7" t="s">
        <v>36</v>
      </c>
      <c r="T7" s="1">
        <v>39873</v>
      </c>
      <c r="U7" t="s">
        <v>36</v>
      </c>
      <c r="V7" t="s">
        <v>36</v>
      </c>
      <c r="W7" t="s">
        <v>36</v>
      </c>
      <c r="X7" t="s">
        <v>36</v>
      </c>
      <c r="Y7" t="s">
        <v>36</v>
      </c>
      <c r="Z7" t="s">
        <v>36</v>
      </c>
      <c r="AA7" t="s">
        <v>36</v>
      </c>
      <c r="AB7" t="s">
        <v>36</v>
      </c>
      <c r="AC7" t="s">
        <v>36</v>
      </c>
      <c r="AD7" t="s">
        <v>36</v>
      </c>
      <c r="AE7" t="s">
        <v>36</v>
      </c>
      <c r="AF7" s="1">
        <v>41513.4375</v>
      </c>
      <c r="AG7" s="1">
        <v>43040</v>
      </c>
      <c r="AH7" t="s">
        <v>36</v>
      </c>
      <c r="AI7" s="1">
        <v>41365</v>
      </c>
      <c r="AJ7" s="1">
        <v>41426</v>
      </c>
    </row>
    <row r="8" spans="1:36" x14ac:dyDescent="0.35">
      <c r="A8">
        <v>331</v>
      </c>
      <c r="B8" t="s">
        <v>199</v>
      </c>
      <c r="C8" t="s">
        <v>36</v>
      </c>
      <c r="D8" t="s">
        <v>36</v>
      </c>
      <c r="E8" t="s">
        <v>36</v>
      </c>
      <c r="F8" t="s">
        <v>36</v>
      </c>
      <c r="G8" s="1">
        <v>41426</v>
      </c>
      <c r="H8" t="s">
        <v>36</v>
      </c>
      <c r="I8" t="s">
        <v>36</v>
      </c>
      <c r="J8" t="s">
        <v>36</v>
      </c>
      <c r="K8" t="s">
        <v>36</v>
      </c>
      <c r="L8" t="s">
        <v>36</v>
      </c>
      <c r="M8" t="s">
        <v>36</v>
      </c>
      <c r="N8" t="s">
        <v>36</v>
      </c>
      <c r="O8" t="s">
        <v>36</v>
      </c>
      <c r="P8" s="1">
        <v>41426</v>
      </c>
      <c r="Q8" t="s">
        <v>36</v>
      </c>
      <c r="R8" t="s">
        <v>36</v>
      </c>
      <c r="S8" t="s">
        <v>36</v>
      </c>
      <c r="T8" s="1">
        <v>39873</v>
      </c>
      <c r="U8" t="s">
        <v>36</v>
      </c>
      <c r="V8" t="s">
        <v>36</v>
      </c>
      <c r="W8" t="s">
        <v>36</v>
      </c>
      <c r="X8" t="s">
        <v>36</v>
      </c>
      <c r="Y8" t="s">
        <v>36</v>
      </c>
      <c r="Z8" t="s">
        <v>36</v>
      </c>
      <c r="AA8" t="s">
        <v>36</v>
      </c>
      <c r="AB8" t="s">
        <v>36</v>
      </c>
      <c r="AC8" t="s">
        <v>36</v>
      </c>
      <c r="AD8" t="s">
        <v>36</v>
      </c>
      <c r="AE8" t="s">
        <v>36</v>
      </c>
      <c r="AF8" s="1">
        <v>41513.4375</v>
      </c>
      <c r="AG8" s="1">
        <v>43040</v>
      </c>
      <c r="AH8" t="s">
        <v>36</v>
      </c>
      <c r="AI8" s="1">
        <v>41365</v>
      </c>
      <c r="AJ8" s="1">
        <v>41426</v>
      </c>
    </row>
    <row r="9" spans="1:36" x14ac:dyDescent="0.35">
      <c r="A9">
        <v>3197</v>
      </c>
      <c r="B9" t="s">
        <v>316</v>
      </c>
      <c r="C9" t="s">
        <v>36</v>
      </c>
      <c r="D9" t="s">
        <v>36</v>
      </c>
      <c r="E9" t="s">
        <v>36</v>
      </c>
      <c r="F9" t="s">
        <v>36</v>
      </c>
      <c r="G9" t="s">
        <v>36</v>
      </c>
      <c r="H9" t="s">
        <v>36</v>
      </c>
      <c r="I9" t="s">
        <v>36</v>
      </c>
      <c r="J9" t="s">
        <v>36</v>
      </c>
      <c r="K9" t="s">
        <v>36</v>
      </c>
      <c r="L9" t="s">
        <v>36</v>
      </c>
      <c r="M9" t="s">
        <v>36</v>
      </c>
      <c r="N9" t="s">
        <v>36</v>
      </c>
      <c r="O9" t="s">
        <v>36</v>
      </c>
      <c r="P9" t="s">
        <v>36</v>
      </c>
      <c r="Q9" s="1">
        <v>43390.659722222219</v>
      </c>
      <c r="R9" t="s">
        <v>36</v>
      </c>
      <c r="S9" t="s">
        <v>36</v>
      </c>
      <c r="T9" t="s">
        <v>36</v>
      </c>
      <c r="U9" t="s">
        <v>36</v>
      </c>
      <c r="V9" t="s">
        <v>36</v>
      </c>
      <c r="W9" t="s">
        <v>36</v>
      </c>
      <c r="X9" t="s">
        <v>36</v>
      </c>
      <c r="Y9" t="s">
        <v>36</v>
      </c>
      <c r="Z9" t="s">
        <v>36</v>
      </c>
      <c r="AA9" t="s">
        <v>36</v>
      </c>
      <c r="AB9" t="s">
        <v>36</v>
      </c>
      <c r="AC9" t="s">
        <v>36</v>
      </c>
      <c r="AD9" t="s">
        <v>36</v>
      </c>
      <c r="AE9" t="s">
        <v>36</v>
      </c>
      <c r="AF9" t="s">
        <v>36</v>
      </c>
      <c r="AG9" t="s">
        <v>36</v>
      </c>
      <c r="AH9" t="s">
        <v>36</v>
      </c>
      <c r="AI9" t="s">
        <v>36</v>
      </c>
      <c r="AJ9" t="s">
        <v>36</v>
      </c>
    </row>
    <row r="10" spans="1:36" x14ac:dyDescent="0.35">
      <c r="A10">
        <v>230</v>
      </c>
      <c r="B10" t="s">
        <v>159</v>
      </c>
      <c r="C10" t="s">
        <v>36</v>
      </c>
      <c r="D10" t="s">
        <v>36</v>
      </c>
      <c r="E10" t="s">
        <v>36</v>
      </c>
      <c r="F10" t="s">
        <v>36</v>
      </c>
      <c r="G10" t="s">
        <v>36</v>
      </c>
      <c r="H10" t="s">
        <v>36</v>
      </c>
      <c r="I10" t="s">
        <v>36</v>
      </c>
      <c r="J10" t="s">
        <v>36</v>
      </c>
      <c r="K10" t="s">
        <v>36</v>
      </c>
      <c r="L10" t="s">
        <v>36</v>
      </c>
      <c r="M10" t="s">
        <v>36</v>
      </c>
      <c r="N10" t="s">
        <v>36</v>
      </c>
      <c r="O10" t="s">
        <v>36</v>
      </c>
      <c r="P10" t="s">
        <v>36</v>
      </c>
      <c r="Q10" t="s">
        <v>36</v>
      </c>
      <c r="R10" t="s">
        <v>36</v>
      </c>
      <c r="S10" t="s">
        <v>36</v>
      </c>
      <c r="T10" t="s">
        <v>36</v>
      </c>
      <c r="U10" t="s">
        <v>36</v>
      </c>
      <c r="V10" t="s">
        <v>36</v>
      </c>
      <c r="W10" t="s">
        <v>36</v>
      </c>
      <c r="X10" t="s">
        <v>36</v>
      </c>
      <c r="Y10" t="s">
        <v>36</v>
      </c>
      <c r="Z10" t="s">
        <v>36</v>
      </c>
      <c r="AA10" t="s">
        <v>36</v>
      </c>
      <c r="AB10" t="s">
        <v>36</v>
      </c>
      <c r="AC10" t="s">
        <v>36</v>
      </c>
      <c r="AD10" t="s">
        <v>36</v>
      </c>
      <c r="AE10" t="s">
        <v>36</v>
      </c>
      <c r="AF10" t="s">
        <v>36</v>
      </c>
      <c r="AG10" t="s">
        <v>36</v>
      </c>
      <c r="AH10" t="s">
        <v>36</v>
      </c>
      <c r="AI10" t="s">
        <v>36</v>
      </c>
      <c r="AJ10" t="s">
        <v>36</v>
      </c>
    </row>
    <row r="11" spans="1:36" x14ac:dyDescent="0.35">
      <c r="A11">
        <v>14</v>
      </c>
      <c r="B11" t="s">
        <v>49</v>
      </c>
      <c r="C11" t="s">
        <v>36</v>
      </c>
      <c r="D11" t="s">
        <v>36</v>
      </c>
      <c r="E11" t="s">
        <v>36</v>
      </c>
      <c r="F11" t="s">
        <v>36</v>
      </c>
      <c r="G11" t="s">
        <v>36</v>
      </c>
      <c r="H11" t="s">
        <v>36</v>
      </c>
      <c r="I11" t="s">
        <v>36</v>
      </c>
      <c r="J11" t="s">
        <v>36</v>
      </c>
      <c r="K11" t="s">
        <v>36</v>
      </c>
      <c r="L11" t="s">
        <v>36</v>
      </c>
      <c r="M11" t="s">
        <v>36</v>
      </c>
      <c r="N11" t="s">
        <v>36</v>
      </c>
      <c r="O11" t="s">
        <v>36</v>
      </c>
      <c r="P11" t="s">
        <v>36</v>
      </c>
      <c r="Q11" s="1">
        <v>40911.534722222219</v>
      </c>
      <c r="R11" t="s">
        <v>36</v>
      </c>
      <c r="S11" t="s">
        <v>36</v>
      </c>
      <c r="T11" t="s">
        <v>36</v>
      </c>
      <c r="U11" t="s">
        <v>36</v>
      </c>
      <c r="V11" t="s">
        <v>36</v>
      </c>
      <c r="W11" t="s">
        <v>36</v>
      </c>
      <c r="X11" t="s">
        <v>36</v>
      </c>
      <c r="Y11" t="s">
        <v>36</v>
      </c>
      <c r="Z11" t="s">
        <v>36</v>
      </c>
      <c r="AA11" t="s">
        <v>36</v>
      </c>
      <c r="AB11" t="s">
        <v>36</v>
      </c>
      <c r="AC11" t="s">
        <v>36</v>
      </c>
      <c r="AD11" t="s">
        <v>36</v>
      </c>
      <c r="AE11" t="s">
        <v>36</v>
      </c>
      <c r="AF11" t="s">
        <v>36</v>
      </c>
      <c r="AG11" t="s">
        <v>36</v>
      </c>
      <c r="AH11" t="s">
        <v>36</v>
      </c>
      <c r="AI11" t="s">
        <v>36</v>
      </c>
      <c r="AJ11" t="s">
        <v>36</v>
      </c>
    </row>
    <row r="12" spans="1:36" x14ac:dyDescent="0.35">
      <c r="A12">
        <v>11</v>
      </c>
      <c r="B12" t="s">
        <v>46</v>
      </c>
      <c r="C12" t="s">
        <v>36</v>
      </c>
      <c r="D12" t="s">
        <v>36</v>
      </c>
      <c r="E12" t="s">
        <v>36</v>
      </c>
      <c r="F12" t="s">
        <v>36</v>
      </c>
      <c r="G12" t="s">
        <v>36</v>
      </c>
      <c r="H12" t="s">
        <v>36</v>
      </c>
      <c r="I12" t="s">
        <v>36</v>
      </c>
      <c r="J12" t="s">
        <v>36</v>
      </c>
      <c r="K12" t="s">
        <v>36</v>
      </c>
      <c r="L12" t="s">
        <v>36</v>
      </c>
      <c r="M12" t="s">
        <v>36</v>
      </c>
      <c r="N12" t="s">
        <v>36</v>
      </c>
      <c r="O12" t="s">
        <v>36</v>
      </c>
      <c r="P12" t="s">
        <v>36</v>
      </c>
      <c r="Q12" s="1">
        <v>40911.534722222219</v>
      </c>
      <c r="R12" t="s">
        <v>36</v>
      </c>
      <c r="S12" t="s">
        <v>36</v>
      </c>
      <c r="T12" t="s">
        <v>36</v>
      </c>
      <c r="U12" t="s">
        <v>36</v>
      </c>
      <c r="V12" t="s">
        <v>36</v>
      </c>
      <c r="W12" t="s">
        <v>36</v>
      </c>
      <c r="X12" t="s">
        <v>36</v>
      </c>
      <c r="Y12" t="s">
        <v>36</v>
      </c>
      <c r="Z12" t="s">
        <v>36</v>
      </c>
      <c r="AA12" t="s">
        <v>36</v>
      </c>
      <c r="AB12" t="s">
        <v>36</v>
      </c>
      <c r="AC12" t="s">
        <v>36</v>
      </c>
      <c r="AD12" t="s">
        <v>36</v>
      </c>
      <c r="AE12" t="s">
        <v>36</v>
      </c>
      <c r="AF12" t="s">
        <v>36</v>
      </c>
      <c r="AG12" t="s">
        <v>36</v>
      </c>
      <c r="AH12" t="s">
        <v>36</v>
      </c>
      <c r="AI12" t="s">
        <v>36</v>
      </c>
      <c r="AJ12" t="s">
        <v>36</v>
      </c>
    </row>
    <row r="13" spans="1:36" x14ac:dyDescent="0.35">
      <c r="A13">
        <v>17</v>
      </c>
      <c r="B13" t="s">
        <v>52</v>
      </c>
      <c r="C13" t="s">
        <v>36</v>
      </c>
      <c r="D13" t="s">
        <v>36</v>
      </c>
      <c r="E13" t="s">
        <v>36</v>
      </c>
      <c r="F13" t="s">
        <v>36</v>
      </c>
      <c r="G13" t="s">
        <v>36</v>
      </c>
      <c r="H13" t="s">
        <v>36</v>
      </c>
      <c r="I13" t="s">
        <v>36</v>
      </c>
      <c r="J13" t="s">
        <v>36</v>
      </c>
      <c r="K13" t="s">
        <v>36</v>
      </c>
      <c r="L13" t="s">
        <v>36</v>
      </c>
      <c r="M13" t="s">
        <v>36</v>
      </c>
      <c r="N13" t="s">
        <v>36</v>
      </c>
      <c r="O13" t="s">
        <v>36</v>
      </c>
      <c r="P13" t="s">
        <v>36</v>
      </c>
      <c r="Q13" s="1">
        <v>40911.534722222219</v>
      </c>
      <c r="R13" t="s">
        <v>36</v>
      </c>
      <c r="S13" t="s">
        <v>36</v>
      </c>
      <c r="T13" t="s">
        <v>36</v>
      </c>
      <c r="U13" t="s">
        <v>36</v>
      </c>
      <c r="V13" t="s">
        <v>36</v>
      </c>
      <c r="W13" t="s">
        <v>36</v>
      </c>
      <c r="X13" t="s">
        <v>36</v>
      </c>
      <c r="Y13" t="s">
        <v>36</v>
      </c>
      <c r="Z13" t="s">
        <v>36</v>
      </c>
      <c r="AA13" t="s">
        <v>36</v>
      </c>
      <c r="AB13" t="s">
        <v>36</v>
      </c>
      <c r="AC13" t="s">
        <v>36</v>
      </c>
      <c r="AD13" t="s">
        <v>36</v>
      </c>
      <c r="AE13" t="s">
        <v>36</v>
      </c>
      <c r="AF13" t="s">
        <v>36</v>
      </c>
      <c r="AG13" t="s">
        <v>36</v>
      </c>
      <c r="AH13" t="s">
        <v>36</v>
      </c>
      <c r="AI13" t="s">
        <v>36</v>
      </c>
      <c r="AJ13" t="s">
        <v>36</v>
      </c>
    </row>
    <row r="14" spans="1:36" x14ac:dyDescent="0.35">
      <c r="A14">
        <v>83</v>
      </c>
      <c r="B14" t="s">
        <v>96</v>
      </c>
      <c r="C14" s="1">
        <v>42544.479166666664</v>
      </c>
      <c r="D14" s="1">
        <v>42058.680555555555</v>
      </c>
      <c r="E14" t="s">
        <v>36</v>
      </c>
      <c r="F14" t="s">
        <v>36</v>
      </c>
      <c r="G14" t="s">
        <v>36</v>
      </c>
      <c r="H14" t="s">
        <v>36</v>
      </c>
      <c r="I14" t="s">
        <v>36</v>
      </c>
      <c r="J14" t="s">
        <v>36</v>
      </c>
      <c r="K14" s="1">
        <v>39600</v>
      </c>
      <c r="L14" t="s">
        <v>36</v>
      </c>
      <c r="M14" s="1">
        <v>43348.625</v>
      </c>
      <c r="N14" s="1">
        <v>42795</v>
      </c>
      <c r="O14" s="1">
        <v>42376.743055555555</v>
      </c>
      <c r="P14" t="s">
        <v>36</v>
      </c>
      <c r="Q14" s="1">
        <v>42470.777777777781</v>
      </c>
      <c r="R14" t="s">
        <v>36</v>
      </c>
      <c r="S14" t="s">
        <v>36</v>
      </c>
      <c r="T14" t="s">
        <v>36</v>
      </c>
      <c r="U14" t="s">
        <v>36</v>
      </c>
      <c r="V14" s="1">
        <v>42473.520833333336</v>
      </c>
      <c r="W14" s="1">
        <v>42477.895833333336</v>
      </c>
      <c r="X14" s="1">
        <v>42193.618055555555</v>
      </c>
      <c r="Y14" t="s">
        <v>36</v>
      </c>
      <c r="Z14" s="1">
        <v>42648.458333333336</v>
      </c>
      <c r="AA14" t="s">
        <v>36</v>
      </c>
      <c r="AB14" t="s">
        <v>36</v>
      </c>
      <c r="AC14" s="1">
        <v>42485.743055555555</v>
      </c>
      <c r="AD14" s="1">
        <v>42649.430555555555</v>
      </c>
      <c r="AE14" t="s">
        <v>36</v>
      </c>
      <c r="AF14" t="s">
        <v>36</v>
      </c>
      <c r="AG14" t="s">
        <v>36</v>
      </c>
      <c r="AH14" t="s">
        <v>36</v>
      </c>
      <c r="AI14" t="s">
        <v>36</v>
      </c>
      <c r="AJ14" t="s">
        <v>36</v>
      </c>
    </row>
    <row r="15" spans="1:36" x14ac:dyDescent="0.35">
      <c r="A15">
        <v>80</v>
      </c>
      <c r="B15" t="s">
        <v>93</v>
      </c>
      <c r="C15" t="s">
        <v>36</v>
      </c>
      <c r="D15" t="s">
        <v>36</v>
      </c>
      <c r="E15" t="s">
        <v>36</v>
      </c>
      <c r="F15" t="s">
        <v>36</v>
      </c>
      <c r="G15" s="1">
        <v>42482.388888888891</v>
      </c>
      <c r="H15" t="s">
        <v>36</v>
      </c>
      <c r="I15" t="s">
        <v>36</v>
      </c>
      <c r="J15" s="1">
        <v>42995.930555555555</v>
      </c>
      <c r="K15" t="s">
        <v>36</v>
      </c>
      <c r="L15" s="1">
        <v>42940.347222222219</v>
      </c>
      <c r="M15" t="s">
        <v>36</v>
      </c>
      <c r="N15" t="s">
        <v>36</v>
      </c>
      <c r="O15" t="s">
        <v>36</v>
      </c>
      <c r="P15" s="1">
        <v>42482.381944444445</v>
      </c>
      <c r="Q15" t="s">
        <v>36</v>
      </c>
      <c r="R15" t="s">
        <v>36</v>
      </c>
      <c r="S15" s="1">
        <v>43227.3125</v>
      </c>
      <c r="T15" s="1">
        <v>42492.868055555555</v>
      </c>
      <c r="U15" t="s">
        <v>36</v>
      </c>
      <c r="V15" t="s">
        <v>36</v>
      </c>
      <c r="W15" s="1">
        <v>39599.958333333336</v>
      </c>
      <c r="X15" t="s">
        <v>36</v>
      </c>
      <c r="Y15" t="s">
        <v>36</v>
      </c>
      <c r="Z15" t="s">
        <v>36</v>
      </c>
      <c r="AA15" t="s">
        <v>36</v>
      </c>
      <c r="AB15" t="s">
        <v>36</v>
      </c>
      <c r="AC15" t="s">
        <v>36</v>
      </c>
      <c r="AD15" t="s">
        <v>36</v>
      </c>
      <c r="AE15" t="s">
        <v>36</v>
      </c>
      <c r="AF15" s="1">
        <v>42492.493055555555</v>
      </c>
      <c r="AG15" t="s">
        <v>36</v>
      </c>
      <c r="AH15" t="s">
        <v>36</v>
      </c>
      <c r="AI15" s="1">
        <v>42492.895833333336</v>
      </c>
      <c r="AJ15" s="1">
        <v>42496.548611111109</v>
      </c>
    </row>
    <row r="16" spans="1:36" x14ac:dyDescent="0.35">
      <c r="A16">
        <v>3523</v>
      </c>
      <c r="B16" t="s">
        <v>317</v>
      </c>
      <c r="C16" t="s">
        <v>36</v>
      </c>
      <c r="D16" t="s">
        <v>36</v>
      </c>
      <c r="E16" t="s">
        <v>36</v>
      </c>
      <c r="F16" t="s">
        <v>36</v>
      </c>
      <c r="G16" s="1">
        <v>43536.375</v>
      </c>
      <c r="H16" t="s">
        <v>36</v>
      </c>
      <c r="I16" t="s">
        <v>36</v>
      </c>
      <c r="J16" t="s">
        <v>36</v>
      </c>
      <c r="K16" t="s">
        <v>36</v>
      </c>
      <c r="L16" t="s">
        <v>36</v>
      </c>
      <c r="M16" t="s">
        <v>36</v>
      </c>
      <c r="N16" t="s">
        <v>36</v>
      </c>
      <c r="O16" t="s">
        <v>36</v>
      </c>
      <c r="P16" s="1">
        <v>43536.395833333336</v>
      </c>
      <c r="Q16" t="s">
        <v>36</v>
      </c>
      <c r="R16" t="s">
        <v>36</v>
      </c>
      <c r="S16" s="1">
        <v>43466.631944444445</v>
      </c>
      <c r="T16" s="1">
        <v>43542.381944444445</v>
      </c>
      <c r="U16" t="s">
        <v>36</v>
      </c>
      <c r="V16" t="s">
        <v>36</v>
      </c>
      <c r="W16" s="1">
        <v>43536.395833333336</v>
      </c>
      <c r="X16" t="s">
        <v>36</v>
      </c>
      <c r="Y16" t="s">
        <v>36</v>
      </c>
      <c r="Z16" t="s">
        <v>36</v>
      </c>
      <c r="AA16" t="s">
        <v>36</v>
      </c>
      <c r="AB16" t="s">
        <v>36</v>
      </c>
      <c r="AC16" t="s">
        <v>36</v>
      </c>
      <c r="AD16" t="s">
        <v>36</v>
      </c>
      <c r="AE16" t="s">
        <v>36</v>
      </c>
      <c r="AF16" s="1">
        <v>43536.395833333336</v>
      </c>
      <c r="AG16" t="s">
        <v>36</v>
      </c>
      <c r="AH16" t="s">
        <v>36</v>
      </c>
      <c r="AI16" s="1">
        <v>43536.395833333336</v>
      </c>
      <c r="AJ16" s="1">
        <v>43536.395833333336</v>
      </c>
    </row>
    <row r="17" spans="1:36" x14ac:dyDescent="0.35">
      <c r="A17">
        <v>3524</v>
      </c>
      <c r="B17" t="s">
        <v>318</v>
      </c>
      <c r="C17" t="s">
        <v>36</v>
      </c>
      <c r="D17" t="s">
        <v>36</v>
      </c>
      <c r="E17" t="s">
        <v>36</v>
      </c>
      <c r="F17" t="s">
        <v>36</v>
      </c>
      <c r="G17" s="1">
        <v>43536.375</v>
      </c>
      <c r="H17" t="s">
        <v>36</v>
      </c>
      <c r="I17" t="s">
        <v>36</v>
      </c>
      <c r="J17" t="s">
        <v>36</v>
      </c>
      <c r="K17" t="s">
        <v>36</v>
      </c>
      <c r="L17" t="s">
        <v>36</v>
      </c>
      <c r="M17" t="s">
        <v>36</v>
      </c>
      <c r="N17" t="s">
        <v>36</v>
      </c>
      <c r="O17" t="s">
        <v>36</v>
      </c>
      <c r="P17" s="1">
        <v>43536.395833333336</v>
      </c>
      <c r="Q17" t="s">
        <v>36</v>
      </c>
      <c r="R17" t="s">
        <v>36</v>
      </c>
      <c r="S17" s="1">
        <v>43466.631944444445</v>
      </c>
      <c r="T17" s="1">
        <v>43542.381944444445</v>
      </c>
      <c r="U17" t="s">
        <v>36</v>
      </c>
      <c r="V17" t="s">
        <v>36</v>
      </c>
      <c r="W17" s="1">
        <v>43536.395833333336</v>
      </c>
      <c r="X17" t="s">
        <v>36</v>
      </c>
      <c r="Y17" t="s">
        <v>36</v>
      </c>
      <c r="Z17" t="s">
        <v>36</v>
      </c>
      <c r="AA17" t="s">
        <v>36</v>
      </c>
      <c r="AB17" t="s">
        <v>36</v>
      </c>
      <c r="AC17" t="s">
        <v>36</v>
      </c>
      <c r="AD17" t="s">
        <v>36</v>
      </c>
      <c r="AE17" t="s">
        <v>36</v>
      </c>
      <c r="AF17" s="1">
        <v>43536.395833333336</v>
      </c>
      <c r="AG17" t="s">
        <v>36</v>
      </c>
      <c r="AH17" t="s">
        <v>36</v>
      </c>
      <c r="AI17" s="1">
        <v>43536.395833333336</v>
      </c>
      <c r="AJ17" s="1">
        <v>43536.395833333336</v>
      </c>
    </row>
    <row r="18" spans="1:36" x14ac:dyDescent="0.35">
      <c r="A18">
        <v>3525</v>
      </c>
      <c r="B18" t="s">
        <v>319</v>
      </c>
      <c r="C18" t="s">
        <v>36</v>
      </c>
      <c r="D18" t="s">
        <v>36</v>
      </c>
      <c r="E18" t="s">
        <v>36</v>
      </c>
      <c r="F18" t="s">
        <v>36</v>
      </c>
      <c r="G18" s="1">
        <v>43536.375</v>
      </c>
      <c r="H18" t="s">
        <v>36</v>
      </c>
      <c r="I18" t="s">
        <v>36</v>
      </c>
      <c r="J18" t="s">
        <v>36</v>
      </c>
      <c r="K18" t="s">
        <v>36</v>
      </c>
      <c r="L18" t="s">
        <v>36</v>
      </c>
      <c r="M18" t="s">
        <v>36</v>
      </c>
      <c r="N18" t="s">
        <v>36</v>
      </c>
      <c r="O18" t="s">
        <v>36</v>
      </c>
      <c r="P18" s="1">
        <v>43536.395833333336</v>
      </c>
      <c r="Q18" t="s">
        <v>36</v>
      </c>
      <c r="R18" t="s">
        <v>36</v>
      </c>
      <c r="S18" s="1">
        <v>43466.631944444445</v>
      </c>
      <c r="T18" s="1">
        <v>43542.381944444445</v>
      </c>
      <c r="U18" t="s">
        <v>36</v>
      </c>
      <c r="V18" t="s">
        <v>36</v>
      </c>
      <c r="W18" s="1">
        <v>43536.395833333336</v>
      </c>
      <c r="X18" t="s">
        <v>36</v>
      </c>
      <c r="Y18" t="s">
        <v>36</v>
      </c>
      <c r="Z18" t="s">
        <v>36</v>
      </c>
      <c r="AA18" t="s">
        <v>36</v>
      </c>
      <c r="AB18" t="s">
        <v>36</v>
      </c>
      <c r="AC18" t="s">
        <v>36</v>
      </c>
      <c r="AD18" t="s">
        <v>36</v>
      </c>
      <c r="AE18" t="s">
        <v>36</v>
      </c>
      <c r="AF18" s="1">
        <v>43536.395833333336</v>
      </c>
      <c r="AG18" t="s">
        <v>36</v>
      </c>
      <c r="AH18" t="s">
        <v>36</v>
      </c>
      <c r="AI18" s="1">
        <v>43536.395833333336</v>
      </c>
      <c r="AJ18" s="1">
        <v>43536.395833333336</v>
      </c>
    </row>
    <row r="19" spans="1:36" x14ac:dyDescent="0.35">
      <c r="A19">
        <v>81</v>
      </c>
      <c r="B19" t="s">
        <v>94</v>
      </c>
      <c r="C19" t="s">
        <v>36</v>
      </c>
      <c r="D19" t="s">
        <v>36</v>
      </c>
      <c r="E19" t="s">
        <v>36</v>
      </c>
      <c r="F19" t="s">
        <v>36</v>
      </c>
      <c r="G19" s="1">
        <v>42482.388888888891</v>
      </c>
      <c r="H19" t="s">
        <v>36</v>
      </c>
      <c r="I19" t="s">
        <v>36</v>
      </c>
      <c r="J19" s="1">
        <v>42995.930555555555</v>
      </c>
      <c r="K19" t="s">
        <v>36</v>
      </c>
      <c r="L19" s="1">
        <v>42940.347222222219</v>
      </c>
      <c r="M19" t="s">
        <v>36</v>
      </c>
      <c r="N19" t="s">
        <v>36</v>
      </c>
      <c r="O19" t="s">
        <v>36</v>
      </c>
      <c r="P19" s="1">
        <v>42482.381944444445</v>
      </c>
      <c r="Q19" t="s">
        <v>36</v>
      </c>
      <c r="R19" t="s">
        <v>36</v>
      </c>
      <c r="S19" s="1">
        <v>43227.3125</v>
      </c>
      <c r="T19" s="1">
        <v>42492.868055555555</v>
      </c>
      <c r="U19" t="s">
        <v>36</v>
      </c>
      <c r="V19" t="s">
        <v>36</v>
      </c>
      <c r="W19" s="1">
        <v>39599.958333333336</v>
      </c>
      <c r="X19" t="s">
        <v>36</v>
      </c>
      <c r="Y19" t="s">
        <v>36</v>
      </c>
      <c r="Z19" t="s">
        <v>36</v>
      </c>
      <c r="AA19" t="s">
        <v>36</v>
      </c>
      <c r="AB19" t="s">
        <v>36</v>
      </c>
      <c r="AC19" t="s">
        <v>36</v>
      </c>
      <c r="AD19" t="s">
        <v>36</v>
      </c>
      <c r="AE19" t="s">
        <v>36</v>
      </c>
      <c r="AF19" s="1">
        <v>42492.493055555555</v>
      </c>
      <c r="AG19" t="s">
        <v>36</v>
      </c>
      <c r="AH19" t="s">
        <v>36</v>
      </c>
      <c r="AI19" s="1">
        <v>42492.895833333336</v>
      </c>
      <c r="AJ19" s="1">
        <v>42496.548611111109</v>
      </c>
    </row>
    <row r="20" spans="1:36" x14ac:dyDescent="0.35">
      <c r="A20">
        <v>3526</v>
      </c>
      <c r="B20" t="s">
        <v>320</v>
      </c>
      <c r="C20" t="s">
        <v>36</v>
      </c>
      <c r="D20" t="s">
        <v>36</v>
      </c>
      <c r="E20" t="s">
        <v>36</v>
      </c>
      <c r="F20" t="s">
        <v>36</v>
      </c>
      <c r="G20" s="1">
        <v>43536.375</v>
      </c>
      <c r="H20" t="s">
        <v>36</v>
      </c>
      <c r="I20" t="s">
        <v>36</v>
      </c>
      <c r="J20" t="s">
        <v>36</v>
      </c>
      <c r="K20" t="s">
        <v>36</v>
      </c>
      <c r="L20" t="s">
        <v>36</v>
      </c>
      <c r="M20" t="s">
        <v>36</v>
      </c>
      <c r="N20" t="s">
        <v>36</v>
      </c>
      <c r="O20" t="s">
        <v>36</v>
      </c>
      <c r="P20" s="1">
        <v>43536.395833333336</v>
      </c>
      <c r="Q20" t="s">
        <v>36</v>
      </c>
      <c r="R20" t="s">
        <v>36</v>
      </c>
      <c r="S20" s="1">
        <v>43466.631944444445</v>
      </c>
      <c r="T20" s="1">
        <v>43542.381944444445</v>
      </c>
      <c r="U20" t="s">
        <v>36</v>
      </c>
      <c r="V20" t="s">
        <v>36</v>
      </c>
      <c r="W20" s="1">
        <v>43536.395833333336</v>
      </c>
      <c r="X20" t="s">
        <v>36</v>
      </c>
      <c r="Y20" t="s">
        <v>36</v>
      </c>
      <c r="Z20" t="s">
        <v>36</v>
      </c>
      <c r="AA20" t="s">
        <v>36</v>
      </c>
      <c r="AB20" t="s">
        <v>36</v>
      </c>
      <c r="AC20" t="s">
        <v>36</v>
      </c>
      <c r="AD20" t="s">
        <v>36</v>
      </c>
      <c r="AE20" t="s">
        <v>36</v>
      </c>
      <c r="AF20" s="1">
        <v>43536.395833333336</v>
      </c>
      <c r="AG20" t="s">
        <v>36</v>
      </c>
      <c r="AH20" t="s">
        <v>36</v>
      </c>
      <c r="AI20" s="1">
        <v>43536.395833333336</v>
      </c>
      <c r="AJ20" s="1">
        <v>43536.395833333336</v>
      </c>
    </row>
    <row r="21" spans="1:36" x14ac:dyDescent="0.35">
      <c r="A21">
        <v>3527</v>
      </c>
      <c r="B21" t="s">
        <v>321</v>
      </c>
      <c r="C21" t="s">
        <v>36</v>
      </c>
      <c r="D21" t="s">
        <v>36</v>
      </c>
      <c r="E21" t="s">
        <v>36</v>
      </c>
      <c r="F21" t="s">
        <v>36</v>
      </c>
      <c r="G21" s="1">
        <v>43536.375</v>
      </c>
      <c r="H21" t="s">
        <v>36</v>
      </c>
      <c r="I21" t="s">
        <v>36</v>
      </c>
      <c r="J21" t="s">
        <v>36</v>
      </c>
      <c r="K21" t="s">
        <v>36</v>
      </c>
      <c r="L21" t="s">
        <v>36</v>
      </c>
      <c r="M21" t="s">
        <v>36</v>
      </c>
      <c r="N21" t="s">
        <v>36</v>
      </c>
      <c r="O21" t="s">
        <v>36</v>
      </c>
      <c r="P21" s="1">
        <v>43536.395833333336</v>
      </c>
      <c r="Q21" t="s">
        <v>36</v>
      </c>
      <c r="R21" t="s">
        <v>36</v>
      </c>
      <c r="S21" s="1">
        <v>43466.631944444445</v>
      </c>
      <c r="T21" s="1">
        <v>43542.381944444445</v>
      </c>
      <c r="U21" t="s">
        <v>36</v>
      </c>
      <c r="V21" t="s">
        <v>36</v>
      </c>
      <c r="W21" s="1">
        <v>43536.395833333336</v>
      </c>
      <c r="X21" t="s">
        <v>36</v>
      </c>
      <c r="Y21" t="s">
        <v>36</v>
      </c>
      <c r="Z21" t="s">
        <v>36</v>
      </c>
      <c r="AA21" t="s">
        <v>36</v>
      </c>
      <c r="AB21" t="s">
        <v>36</v>
      </c>
      <c r="AC21" t="s">
        <v>36</v>
      </c>
      <c r="AD21" t="s">
        <v>36</v>
      </c>
      <c r="AE21" t="s">
        <v>36</v>
      </c>
      <c r="AF21" s="1">
        <v>43536.395833333336</v>
      </c>
      <c r="AG21" t="s">
        <v>36</v>
      </c>
      <c r="AH21" t="s">
        <v>36</v>
      </c>
      <c r="AI21" s="1">
        <v>43536.395833333336</v>
      </c>
      <c r="AJ21" s="1">
        <v>43536.395833333336</v>
      </c>
    </row>
    <row r="22" spans="1:36" x14ac:dyDescent="0.35">
      <c r="A22">
        <v>3528</v>
      </c>
      <c r="B22" t="s">
        <v>322</v>
      </c>
      <c r="C22" t="s">
        <v>36</v>
      </c>
      <c r="D22" t="s">
        <v>36</v>
      </c>
      <c r="E22" t="s">
        <v>36</v>
      </c>
      <c r="F22" t="s">
        <v>36</v>
      </c>
      <c r="G22" s="1">
        <v>43536.375</v>
      </c>
      <c r="H22" t="s">
        <v>36</v>
      </c>
      <c r="I22" t="s">
        <v>36</v>
      </c>
      <c r="J22" t="s">
        <v>36</v>
      </c>
      <c r="K22" t="s">
        <v>36</v>
      </c>
      <c r="L22" t="s">
        <v>36</v>
      </c>
      <c r="M22" t="s">
        <v>36</v>
      </c>
      <c r="N22" t="s">
        <v>36</v>
      </c>
      <c r="O22" t="s">
        <v>36</v>
      </c>
      <c r="P22" s="1">
        <v>43536.395833333336</v>
      </c>
      <c r="Q22" t="s">
        <v>36</v>
      </c>
      <c r="R22" t="s">
        <v>36</v>
      </c>
      <c r="S22" s="1">
        <v>43466.631944444445</v>
      </c>
      <c r="T22" s="1">
        <v>43542.381944444445</v>
      </c>
      <c r="U22" t="s">
        <v>36</v>
      </c>
      <c r="V22" t="s">
        <v>36</v>
      </c>
      <c r="W22" s="1">
        <v>43536.395833333336</v>
      </c>
      <c r="X22" t="s">
        <v>36</v>
      </c>
      <c r="Y22" t="s">
        <v>36</v>
      </c>
      <c r="Z22" t="s">
        <v>36</v>
      </c>
      <c r="AA22" t="s">
        <v>36</v>
      </c>
      <c r="AB22" t="s">
        <v>36</v>
      </c>
      <c r="AC22" t="s">
        <v>36</v>
      </c>
      <c r="AD22" t="s">
        <v>36</v>
      </c>
      <c r="AE22" t="s">
        <v>36</v>
      </c>
      <c r="AF22" s="1">
        <v>43536.395833333336</v>
      </c>
      <c r="AG22" t="s">
        <v>36</v>
      </c>
      <c r="AH22" t="s">
        <v>36</v>
      </c>
      <c r="AI22" s="1">
        <v>43536.395833333336</v>
      </c>
      <c r="AJ22" s="1">
        <v>43536.395833333336</v>
      </c>
    </row>
    <row r="23" spans="1:36" x14ac:dyDescent="0.35">
      <c r="A23">
        <v>82</v>
      </c>
      <c r="B23" t="s">
        <v>95</v>
      </c>
      <c r="C23" t="s">
        <v>36</v>
      </c>
      <c r="D23" t="s">
        <v>36</v>
      </c>
      <c r="E23" t="s">
        <v>36</v>
      </c>
      <c r="F23" t="s">
        <v>36</v>
      </c>
      <c r="G23" s="1">
        <v>42482.388888888891</v>
      </c>
      <c r="H23" t="s">
        <v>36</v>
      </c>
      <c r="I23" t="s">
        <v>36</v>
      </c>
      <c r="J23" s="1">
        <v>42995.930555555555</v>
      </c>
      <c r="K23" t="s">
        <v>36</v>
      </c>
      <c r="L23" s="1">
        <v>42940.347222222219</v>
      </c>
      <c r="M23" t="s">
        <v>36</v>
      </c>
      <c r="N23" t="s">
        <v>36</v>
      </c>
      <c r="O23" t="s">
        <v>36</v>
      </c>
      <c r="P23" s="1">
        <v>42482.381944444445</v>
      </c>
      <c r="Q23" t="s">
        <v>36</v>
      </c>
      <c r="R23" t="s">
        <v>36</v>
      </c>
      <c r="S23" s="1">
        <v>43227.3125</v>
      </c>
      <c r="T23" s="1">
        <v>42492.868055555555</v>
      </c>
      <c r="U23" t="s">
        <v>36</v>
      </c>
      <c r="V23" t="s">
        <v>36</v>
      </c>
      <c r="W23" s="1">
        <v>39599.958333333336</v>
      </c>
      <c r="X23" t="s">
        <v>36</v>
      </c>
      <c r="Y23" t="s">
        <v>36</v>
      </c>
      <c r="Z23" t="s">
        <v>36</v>
      </c>
      <c r="AA23" t="s">
        <v>36</v>
      </c>
      <c r="AB23" t="s">
        <v>36</v>
      </c>
      <c r="AC23" t="s">
        <v>36</v>
      </c>
      <c r="AD23" t="s">
        <v>36</v>
      </c>
      <c r="AE23" t="s">
        <v>36</v>
      </c>
      <c r="AF23" s="1">
        <v>42492.493055555555</v>
      </c>
      <c r="AG23" t="s">
        <v>36</v>
      </c>
      <c r="AH23" t="s">
        <v>36</v>
      </c>
      <c r="AI23" s="1">
        <v>42492.895833333336</v>
      </c>
      <c r="AJ23" s="1">
        <v>42496.548611111109</v>
      </c>
    </row>
    <row r="24" spans="1:36" x14ac:dyDescent="0.35">
      <c r="A24">
        <v>3529</v>
      </c>
      <c r="B24" t="s">
        <v>323</v>
      </c>
      <c r="C24" t="s">
        <v>36</v>
      </c>
      <c r="D24" t="s">
        <v>36</v>
      </c>
      <c r="E24" t="s">
        <v>36</v>
      </c>
      <c r="F24" t="s">
        <v>36</v>
      </c>
      <c r="G24" s="1">
        <v>43536.375</v>
      </c>
      <c r="H24" t="s">
        <v>36</v>
      </c>
      <c r="I24" t="s">
        <v>36</v>
      </c>
      <c r="J24" t="s">
        <v>36</v>
      </c>
      <c r="K24" t="s">
        <v>36</v>
      </c>
      <c r="L24" t="s">
        <v>36</v>
      </c>
      <c r="M24" t="s">
        <v>36</v>
      </c>
      <c r="N24" t="s">
        <v>36</v>
      </c>
      <c r="O24" t="s">
        <v>36</v>
      </c>
      <c r="P24" s="1">
        <v>43536.395833333336</v>
      </c>
      <c r="Q24" t="s">
        <v>36</v>
      </c>
      <c r="R24" t="s">
        <v>36</v>
      </c>
      <c r="S24" s="1">
        <v>43466.631944444445</v>
      </c>
      <c r="T24" s="1">
        <v>43542.381944444445</v>
      </c>
      <c r="U24" t="s">
        <v>36</v>
      </c>
      <c r="V24" t="s">
        <v>36</v>
      </c>
      <c r="W24" s="1">
        <v>43536.395833333336</v>
      </c>
      <c r="X24" t="s">
        <v>36</v>
      </c>
      <c r="Y24" t="s">
        <v>36</v>
      </c>
      <c r="Z24" t="s">
        <v>36</v>
      </c>
      <c r="AA24" t="s">
        <v>36</v>
      </c>
      <c r="AB24" t="s">
        <v>36</v>
      </c>
      <c r="AC24" t="s">
        <v>36</v>
      </c>
      <c r="AD24" t="s">
        <v>36</v>
      </c>
      <c r="AE24" t="s">
        <v>36</v>
      </c>
      <c r="AF24" s="1">
        <v>43536.395833333336</v>
      </c>
      <c r="AG24" t="s">
        <v>36</v>
      </c>
      <c r="AH24" t="s">
        <v>36</v>
      </c>
      <c r="AI24" s="1">
        <v>43536.395833333336</v>
      </c>
      <c r="AJ24" s="1">
        <v>43536.395833333336</v>
      </c>
    </row>
    <row r="25" spans="1:36" x14ac:dyDescent="0.35">
      <c r="A25">
        <v>3530</v>
      </c>
      <c r="B25" t="s">
        <v>324</v>
      </c>
      <c r="C25" t="s">
        <v>36</v>
      </c>
      <c r="D25" t="s">
        <v>36</v>
      </c>
      <c r="E25" t="s">
        <v>36</v>
      </c>
      <c r="F25" t="s">
        <v>36</v>
      </c>
      <c r="G25" s="1">
        <v>43536.375</v>
      </c>
      <c r="H25" t="s">
        <v>36</v>
      </c>
      <c r="I25" t="s">
        <v>36</v>
      </c>
      <c r="J25" t="s">
        <v>36</v>
      </c>
      <c r="K25" t="s">
        <v>36</v>
      </c>
      <c r="L25" t="s">
        <v>36</v>
      </c>
      <c r="M25" t="s">
        <v>36</v>
      </c>
      <c r="N25" t="s">
        <v>36</v>
      </c>
      <c r="O25" t="s">
        <v>36</v>
      </c>
      <c r="P25" s="1">
        <v>43536.395833333336</v>
      </c>
      <c r="Q25" t="s">
        <v>36</v>
      </c>
      <c r="R25" t="s">
        <v>36</v>
      </c>
      <c r="S25" s="1">
        <v>43466.631944444445</v>
      </c>
      <c r="T25" s="1">
        <v>43542.381944444445</v>
      </c>
      <c r="U25" t="s">
        <v>36</v>
      </c>
      <c r="V25" t="s">
        <v>36</v>
      </c>
      <c r="W25" s="1">
        <v>43536.395833333336</v>
      </c>
      <c r="X25" t="s">
        <v>36</v>
      </c>
      <c r="Y25" t="s">
        <v>36</v>
      </c>
      <c r="Z25" t="s">
        <v>36</v>
      </c>
      <c r="AA25" t="s">
        <v>36</v>
      </c>
      <c r="AB25" t="s">
        <v>36</v>
      </c>
      <c r="AC25" t="s">
        <v>36</v>
      </c>
      <c r="AD25" t="s">
        <v>36</v>
      </c>
      <c r="AE25" t="s">
        <v>36</v>
      </c>
      <c r="AF25" s="1">
        <v>43536.395833333336</v>
      </c>
      <c r="AG25" t="s">
        <v>36</v>
      </c>
      <c r="AH25" t="s">
        <v>36</v>
      </c>
      <c r="AI25" s="1">
        <v>43536.395833333336</v>
      </c>
      <c r="AJ25" s="1">
        <v>43536.395833333336</v>
      </c>
    </row>
    <row r="26" spans="1:36" x14ac:dyDescent="0.35">
      <c r="A26">
        <v>3531</v>
      </c>
      <c r="B26" t="s">
        <v>325</v>
      </c>
      <c r="C26" t="s">
        <v>36</v>
      </c>
      <c r="D26" t="s">
        <v>36</v>
      </c>
      <c r="E26" t="s">
        <v>36</v>
      </c>
      <c r="F26" t="s">
        <v>36</v>
      </c>
      <c r="G26" s="1">
        <v>43536.375</v>
      </c>
      <c r="H26" t="s">
        <v>36</v>
      </c>
      <c r="I26" t="s">
        <v>36</v>
      </c>
      <c r="J26" t="s">
        <v>36</v>
      </c>
      <c r="K26" t="s">
        <v>36</v>
      </c>
      <c r="L26" t="s">
        <v>36</v>
      </c>
      <c r="M26" t="s">
        <v>36</v>
      </c>
      <c r="N26" t="s">
        <v>36</v>
      </c>
      <c r="O26" t="s">
        <v>36</v>
      </c>
      <c r="P26" s="1">
        <v>43536.395833333336</v>
      </c>
      <c r="Q26" t="s">
        <v>36</v>
      </c>
      <c r="R26" t="s">
        <v>36</v>
      </c>
      <c r="S26" s="1">
        <v>43466.631944444445</v>
      </c>
      <c r="T26" s="1">
        <v>43542.381944444445</v>
      </c>
      <c r="U26" t="s">
        <v>36</v>
      </c>
      <c r="V26" t="s">
        <v>36</v>
      </c>
      <c r="W26" s="1">
        <v>43536.395833333336</v>
      </c>
      <c r="X26" t="s">
        <v>36</v>
      </c>
      <c r="Y26" t="s">
        <v>36</v>
      </c>
      <c r="Z26" t="s">
        <v>36</v>
      </c>
      <c r="AA26" t="s">
        <v>36</v>
      </c>
      <c r="AB26" t="s">
        <v>36</v>
      </c>
      <c r="AC26" t="s">
        <v>36</v>
      </c>
      <c r="AD26" t="s">
        <v>36</v>
      </c>
      <c r="AE26" t="s">
        <v>36</v>
      </c>
      <c r="AF26" s="1">
        <v>43536.395833333336</v>
      </c>
      <c r="AG26" t="s">
        <v>36</v>
      </c>
      <c r="AH26" t="s">
        <v>36</v>
      </c>
      <c r="AI26" s="1">
        <v>43536.395833333336</v>
      </c>
      <c r="AJ26" s="1">
        <v>43536.395833333336</v>
      </c>
    </row>
    <row r="27" spans="1:36" x14ac:dyDescent="0.35">
      <c r="A27">
        <v>15</v>
      </c>
      <c r="B27" t="s">
        <v>50</v>
      </c>
      <c r="C27" t="s">
        <v>36</v>
      </c>
      <c r="D27" t="s">
        <v>36</v>
      </c>
      <c r="E27" t="s">
        <v>36</v>
      </c>
      <c r="F27" t="s">
        <v>36</v>
      </c>
      <c r="G27" t="s">
        <v>36</v>
      </c>
      <c r="H27" t="s">
        <v>36</v>
      </c>
      <c r="I27" t="s">
        <v>36</v>
      </c>
      <c r="J27" t="s">
        <v>36</v>
      </c>
      <c r="K27" t="s">
        <v>36</v>
      </c>
      <c r="L27" t="s">
        <v>36</v>
      </c>
      <c r="M27" t="s">
        <v>36</v>
      </c>
      <c r="N27" t="s">
        <v>36</v>
      </c>
      <c r="O27" t="s">
        <v>36</v>
      </c>
      <c r="P27" t="s">
        <v>36</v>
      </c>
      <c r="Q27" s="1">
        <v>40911.534722222219</v>
      </c>
      <c r="R27" t="s">
        <v>36</v>
      </c>
      <c r="S27" t="s">
        <v>36</v>
      </c>
      <c r="T27" t="s">
        <v>36</v>
      </c>
      <c r="U27" t="s">
        <v>36</v>
      </c>
      <c r="V27" t="s">
        <v>36</v>
      </c>
      <c r="W27" t="s">
        <v>36</v>
      </c>
      <c r="X27" t="s">
        <v>36</v>
      </c>
      <c r="Y27" t="s">
        <v>36</v>
      </c>
      <c r="Z27" t="s">
        <v>36</v>
      </c>
      <c r="AA27" t="s">
        <v>36</v>
      </c>
      <c r="AB27" t="s">
        <v>36</v>
      </c>
      <c r="AC27" t="s">
        <v>36</v>
      </c>
      <c r="AD27" t="s">
        <v>36</v>
      </c>
      <c r="AE27" t="s">
        <v>36</v>
      </c>
      <c r="AF27" t="s">
        <v>36</v>
      </c>
      <c r="AG27" t="s">
        <v>36</v>
      </c>
      <c r="AH27" t="s">
        <v>36</v>
      </c>
      <c r="AI27" t="s">
        <v>36</v>
      </c>
      <c r="AJ27" t="s">
        <v>36</v>
      </c>
    </row>
    <row r="28" spans="1:36" x14ac:dyDescent="0.35">
      <c r="A28">
        <v>12</v>
      </c>
      <c r="B28" t="s">
        <v>47</v>
      </c>
      <c r="C28" t="s">
        <v>36</v>
      </c>
      <c r="D28" t="s">
        <v>36</v>
      </c>
      <c r="E28" t="s">
        <v>36</v>
      </c>
      <c r="F28" t="s">
        <v>36</v>
      </c>
      <c r="G28" t="s">
        <v>36</v>
      </c>
      <c r="H28" t="s">
        <v>36</v>
      </c>
      <c r="I28" t="s">
        <v>36</v>
      </c>
      <c r="J28" t="s">
        <v>36</v>
      </c>
      <c r="K28" t="s">
        <v>36</v>
      </c>
      <c r="L28" t="s">
        <v>36</v>
      </c>
      <c r="M28" t="s">
        <v>36</v>
      </c>
      <c r="N28" t="s">
        <v>36</v>
      </c>
      <c r="O28" t="s">
        <v>36</v>
      </c>
      <c r="P28" t="s">
        <v>36</v>
      </c>
      <c r="Q28" s="1">
        <v>40911.534722222219</v>
      </c>
      <c r="R28" t="s">
        <v>36</v>
      </c>
      <c r="S28" t="s">
        <v>36</v>
      </c>
      <c r="T28" t="s">
        <v>36</v>
      </c>
      <c r="U28" t="s">
        <v>36</v>
      </c>
      <c r="V28" t="s">
        <v>36</v>
      </c>
      <c r="W28" t="s">
        <v>36</v>
      </c>
      <c r="X28" t="s">
        <v>36</v>
      </c>
      <c r="Y28" t="s">
        <v>36</v>
      </c>
      <c r="Z28" t="s">
        <v>36</v>
      </c>
      <c r="AA28" t="s">
        <v>36</v>
      </c>
      <c r="AB28" t="s">
        <v>36</v>
      </c>
      <c r="AC28" t="s">
        <v>36</v>
      </c>
      <c r="AD28" t="s">
        <v>36</v>
      </c>
      <c r="AE28" t="s">
        <v>36</v>
      </c>
      <c r="AF28" t="s">
        <v>36</v>
      </c>
      <c r="AG28" t="s">
        <v>36</v>
      </c>
      <c r="AH28" t="s">
        <v>36</v>
      </c>
      <c r="AI28" t="s">
        <v>36</v>
      </c>
      <c r="AJ28" t="s">
        <v>36</v>
      </c>
    </row>
    <row r="29" spans="1:36" x14ac:dyDescent="0.35">
      <c r="A29">
        <v>18</v>
      </c>
      <c r="B29" t="s">
        <v>53</v>
      </c>
      <c r="C29" t="s">
        <v>36</v>
      </c>
      <c r="D29" t="s">
        <v>36</v>
      </c>
      <c r="E29" t="s">
        <v>36</v>
      </c>
      <c r="F29" t="s">
        <v>36</v>
      </c>
      <c r="G29" t="s">
        <v>36</v>
      </c>
      <c r="H29" t="s">
        <v>36</v>
      </c>
      <c r="I29" t="s">
        <v>36</v>
      </c>
      <c r="J29" t="s">
        <v>36</v>
      </c>
      <c r="K29" t="s">
        <v>36</v>
      </c>
      <c r="L29" t="s">
        <v>36</v>
      </c>
      <c r="M29" t="s">
        <v>36</v>
      </c>
      <c r="N29" t="s">
        <v>36</v>
      </c>
      <c r="O29" t="s">
        <v>36</v>
      </c>
      <c r="P29" t="s">
        <v>36</v>
      </c>
      <c r="Q29" s="1">
        <v>40911.534722222219</v>
      </c>
      <c r="R29" t="s">
        <v>36</v>
      </c>
      <c r="S29" t="s">
        <v>36</v>
      </c>
      <c r="T29" t="s">
        <v>36</v>
      </c>
      <c r="U29" t="s">
        <v>36</v>
      </c>
      <c r="V29" t="s">
        <v>36</v>
      </c>
      <c r="W29" t="s">
        <v>36</v>
      </c>
      <c r="X29" t="s">
        <v>36</v>
      </c>
      <c r="Y29" t="s">
        <v>36</v>
      </c>
      <c r="Z29" t="s">
        <v>36</v>
      </c>
      <c r="AA29" t="s">
        <v>36</v>
      </c>
      <c r="AB29" t="s">
        <v>36</v>
      </c>
      <c r="AC29" t="s">
        <v>36</v>
      </c>
      <c r="AD29" t="s">
        <v>36</v>
      </c>
      <c r="AE29" t="s">
        <v>36</v>
      </c>
      <c r="AF29" t="s">
        <v>36</v>
      </c>
      <c r="AG29" t="s">
        <v>36</v>
      </c>
      <c r="AH29" t="s">
        <v>36</v>
      </c>
      <c r="AI29" t="s">
        <v>36</v>
      </c>
      <c r="AJ29" t="s">
        <v>36</v>
      </c>
    </row>
    <row r="30" spans="1:36" x14ac:dyDescent="0.35">
      <c r="A30">
        <v>16</v>
      </c>
      <c r="B30" t="s">
        <v>51</v>
      </c>
      <c r="C30" t="s">
        <v>36</v>
      </c>
      <c r="D30" t="s">
        <v>36</v>
      </c>
      <c r="E30" t="s">
        <v>36</v>
      </c>
      <c r="F30" t="s">
        <v>36</v>
      </c>
      <c r="G30" t="s">
        <v>36</v>
      </c>
      <c r="H30" t="s">
        <v>36</v>
      </c>
      <c r="I30" t="s">
        <v>36</v>
      </c>
      <c r="J30" t="s">
        <v>36</v>
      </c>
      <c r="K30" t="s">
        <v>36</v>
      </c>
      <c r="L30" t="s">
        <v>36</v>
      </c>
      <c r="M30" t="s">
        <v>36</v>
      </c>
      <c r="N30" t="s">
        <v>36</v>
      </c>
      <c r="O30" t="s">
        <v>36</v>
      </c>
      <c r="P30" t="s">
        <v>36</v>
      </c>
      <c r="Q30" s="1">
        <v>40911.534722222219</v>
      </c>
      <c r="R30" t="s">
        <v>36</v>
      </c>
      <c r="S30" t="s">
        <v>36</v>
      </c>
      <c r="T30" t="s">
        <v>36</v>
      </c>
      <c r="U30" t="s">
        <v>36</v>
      </c>
      <c r="V30" t="s">
        <v>36</v>
      </c>
      <c r="W30" t="s">
        <v>36</v>
      </c>
      <c r="X30" t="s">
        <v>36</v>
      </c>
      <c r="Y30" t="s">
        <v>36</v>
      </c>
      <c r="Z30" t="s">
        <v>36</v>
      </c>
      <c r="AA30" t="s">
        <v>36</v>
      </c>
      <c r="AB30" t="s">
        <v>36</v>
      </c>
      <c r="AC30" t="s">
        <v>36</v>
      </c>
      <c r="AD30" t="s">
        <v>36</v>
      </c>
      <c r="AE30" t="s">
        <v>36</v>
      </c>
      <c r="AF30" t="s">
        <v>36</v>
      </c>
      <c r="AG30" t="s">
        <v>36</v>
      </c>
      <c r="AH30" t="s">
        <v>36</v>
      </c>
      <c r="AI30" t="s">
        <v>36</v>
      </c>
      <c r="AJ30" t="s">
        <v>36</v>
      </c>
    </row>
    <row r="31" spans="1:36" x14ac:dyDescent="0.35">
      <c r="A31">
        <v>13</v>
      </c>
      <c r="B31" t="s">
        <v>48</v>
      </c>
      <c r="C31" t="s">
        <v>36</v>
      </c>
      <c r="D31" t="s">
        <v>36</v>
      </c>
      <c r="E31" t="s">
        <v>36</v>
      </c>
      <c r="F31" t="s">
        <v>36</v>
      </c>
      <c r="G31" t="s">
        <v>36</v>
      </c>
      <c r="H31" t="s">
        <v>36</v>
      </c>
      <c r="I31" t="s">
        <v>36</v>
      </c>
      <c r="J31" t="s">
        <v>36</v>
      </c>
      <c r="K31" t="s">
        <v>36</v>
      </c>
      <c r="L31" t="s">
        <v>36</v>
      </c>
      <c r="M31" t="s">
        <v>36</v>
      </c>
      <c r="N31" t="s">
        <v>36</v>
      </c>
      <c r="O31" t="s">
        <v>36</v>
      </c>
      <c r="P31" t="s">
        <v>36</v>
      </c>
      <c r="Q31" s="1">
        <v>40911.534722222219</v>
      </c>
      <c r="R31" t="s">
        <v>36</v>
      </c>
      <c r="S31" t="s">
        <v>36</v>
      </c>
      <c r="T31" t="s">
        <v>36</v>
      </c>
      <c r="U31" t="s">
        <v>36</v>
      </c>
      <c r="V31" t="s">
        <v>36</v>
      </c>
      <c r="W31" t="s">
        <v>36</v>
      </c>
      <c r="X31" t="s">
        <v>36</v>
      </c>
      <c r="Y31" t="s">
        <v>36</v>
      </c>
      <c r="Z31" t="s">
        <v>36</v>
      </c>
      <c r="AA31" t="s">
        <v>36</v>
      </c>
      <c r="AB31" t="s">
        <v>36</v>
      </c>
      <c r="AC31" t="s">
        <v>36</v>
      </c>
      <c r="AD31" t="s">
        <v>36</v>
      </c>
      <c r="AE31" t="s">
        <v>36</v>
      </c>
      <c r="AF31" t="s">
        <v>36</v>
      </c>
      <c r="AG31" t="s">
        <v>36</v>
      </c>
      <c r="AH31" t="s">
        <v>36</v>
      </c>
      <c r="AI31" t="s">
        <v>36</v>
      </c>
      <c r="AJ31" t="s">
        <v>36</v>
      </c>
    </row>
    <row r="32" spans="1:36" x14ac:dyDescent="0.35">
      <c r="A32">
        <v>19</v>
      </c>
      <c r="B32" t="s">
        <v>54</v>
      </c>
      <c r="C32" t="s">
        <v>36</v>
      </c>
      <c r="D32" t="s">
        <v>36</v>
      </c>
      <c r="E32" t="s">
        <v>36</v>
      </c>
      <c r="F32" t="s">
        <v>36</v>
      </c>
      <c r="G32" t="s">
        <v>36</v>
      </c>
      <c r="H32" t="s">
        <v>36</v>
      </c>
      <c r="I32" t="s">
        <v>36</v>
      </c>
      <c r="J32" t="s">
        <v>36</v>
      </c>
      <c r="K32" t="s">
        <v>36</v>
      </c>
      <c r="L32" t="s">
        <v>36</v>
      </c>
      <c r="M32" t="s">
        <v>36</v>
      </c>
      <c r="N32" t="s">
        <v>36</v>
      </c>
      <c r="O32" t="s">
        <v>36</v>
      </c>
      <c r="P32" t="s">
        <v>36</v>
      </c>
      <c r="Q32" s="1">
        <v>40911.534722222219</v>
      </c>
      <c r="R32" t="s">
        <v>36</v>
      </c>
      <c r="S32" t="s">
        <v>36</v>
      </c>
      <c r="T32" t="s">
        <v>36</v>
      </c>
      <c r="U32" t="s">
        <v>36</v>
      </c>
      <c r="V32" t="s">
        <v>36</v>
      </c>
      <c r="W32" t="s">
        <v>36</v>
      </c>
      <c r="X32" t="s">
        <v>36</v>
      </c>
      <c r="Y32" t="s">
        <v>36</v>
      </c>
      <c r="Z32" t="s">
        <v>36</v>
      </c>
      <c r="AA32" t="s">
        <v>36</v>
      </c>
      <c r="AB32" t="s">
        <v>36</v>
      </c>
      <c r="AC32" t="s">
        <v>36</v>
      </c>
      <c r="AD32" t="s">
        <v>36</v>
      </c>
      <c r="AE32" t="s">
        <v>36</v>
      </c>
      <c r="AF32" t="s">
        <v>36</v>
      </c>
      <c r="AG32" t="s">
        <v>36</v>
      </c>
      <c r="AH32" t="s">
        <v>36</v>
      </c>
      <c r="AI32" t="s">
        <v>36</v>
      </c>
      <c r="AJ32" t="s">
        <v>36</v>
      </c>
    </row>
    <row r="33" spans="1:36" x14ac:dyDescent="0.35">
      <c r="A33">
        <v>84</v>
      </c>
      <c r="B33" t="s">
        <v>97</v>
      </c>
      <c r="C33" t="s">
        <v>36</v>
      </c>
      <c r="D33" t="s">
        <v>36</v>
      </c>
      <c r="E33" t="s">
        <v>36</v>
      </c>
      <c r="F33" t="s">
        <v>36</v>
      </c>
      <c r="G33" s="1">
        <v>41426</v>
      </c>
      <c r="H33" t="s">
        <v>36</v>
      </c>
      <c r="I33" t="s">
        <v>36</v>
      </c>
      <c r="J33" s="1">
        <v>43061.555555555555</v>
      </c>
      <c r="K33" t="s">
        <v>36</v>
      </c>
      <c r="L33" t="s">
        <v>36</v>
      </c>
      <c r="M33" t="s">
        <v>36</v>
      </c>
      <c r="N33" t="s">
        <v>36</v>
      </c>
      <c r="O33" t="s">
        <v>36</v>
      </c>
      <c r="P33" t="s">
        <v>36</v>
      </c>
      <c r="Q33" t="s">
        <v>36</v>
      </c>
      <c r="R33" t="s">
        <v>36</v>
      </c>
      <c r="S33" t="s">
        <v>36</v>
      </c>
      <c r="T33" s="1">
        <v>39873</v>
      </c>
      <c r="U33" t="s">
        <v>36</v>
      </c>
      <c r="V33" t="s">
        <v>36</v>
      </c>
      <c r="W33" s="1">
        <v>42477.895833333336</v>
      </c>
      <c r="X33" t="s">
        <v>36</v>
      </c>
      <c r="Y33" t="s">
        <v>36</v>
      </c>
      <c r="Z33" t="s">
        <v>36</v>
      </c>
      <c r="AA33" t="s">
        <v>36</v>
      </c>
      <c r="AB33" t="s">
        <v>36</v>
      </c>
      <c r="AC33" t="s">
        <v>36</v>
      </c>
      <c r="AD33" t="s">
        <v>36</v>
      </c>
      <c r="AE33" t="s">
        <v>36</v>
      </c>
      <c r="AF33" s="1">
        <v>41513.4375</v>
      </c>
      <c r="AG33" t="s">
        <v>36</v>
      </c>
      <c r="AH33" t="s">
        <v>36</v>
      </c>
      <c r="AI33" s="1">
        <v>41365</v>
      </c>
      <c r="AJ33" s="1">
        <v>41426</v>
      </c>
    </row>
    <row r="34" spans="1:36" x14ac:dyDescent="0.35">
      <c r="A34">
        <v>407</v>
      </c>
      <c r="B34" t="s">
        <v>233</v>
      </c>
      <c r="C34" t="s">
        <v>36</v>
      </c>
      <c r="D34" t="s">
        <v>36</v>
      </c>
      <c r="E34" t="s">
        <v>36</v>
      </c>
      <c r="F34" t="s">
        <v>36</v>
      </c>
      <c r="G34" s="1">
        <v>41426</v>
      </c>
      <c r="H34" t="s">
        <v>36</v>
      </c>
      <c r="I34" t="s">
        <v>36</v>
      </c>
      <c r="J34" t="s">
        <v>36</v>
      </c>
      <c r="K34" t="s">
        <v>36</v>
      </c>
      <c r="L34" t="s">
        <v>36</v>
      </c>
      <c r="M34" t="s">
        <v>36</v>
      </c>
      <c r="N34" t="s">
        <v>36</v>
      </c>
      <c r="O34" t="s">
        <v>36</v>
      </c>
      <c r="P34" s="1">
        <v>41426</v>
      </c>
      <c r="Q34" t="s">
        <v>36</v>
      </c>
      <c r="R34" t="s">
        <v>36</v>
      </c>
      <c r="S34" t="s">
        <v>36</v>
      </c>
      <c r="T34" s="1">
        <v>39873</v>
      </c>
      <c r="U34" t="s">
        <v>36</v>
      </c>
      <c r="V34" t="s">
        <v>36</v>
      </c>
      <c r="W34" t="s">
        <v>36</v>
      </c>
      <c r="X34" t="s">
        <v>36</v>
      </c>
      <c r="Y34" t="s">
        <v>36</v>
      </c>
      <c r="Z34" t="s">
        <v>36</v>
      </c>
      <c r="AA34" t="s">
        <v>36</v>
      </c>
      <c r="AB34" t="s">
        <v>36</v>
      </c>
      <c r="AC34" t="s">
        <v>36</v>
      </c>
      <c r="AD34" t="s">
        <v>36</v>
      </c>
      <c r="AE34" t="s">
        <v>36</v>
      </c>
      <c r="AF34" s="1">
        <v>41513.4375</v>
      </c>
      <c r="AG34" t="s">
        <v>36</v>
      </c>
      <c r="AH34" t="s">
        <v>36</v>
      </c>
      <c r="AI34" s="1">
        <v>41365</v>
      </c>
      <c r="AJ34" s="1">
        <v>41426</v>
      </c>
    </row>
    <row r="35" spans="1:36" x14ac:dyDescent="0.35">
      <c r="A35">
        <v>408</v>
      </c>
      <c r="B35" t="s">
        <v>234</v>
      </c>
      <c r="C35" t="s">
        <v>36</v>
      </c>
      <c r="D35" t="s">
        <v>36</v>
      </c>
      <c r="E35" t="s">
        <v>36</v>
      </c>
      <c r="F35" t="s">
        <v>36</v>
      </c>
      <c r="G35" s="1">
        <v>41426</v>
      </c>
      <c r="H35" t="s">
        <v>36</v>
      </c>
      <c r="I35" t="s">
        <v>36</v>
      </c>
      <c r="J35" t="s">
        <v>36</v>
      </c>
      <c r="K35" t="s">
        <v>36</v>
      </c>
      <c r="L35" t="s">
        <v>36</v>
      </c>
      <c r="M35" t="s">
        <v>36</v>
      </c>
      <c r="N35" t="s">
        <v>36</v>
      </c>
      <c r="O35" t="s">
        <v>36</v>
      </c>
      <c r="P35" s="1">
        <v>41426</v>
      </c>
      <c r="Q35" t="s">
        <v>36</v>
      </c>
      <c r="R35" t="s">
        <v>36</v>
      </c>
      <c r="S35" t="s">
        <v>36</v>
      </c>
      <c r="T35" s="1">
        <v>39873</v>
      </c>
      <c r="U35" t="s">
        <v>36</v>
      </c>
      <c r="V35" t="s">
        <v>36</v>
      </c>
      <c r="W35" t="s">
        <v>36</v>
      </c>
      <c r="X35" t="s">
        <v>36</v>
      </c>
      <c r="Y35" t="s">
        <v>36</v>
      </c>
      <c r="Z35" t="s">
        <v>36</v>
      </c>
      <c r="AA35" t="s">
        <v>36</v>
      </c>
      <c r="AB35" t="s">
        <v>36</v>
      </c>
      <c r="AC35" t="s">
        <v>36</v>
      </c>
      <c r="AD35" t="s">
        <v>36</v>
      </c>
      <c r="AE35" t="s">
        <v>36</v>
      </c>
      <c r="AF35" s="1">
        <v>41513.4375</v>
      </c>
      <c r="AG35" t="s">
        <v>36</v>
      </c>
      <c r="AH35" t="s">
        <v>36</v>
      </c>
      <c r="AI35" s="1">
        <v>41365</v>
      </c>
      <c r="AJ35" s="1">
        <v>41426</v>
      </c>
    </row>
    <row r="36" spans="1:36" x14ac:dyDescent="0.35">
      <c r="A36">
        <v>409</v>
      </c>
      <c r="B36" t="s">
        <v>235</v>
      </c>
      <c r="C36" t="s">
        <v>36</v>
      </c>
      <c r="D36" t="s">
        <v>36</v>
      </c>
      <c r="E36" t="s">
        <v>36</v>
      </c>
      <c r="F36" t="s">
        <v>36</v>
      </c>
      <c r="G36" s="1">
        <v>41426</v>
      </c>
      <c r="H36" t="s">
        <v>36</v>
      </c>
      <c r="I36" t="s">
        <v>36</v>
      </c>
      <c r="J36" t="s">
        <v>36</v>
      </c>
      <c r="K36" t="s">
        <v>36</v>
      </c>
      <c r="L36" t="s">
        <v>36</v>
      </c>
      <c r="M36" t="s">
        <v>36</v>
      </c>
      <c r="N36" t="s">
        <v>36</v>
      </c>
      <c r="O36" t="s">
        <v>36</v>
      </c>
      <c r="P36" s="1">
        <v>41426</v>
      </c>
      <c r="Q36" t="s">
        <v>36</v>
      </c>
      <c r="R36" t="s">
        <v>36</v>
      </c>
      <c r="S36" t="s">
        <v>36</v>
      </c>
      <c r="T36" s="1">
        <v>39873</v>
      </c>
      <c r="U36" t="s">
        <v>36</v>
      </c>
      <c r="V36" t="s">
        <v>36</v>
      </c>
      <c r="W36" t="s">
        <v>36</v>
      </c>
      <c r="X36" t="s">
        <v>36</v>
      </c>
      <c r="Y36" t="s">
        <v>36</v>
      </c>
      <c r="Z36" t="s">
        <v>36</v>
      </c>
      <c r="AA36" t="s">
        <v>36</v>
      </c>
      <c r="AB36" t="s">
        <v>36</v>
      </c>
      <c r="AC36" t="s">
        <v>36</v>
      </c>
      <c r="AD36" t="s">
        <v>36</v>
      </c>
      <c r="AE36" t="s">
        <v>36</v>
      </c>
      <c r="AF36" s="1">
        <v>41513.4375</v>
      </c>
      <c r="AG36" t="s">
        <v>36</v>
      </c>
      <c r="AH36" t="s">
        <v>36</v>
      </c>
      <c r="AI36" s="1">
        <v>41365</v>
      </c>
      <c r="AJ36" s="1">
        <v>41426</v>
      </c>
    </row>
    <row r="37" spans="1:36" x14ac:dyDescent="0.35">
      <c r="A37">
        <v>300</v>
      </c>
      <c r="B37" t="s">
        <v>180</v>
      </c>
      <c r="C37" t="s">
        <v>36</v>
      </c>
      <c r="D37" t="s">
        <v>36</v>
      </c>
      <c r="E37" t="s">
        <v>36</v>
      </c>
      <c r="F37" t="s">
        <v>36</v>
      </c>
      <c r="G37" s="1">
        <v>41426</v>
      </c>
      <c r="H37" t="s">
        <v>36</v>
      </c>
      <c r="I37" t="s">
        <v>36</v>
      </c>
      <c r="J37" t="s">
        <v>36</v>
      </c>
      <c r="K37" t="s">
        <v>36</v>
      </c>
      <c r="L37" t="s">
        <v>36</v>
      </c>
      <c r="M37" t="s">
        <v>36</v>
      </c>
      <c r="N37" t="s">
        <v>36</v>
      </c>
      <c r="O37" t="s">
        <v>36</v>
      </c>
      <c r="P37" t="s">
        <v>36</v>
      </c>
      <c r="Q37" t="s">
        <v>36</v>
      </c>
      <c r="R37" t="s">
        <v>36</v>
      </c>
      <c r="S37" t="s">
        <v>36</v>
      </c>
      <c r="T37" s="1">
        <v>39873</v>
      </c>
      <c r="U37" t="s">
        <v>36</v>
      </c>
      <c r="V37" t="s">
        <v>36</v>
      </c>
      <c r="W37" t="s">
        <v>36</v>
      </c>
      <c r="X37" t="s">
        <v>36</v>
      </c>
      <c r="Y37" t="s">
        <v>36</v>
      </c>
      <c r="Z37" t="s">
        <v>36</v>
      </c>
      <c r="AA37" t="s">
        <v>36</v>
      </c>
      <c r="AB37" t="s">
        <v>36</v>
      </c>
      <c r="AC37" t="s">
        <v>36</v>
      </c>
      <c r="AD37" t="s">
        <v>36</v>
      </c>
      <c r="AE37" t="s">
        <v>36</v>
      </c>
      <c r="AF37" s="1">
        <v>41513.4375</v>
      </c>
      <c r="AG37" s="1">
        <v>43040</v>
      </c>
      <c r="AH37" t="s">
        <v>36</v>
      </c>
      <c r="AI37" s="1">
        <v>41365</v>
      </c>
      <c r="AJ37" s="1">
        <v>41426</v>
      </c>
    </row>
    <row r="38" spans="1:36" x14ac:dyDescent="0.35">
      <c r="A38">
        <v>215</v>
      </c>
      <c r="B38" t="s">
        <v>155</v>
      </c>
      <c r="C38" t="s">
        <v>36</v>
      </c>
      <c r="D38" t="s">
        <v>36</v>
      </c>
      <c r="E38" t="s">
        <v>36</v>
      </c>
      <c r="F38" t="s">
        <v>36</v>
      </c>
      <c r="G38" s="1">
        <v>41426</v>
      </c>
      <c r="H38" t="s">
        <v>36</v>
      </c>
      <c r="I38" t="s">
        <v>36</v>
      </c>
      <c r="J38" t="s">
        <v>36</v>
      </c>
      <c r="K38" t="s">
        <v>36</v>
      </c>
      <c r="L38" t="s">
        <v>36</v>
      </c>
      <c r="M38" t="s">
        <v>36</v>
      </c>
      <c r="N38" t="s">
        <v>36</v>
      </c>
      <c r="O38" t="s">
        <v>36</v>
      </c>
      <c r="P38" t="s">
        <v>36</v>
      </c>
      <c r="Q38" t="s">
        <v>36</v>
      </c>
      <c r="R38" t="s">
        <v>36</v>
      </c>
      <c r="S38" t="s">
        <v>36</v>
      </c>
      <c r="T38" s="1">
        <v>39873</v>
      </c>
      <c r="U38" t="s">
        <v>36</v>
      </c>
      <c r="V38" t="s">
        <v>36</v>
      </c>
      <c r="W38" t="s">
        <v>36</v>
      </c>
      <c r="X38" t="s">
        <v>36</v>
      </c>
      <c r="Y38" t="s">
        <v>36</v>
      </c>
      <c r="Z38" t="s">
        <v>36</v>
      </c>
      <c r="AA38" t="s">
        <v>36</v>
      </c>
      <c r="AB38" t="s">
        <v>36</v>
      </c>
      <c r="AC38" t="s">
        <v>36</v>
      </c>
      <c r="AD38" t="s">
        <v>36</v>
      </c>
      <c r="AE38" t="s">
        <v>36</v>
      </c>
      <c r="AF38" s="1">
        <v>41513.4375</v>
      </c>
      <c r="AG38" s="1">
        <v>43040</v>
      </c>
      <c r="AH38" t="s">
        <v>36</v>
      </c>
      <c r="AI38" s="1">
        <v>41365</v>
      </c>
      <c r="AJ38" s="1">
        <v>41426</v>
      </c>
    </row>
    <row r="39" spans="1:36" x14ac:dyDescent="0.35">
      <c r="A39">
        <v>321</v>
      </c>
      <c r="B39" t="s">
        <v>189</v>
      </c>
      <c r="C39" t="s">
        <v>36</v>
      </c>
      <c r="D39" t="s">
        <v>36</v>
      </c>
      <c r="E39" t="s">
        <v>36</v>
      </c>
      <c r="F39" t="s">
        <v>36</v>
      </c>
      <c r="G39" s="1">
        <v>42482.388888888891</v>
      </c>
      <c r="H39" t="s">
        <v>36</v>
      </c>
      <c r="I39" t="s">
        <v>36</v>
      </c>
      <c r="J39" t="s">
        <v>36</v>
      </c>
      <c r="K39" t="s">
        <v>36</v>
      </c>
      <c r="L39" t="s">
        <v>36</v>
      </c>
      <c r="M39" t="s">
        <v>36</v>
      </c>
      <c r="N39" t="s">
        <v>36</v>
      </c>
      <c r="O39" t="s">
        <v>36</v>
      </c>
      <c r="P39" s="1">
        <v>42482.381944444445</v>
      </c>
      <c r="Q39" t="s">
        <v>36</v>
      </c>
      <c r="R39" t="s">
        <v>36</v>
      </c>
      <c r="S39" t="s">
        <v>36</v>
      </c>
      <c r="T39" s="1">
        <v>42492.868055555555</v>
      </c>
      <c r="U39" t="s">
        <v>36</v>
      </c>
      <c r="V39" t="s">
        <v>36</v>
      </c>
      <c r="W39" t="s">
        <v>36</v>
      </c>
      <c r="X39" t="s">
        <v>36</v>
      </c>
      <c r="Y39" t="s">
        <v>36</v>
      </c>
      <c r="Z39" t="s">
        <v>36</v>
      </c>
      <c r="AA39" t="s">
        <v>36</v>
      </c>
      <c r="AB39" t="s">
        <v>36</v>
      </c>
      <c r="AC39" t="s">
        <v>36</v>
      </c>
      <c r="AD39" t="s">
        <v>36</v>
      </c>
      <c r="AE39" t="s">
        <v>36</v>
      </c>
      <c r="AF39" s="1">
        <v>42492.493055555555</v>
      </c>
      <c r="AG39" t="s">
        <v>36</v>
      </c>
      <c r="AH39" t="s">
        <v>36</v>
      </c>
      <c r="AI39" s="1">
        <v>42492.895833333336</v>
      </c>
      <c r="AJ39" s="1">
        <v>42496.548611111109</v>
      </c>
    </row>
    <row r="40" spans="1:36" x14ac:dyDescent="0.35">
      <c r="A40">
        <v>33</v>
      </c>
      <c r="B40" t="s">
        <v>68</v>
      </c>
      <c r="C40" t="s">
        <v>36</v>
      </c>
      <c r="D40" t="s">
        <v>36</v>
      </c>
      <c r="E40" t="s">
        <v>36</v>
      </c>
      <c r="F40" t="s">
        <v>36</v>
      </c>
      <c r="G40" s="1">
        <v>41426</v>
      </c>
      <c r="H40" t="s">
        <v>36</v>
      </c>
      <c r="I40" t="s">
        <v>36</v>
      </c>
      <c r="J40" t="s">
        <v>36</v>
      </c>
      <c r="K40" t="s">
        <v>36</v>
      </c>
      <c r="L40" t="s">
        <v>36</v>
      </c>
      <c r="M40" t="s">
        <v>36</v>
      </c>
      <c r="N40" t="s">
        <v>36</v>
      </c>
      <c r="O40" t="s">
        <v>36</v>
      </c>
      <c r="P40" t="s">
        <v>36</v>
      </c>
      <c r="Q40" s="1">
        <v>40911.534722222219</v>
      </c>
      <c r="R40" t="s">
        <v>36</v>
      </c>
      <c r="S40" t="s">
        <v>36</v>
      </c>
      <c r="T40" s="1">
        <v>39873</v>
      </c>
      <c r="U40" t="s">
        <v>36</v>
      </c>
      <c r="V40" t="s">
        <v>36</v>
      </c>
      <c r="W40" t="s">
        <v>36</v>
      </c>
      <c r="X40" t="s">
        <v>36</v>
      </c>
      <c r="Y40" t="s">
        <v>36</v>
      </c>
      <c r="Z40" t="s">
        <v>36</v>
      </c>
      <c r="AA40" t="s">
        <v>36</v>
      </c>
      <c r="AB40" t="s">
        <v>36</v>
      </c>
      <c r="AC40" t="s">
        <v>36</v>
      </c>
      <c r="AD40" t="s">
        <v>36</v>
      </c>
      <c r="AE40" t="s">
        <v>36</v>
      </c>
      <c r="AF40" s="1">
        <v>41513.4375</v>
      </c>
      <c r="AG40" t="s">
        <v>36</v>
      </c>
      <c r="AH40" t="s">
        <v>36</v>
      </c>
      <c r="AI40" s="1">
        <v>41365</v>
      </c>
      <c r="AJ40" s="1">
        <v>41426</v>
      </c>
    </row>
    <row r="41" spans="1:36" x14ac:dyDescent="0.35">
      <c r="A41">
        <v>302</v>
      </c>
      <c r="B41" t="s">
        <v>181</v>
      </c>
      <c r="C41" t="s">
        <v>36</v>
      </c>
      <c r="D41" s="1">
        <v>42058.680555555555</v>
      </c>
      <c r="E41" t="s">
        <v>36</v>
      </c>
      <c r="F41" t="s">
        <v>36</v>
      </c>
      <c r="G41" t="s">
        <v>36</v>
      </c>
      <c r="H41" t="s">
        <v>36</v>
      </c>
      <c r="I41" t="s">
        <v>36</v>
      </c>
      <c r="J41" t="s">
        <v>36</v>
      </c>
      <c r="K41" t="s">
        <v>36</v>
      </c>
      <c r="L41" t="s">
        <v>36</v>
      </c>
      <c r="M41" t="s">
        <v>36</v>
      </c>
      <c r="N41" s="1">
        <v>42795</v>
      </c>
      <c r="O41" s="1">
        <v>42662.868055555555</v>
      </c>
      <c r="P41" t="s">
        <v>36</v>
      </c>
      <c r="Q41" t="s">
        <v>36</v>
      </c>
      <c r="R41" t="s">
        <v>36</v>
      </c>
      <c r="S41" t="s">
        <v>36</v>
      </c>
      <c r="T41" t="s">
        <v>36</v>
      </c>
      <c r="U41" t="s">
        <v>36</v>
      </c>
      <c r="V41" t="s">
        <v>36</v>
      </c>
      <c r="W41" t="s">
        <v>36</v>
      </c>
      <c r="X41" s="1">
        <v>42193.618055555555</v>
      </c>
      <c r="Y41" t="s">
        <v>36</v>
      </c>
      <c r="Z41" t="s">
        <v>36</v>
      </c>
      <c r="AA41" t="s">
        <v>36</v>
      </c>
      <c r="AB41" t="s">
        <v>36</v>
      </c>
      <c r="AC41" t="s">
        <v>36</v>
      </c>
      <c r="AD41" t="s">
        <v>36</v>
      </c>
      <c r="AE41" t="s">
        <v>36</v>
      </c>
      <c r="AF41" t="s">
        <v>36</v>
      </c>
      <c r="AG41" t="s">
        <v>36</v>
      </c>
      <c r="AH41" t="s">
        <v>36</v>
      </c>
      <c r="AI41" t="s">
        <v>36</v>
      </c>
      <c r="AJ41" t="s">
        <v>36</v>
      </c>
    </row>
    <row r="42" spans="1:36" x14ac:dyDescent="0.35">
      <c r="A42">
        <v>49</v>
      </c>
      <c r="B42" t="s">
        <v>84</v>
      </c>
      <c r="C42" s="1">
        <v>42528.291666666664</v>
      </c>
      <c r="D42" s="1">
        <v>42058.680555555555</v>
      </c>
      <c r="E42" s="1">
        <v>39245.465277777781</v>
      </c>
      <c r="F42" s="1">
        <v>42735.993055555555</v>
      </c>
      <c r="G42" s="1">
        <v>41426</v>
      </c>
      <c r="H42" s="1">
        <v>43059.576388888891</v>
      </c>
      <c r="I42" s="1">
        <v>43050.451388888891</v>
      </c>
      <c r="J42" s="1">
        <v>42995.930555555555</v>
      </c>
      <c r="K42" s="1">
        <v>42475.736111111109</v>
      </c>
      <c r="L42" s="1">
        <v>42940.347222222219</v>
      </c>
      <c r="M42" s="1">
        <v>43348.625</v>
      </c>
      <c r="N42" s="1">
        <v>42795</v>
      </c>
      <c r="O42" s="1">
        <v>42376.743055555555</v>
      </c>
      <c r="P42" t="s">
        <v>36</v>
      </c>
      <c r="Q42" t="s">
        <v>36</v>
      </c>
      <c r="R42" s="1">
        <v>43329.319444444445</v>
      </c>
      <c r="S42" s="1">
        <v>42735.993055555555</v>
      </c>
      <c r="T42" s="1">
        <v>39873</v>
      </c>
      <c r="U42" s="1">
        <v>43054.631944444445</v>
      </c>
      <c r="V42" s="1">
        <v>42473.520833333336</v>
      </c>
      <c r="W42" s="1">
        <v>39599.958333333336</v>
      </c>
      <c r="X42" s="1">
        <v>42193.618055555555</v>
      </c>
      <c r="Y42" t="s">
        <v>36</v>
      </c>
      <c r="Z42" s="1">
        <v>42648.458333333336</v>
      </c>
      <c r="AA42" s="1">
        <v>43054.611111111109</v>
      </c>
      <c r="AB42" s="1">
        <v>41225.597222222219</v>
      </c>
      <c r="AC42" s="1">
        <v>42485.743055555555</v>
      </c>
      <c r="AD42" s="1">
        <v>42649.430555555555</v>
      </c>
      <c r="AE42" t="s">
        <v>36</v>
      </c>
      <c r="AF42" s="1">
        <v>41513.4375</v>
      </c>
      <c r="AG42" s="1">
        <v>43040</v>
      </c>
      <c r="AH42" s="1">
        <v>39659.506944444445</v>
      </c>
      <c r="AI42" s="1">
        <v>41365</v>
      </c>
      <c r="AJ42" s="1">
        <v>41426</v>
      </c>
    </row>
    <row r="43" spans="1:36" x14ac:dyDescent="0.35">
      <c r="A43">
        <v>50</v>
      </c>
      <c r="B43" t="s">
        <v>85</v>
      </c>
      <c r="C43" s="1">
        <v>42528.291666666664</v>
      </c>
      <c r="D43" s="1">
        <v>42058.680555555555</v>
      </c>
      <c r="E43" s="1">
        <v>39245.465277777781</v>
      </c>
      <c r="F43" s="1">
        <v>42735.993055555555</v>
      </c>
      <c r="G43" s="1">
        <v>41426</v>
      </c>
      <c r="H43" s="1">
        <v>43059.576388888891</v>
      </c>
      <c r="I43" s="1">
        <v>43050.451388888891</v>
      </c>
      <c r="J43" s="1">
        <v>42995.930555555555</v>
      </c>
      <c r="K43" s="1">
        <v>42475.736111111109</v>
      </c>
      <c r="L43" s="1">
        <v>42940.347222222219</v>
      </c>
      <c r="M43" s="1">
        <v>43348.625</v>
      </c>
      <c r="N43" s="1">
        <v>42795</v>
      </c>
      <c r="O43" s="1">
        <v>42376.743055555555</v>
      </c>
      <c r="P43" t="s">
        <v>36</v>
      </c>
      <c r="Q43" t="s">
        <v>36</v>
      </c>
      <c r="R43" s="1">
        <v>43329.319444444445</v>
      </c>
      <c r="S43" s="1">
        <v>42735.993055555555</v>
      </c>
      <c r="T43" s="1">
        <v>39873</v>
      </c>
      <c r="U43" s="1">
        <v>43054.631944444445</v>
      </c>
      <c r="V43" s="1">
        <v>42473.520833333336</v>
      </c>
      <c r="W43" s="1">
        <v>39599.958333333336</v>
      </c>
      <c r="X43" s="1">
        <v>42193.618055555555</v>
      </c>
      <c r="Y43" t="s">
        <v>36</v>
      </c>
      <c r="Z43" s="1">
        <v>42648.458333333336</v>
      </c>
      <c r="AA43" s="1">
        <v>43054.611111111109</v>
      </c>
      <c r="AB43" s="1">
        <v>41225.597222222219</v>
      </c>
      <c r="AC43" s="1">
        <v>42485.743055555555</v>
      </c>
      <c r="AD43" s="1">
        <v>42649.430555555555</v>
      </c>
      <c r="AE43" t="s">
        <v>36</v>
      </c>
      <c r="AF43" s="1">
        <v>41513.4375</v>
      </c>
      <c r="AG43" s="1">
        <v>43040</v>
      </c>
      <c r="AH43" s="1">
        <v>39659.506944444445</v>
      </c>
      <c r="AI43" s="1">
        <v>41365</v>
      </c>
      <c r="AJ43" s="1">
        <v>41426</v>
      </c>
    </row>
    <row r="44" spans="1:36" x14ac:dyDescent="0.35">
      <c r="A44">
        <v>51</v>
      </c>
      <c r="B44" t="s">
        <v>86</v>
      </c>
      <c r="C44" s="1">
        <v>42528.291666666664</v>
      </c>
      <c r="D44" s="1">
        <v>42058.680555555555</v>
      </c>
      <c r="E44" s="1">
        <v>39245.465277777781</v>
      </c>
      <c r="F44" s="1">
        <v>42735.993055555555</v>
      </c>
      <c r="G44" s="1">
        <v>41426</v>
      </c>
      <c r="H44" s="1">
        <v>43059.576388888891</v>
      </c>
      <c r="I44" s="1">
        <v>43050.451388888891</v>
      </c>
      <c r="J44" s="1">
        <v>42995.930555555555</v>
      </c>
      <c r="K44" s="1">
        <v>42475.736111111109</v>
      </c>
      <c r="L44" s="1">
        <v>42940.347222222219</v>
      </c>
      <c r="M44" s="1">
        <v>43348.625</v>
      </c>
      <c r="N44" s="1">
        <v>42795</v>
      </c>
      <c r="O44" s="1">
        <v>42376.743055555555</v>
      </c>
      <c r="P44" t="s">
        <v>36</v>
      </c>
      <c r="Q44" t="s">
        <v>36</v>
      </c>
      <c r="R44" s="1">
        <v>43329.319444444445</v>
      </c>
      <c r="S44" s="1">
        <v>42735.993055555555</v>
      </c>
      <c r="T44" s="1">
        <v>39873</v>
      </c>
      <c r="U44" s="1">
        <v>43054.631944444445</v>
      </c>
      <c r="V44" s="1">
        <v>42473.520833333336</v>
      </c>
      <c r="W44" s="1">
        <v>39599.958333333336</v>
      </c>
      <c r="X44" s="1">
        <v>42193.618055555555</v>
      </c>
      <c r="Y44" t="s">
        <v>36</v>
      </c>
      <c r="Z44" s="1">
        <v>42648.458333333336</v>
      </c>
      <c r="AA44" s="1">
        <v>43054.611111111109</v>
      </c>
      <c r="AB44" s="1">
        <v>41225.597222222219</v>
      </c>
      <c r="AC44" s="1">
        <v>42485.743055555555</v>
      </c>
      <c r="AD44" s="1">
        <v>42649.430555555555</v>
      </c>
      <c r="AE44" t="s">
        <v>36</v>
      </c>
      <c r="AF44" s="1">
        <v>41513.4375</v>
      </c>
      <c r="AG44" s="1">
        <v>43040</v>
      </c>
      <c r="AH44" s="1">
        <v>39659.506944444445</v>
      </c>
      <c r="AI44" s="1">
        <v>41365</v>
      </c>
      <c r="AJ44" s="1">
        <v>41426</v>
      </c>
    </row>
    <row r="45" spans="1:36" x14ac:dyDescent="0.35">
      <c r="A45">
        <v>416</v>
      </c>
      <c r="B45" t="s">
        <v>242</v>
      </c>
      <c r="C45" t="s">
        <v>36</v>
      </c>
      <c r="D45" t="s">
        <v>36</v>
      </c>
      <c r="E45" t="s">
        <v>36</v>
      </c>
      <c r="F45" t="s">
        <v>36</v>
      </c>
      <c r="G45" s="1">
        <v>41426</v>
      </c>
      <c r="H45" t="s">
        <v>36</v>
      </c>
      <c r="I45" t="s">
        <v>36</v>
      </c>
      <c r="J45" t="s">
        <v>36</v>
      </c>
      <c r="K45" t="s">
        <v>36</v>
      </c>
      <c r="L45" t="s">
        <v>36</v>
      </c>
      <c r="M45" t="s">
        <v>36</v>
      </c>
      <c r="N45" t="s">
        <v>36</v>
      </c>
      <c r="O45" t="s">
        <v>36</v>
      </c>
      <c r="P45" s="1">
        <v>41426</v>
      </c>
      <c r="Q45" t="s">
        <v>36</v>
      </c>
      <c r="R45" t="s">
        <v>36</v>
      </c>
      <c r="S45" t="s">
        <v>36</v>
      </c>
      <c r="T45" s="1">
        <v>39873</v>
      </c>
      <c r="U45" t="s">
        <v>36</v>
      </c>
      <c r="V45" t="s">
        <v>36</v>
      </c>
      <c r="W45" t="s">
        <v>36</v>
      </c>
      <c r="X45" t="s">
        <v>36</v>
      </c>
      <c r="Y45" t="s">
        <v>36</v>
      </c>
      <c r="Z45" t="s">
        <v>36</v>
      </c>
      <c r="AA45" t="s">
        <v>36</v>
      </c>
      <c r="AB45" t="s">
        <v>36</v>
      </c>
      <c r="AC45" t="s">
        <v>36</v>
      </c>
      <c r="AD45" t="s">
        <v>36</v>
      </c>
      <c r="AE45" t="s">
        <v>36</v>
      </c>
      <c r="AF45" s="1">
        <v>41513.4375</v>
      </c>
      <c r="AG45" t="s">
        <v>36</v>
      </c>
      <c r="AH45" t="s">
        <v>36</v>
      </c>
      <c r="AI45" s="1">
        <v>41365</v>
      </c>
      <c r="AJ45" s="1">
        <v>41426</v>
      </c>
    </row>
    <row r="46" spans="1:36" x14ac:dyDescent="0.35">
      <c r="A46">
        <v>417</v>
      </c>
      <c r="B46" t="s">
        <v>243</v>
      </c>
      <c r="C46" t="s">
        <v>36</v>
      </c>
      <c r="D46" t="s">
        <v>36</v>
      </c>
      <c r="E46" t="s">
        <v>36</v>
      </c>
      <c r="F46" t="s">
        <v>36</v>
      </c>
      <c r="G46" s="1">
        <v>41426</v>
      </c>
      <c r="H46" t="s">
        <v>36</v>
      </c>
      <c r="I46" t="s">
        <v>36</v>
      </c>
      <c r="J46" t="s">
        <v>36</v>
      </c>
      <c r="K46" t="s">
        <v>36</v>
      </c>
      <c r="L46" t="s">
        <v>36</v>
      </c>
      <c r="M46" t="s">
        <v>36</v>
      </c>
      <c r="N46" t="s">
        <v>36</v>
      </c>
      <c r="O46" t="s">
        <v>36</v>
      </c>
      <c r="P46" s="1">
        <v>41426</v>
      </c>
      <c r="Q46" t="s">
        <v>36</v>
      </c>
      <c r="R46" t="s">
        <v>36</v>
      </c>
      <c r="S46" t="s">
        <v>36</v>
      </c>
      <c r="T46" s="1">
        <v>39873</v>
      </c>
      <c r="U46" t="s">
        <v>36</v>
      </c>
      <c r="V46" t="s">
        <v>36</v>
      </c>
      <c r="W46" t="s">
        <v>36</v>
      </c>
      <c r="X46" t="s">
        <v>36</v>
      </c>
      <c r="Y46" t="s">
        <v>36</v>
      </c>
      <c r="Z46" t="s">
        <v>36</v>
      </c>
      <c r="AA46" t="s">
        <v>36</v>
      </c>
      <c r="AB46" t="s">
        <v>36</v>
      </c>
      <c r="AC46" t="s">
        <v>36</v>
      </c>
      <c r="AD46" t="s">
        <v>36</v>
      </c>
      <c r="AE46" t="s">
        <v>36</v>
      </c>
      <c r="AF46" s="1">
        <v>41513.4375</v>
      </c>
      <c r="AG46" t="s">
        <v>36</v>
      </c>
      <c r="AH46" t="s">
        <v>36</v>
      </c>
      <c r="AI46" s="1">
        <v>41365</v>
      </c>
      <c r="AJ46" s="1">
        <v>41426</v>
      </c>
    </row>
    <row r="47" spans="1:36" x14ac:dyDescent="0.35">
      <c r="A47">
        <v>418</v>
      </c>
      <c r="B47" t="s">
        <v>244</v>
      </c>
      <c r="C47" t="s">
        <v>36</v>
      </c>
      <c r="D47" t="s">
        <v>36</v>
      </c>
      <c r="E47" t="s">
        <v>36</v>
      </c>
      <c r="F47" t="s">
        <v>36</v>
      </c>
      <c r="G47" s="1">
        <v>41426</v>
      </c>
      <c r="H47" t="s">
        <v>36</v>
      </c>
      <c r="I47" t="s">
        <v>36</v>
      </c>
      <c r="J47" t="s">
        <v>36</v>
      </c>
      <c r="K47" t="s">
        <v>36</v>
      </c>
      <c r="L47" t="s">
        <v>36</v>
      </c>
      <c r="M47" t="s">
        <v>36</v>
      </c>
      <c r="N47" t="s">
        <v>36</v>
      </c>
      <c r="O47" t="s">
        <v>36</v>
      </c>
      <c r="P47" s="1">
        <v>41426</v>
      </c>
      <c r="Q47" t="s">
        <v>36</v>
      </c>
      <c r="R47" t="s">
        <v>36</v>
      </c>
      <c r="S47" t="s">
        <v>36</v>
      </c>
      <c r="T47" s="1">
        <v>39873</v>
      </c>
      <c r="U47" t="s">
        <v>36</v>
      </c>
      <c r="V47" t="s">
        <v>36</v>
      </c>
      <c r="W47" t="s">
        <v>36</v>
      </c>
      <c r="X47" t="s">
        <v>36</v>
      </c>
      <c r="Y47" t="s">
        <v>36</v>
      </c>
      <c r="Z47" t="s">
        <v>36</v>
      </c>
      <c r="AA47" t="s">
        <v>36</v>
      </c>
      <c r="AB47" t="s">
        <v>36</v>
      </c>
      <c r="AC47" t="s">
        <v>36</v>
      </c>
      <c r="AD47" t="s">
        <v>36</v>
      </c>
      <c r="AE47" t="s">
        <v>36</v>
      </c>
      <c r="AF47" s="1">
        <v>41513.4375</v>
      </c>
      <c r="AG47" t="s">
        <v>36</v>
      </c>
      <c r="AH47" t="s">
        <v>36</v>
      </c>
      <c r="AI47" s="1">
        <v>41365</v>
      </c>
      <c r="AJ47" s="1">
        <v>41426</v>
      </c>
    </row>
    <row r="48" spans="1:36" x14ac:dyDescent="0.35">
      <c r="A48">
        <v>472</v>
      </c>
      <c r="B48" t="s">
        <v>253</v>
      </c>
      <c r="C48" t="s">
        <v>36</v>
      </c>
      <c r="D48" t="s">
        <v>36</v>
      </c>
      <c r="E48" t="s">
        <v>36</v>
      </c>
      <c r="F48" t="s">
        <v>36</v>
      </c>
      <c r="G48" t="s">
        <v>36</v>
      </c>
      <c r="H48" t="s">
        <v>36</v>
      </c>
      <c r="I48" t="s">
        <v>36</v>
      </c>
      <c r="J48" t="s">
        <v>36</v>
      </c>
      <c r="K48" t="s">
        <v>36</v>
      </c>
      <c r="L48" t="s">
        <v>36</v>
      </c>
      <c r="M48" t="s">
        <v>36</v>
      </c>
      <c r="N48" t="s">
        <v>36</v>
      </c>
      <c r="O48" t="s">
        <v>36</v>
      </c>
      <c r="P48" t="s">
        <v>36</v>
      </c>
      <c r="Q48" t="s">
        <v>36</v>
      </c>
      <c r="R48" t="s">
        <v>36</v>
      </c>
      <c r="S48" t="s">
        <v>36</v>
      </c>
      <c r="T48" t="s">
        <v>36</v>
      </c>
      <c r="U48" t="s">
        <v>36</v>
      </c>
      <c r="V48" t="s">
        <v>36</v>
      </c>
      <c r="W48" t="s">
        <v>36</v>
      </c>
      <c r="X48" t="s">
        <v>36</v>
      </c>
      <c r="Y48" t="s">
        <v>36</v>
      </c>
      <c r="Z48" t="s">
        <v>36</v>
      </c>
      <c r="AA48" t="s">
        <v>36</v>
      </c>
      <c r="AB48" t="s">
        <v>36</v>
      </c>
      <c r="AC48" t="s">
        <v>36</v>
      </c>
      <c r="AD48" t="s">
        <v>36</v>
      </c>
      <c r="AE48" t="s">
        <v>36</v>
      </c>
      <c r="AF48" t="s">
        <v>36</v>
      </c>
      <c r="AG48" t="s">
        <v>36</v>
      </c>
      <c r="AH48" t="s">
        <v>36</v>
      </c>
      <c r="AI48" t="s">
        <v>36</v>
      </c>
      <c r="AJ48" t="s">
        <v>36</v>
      </c>
    </row>
    <row r="49" spans="1:36" x14ac:dyDescent="0.35">
      <c r="A49">
        <v>4</v>
      </c>
      <c r="B49" t="s">
        <v>39</v>
      </c>
      <c r="C49" s="1">
        <v>42528.291666666664</v>
      </c>
      <c r="D49" s="1">
        <v>42058.680555555555</v>
      </c>
      <c r="E49" s="1">
        <v>42538.694444444445</v>
      </c>
      <c r="F49" s="1">
        <v>42735.993055555555</v>
      </c>
      <c r="G49" s="1">
        <v>41426</v>
      </c>
      <c r="H49" s="1">
        <v>43066.833333333336</v>
      </c>
      <c r="I49" s="1">
        <v>43057.847222222219</v>
      </c>
      <c r="J49" s="1">
        <v>42995.930555555555</v>
      </c>
      <c r="K49" s="1">
        <v>41422.4375</v>
      </c>
      <c r="L49" s="1">
        <v>42940.347222222219</v>
      </c>
      <c r="M49" s="1">
        <v>43348.631944444445</v>
      </c>
      <c r="N49" s="1">
        <v>42795</v>
      </c>
      <c r="O49" s="1">
        <v>42376.743055555555</v>
      </c>
      <c r="P49" s="1">
        <v>41426</v>
      </c>
      <c r="Q49" s="1">
        <v>40215.493055555555</v>
      </c>
      <c r="R49" t="s">
        <v>36</v>
      </c>
      <c r="S49" s="1">
        <v>42735.993055555555</v>
      </c>
      <c r="T49" s="1">
        <v>39873</v>
      </c>
      <c r="U49" s="1">
        <v>43054.631944444445</v>
      </c>
      <c r="V49" s="1">
        <v>42473.520833333336</v>
      </c>
      <c r="W49" s="1">
        <v>39599.958333333336</v>
      </c>
      <c r="X49" s="1">
        <v>42193.618055555555</v>
      </c>
      <c r="Y49" s="1">
        <v>43396.4375</v>
      </c>
      <c r="Z49" s="1">
        <v>42648.458333333336</v>
      </c>
      <c r="AA49" s="1">
        <v>43054.611111111109</v>
      </c>
      <c r="AB49" s="1">
        <v>41225.597222222219</v>
      </c>
      <c r="AC49" s="1">
        <v>42485.743055555555</v>
      </c>
      <c r="AD49" s="1">
        <v>42649.430555555555</v>
      </c>
      <c r="AE49" s="1">
        <v>43397.416666666664</v>
      </c>
      <c r="AF49" s="1">
        <v>41513.4375</v>
      </c>
      <c r="AG49" s="1">
        <v>43040</v>
      </c>
      <c r="AH49" s="1">
        <v>39659.506944444445</v>
      </c>
      <c r="AI49" s="1">
        <v>41365</v>
      </c>
      <c r="AJ49" s="1">
        <v>41426</v>
      </c>
    </row>
    <row r="50" spans="1:36" x14ac:dyDescent="0.35">
      <c r="A50">
        <v>334</v>
      </c>
      <c r="B50" t="s">
        <v>202</v>
      </c>
      <c r="C50" t="s">
        <v>36</v>
      </c>
      <c r="D50" t="s">
        <v>36</v>
      </c>
      <c r="E50" t="s">
        <v>36</v>
      </c>
      <c r="F50" t="s">
        <v>36</v>
      </c>
      <c r="G50" s="1">
        <v>41426</v>
      </c>
      <c r="H50" t="s">
        <v>36</v>
      </c>
      <c r="I50" t="s">
        <v>36</v>
      </c>
      <c r="J50" t="s">
        <v>36</v>
      </c>
      <c r="K50" t="s">
        <v>36</v>
      </c>
      <c r="L50" t="s">
        <v>36</v>
      </c>
      <c r="M50" t="s">
        <v>36</v>
      </c>
      <c r="N50" t="s">
        <v>36</v>
      </c>
      <c r="O50" t="s">
        <v>36</v>
      </c>
      <c r="P50" s="1">
        <v>41426</v>
      </c>
      <c r="Q50" t="s">
        <v>36</v>
      </c>
      <c r="R50" t="s">
        <v>36</v>
      </c>
      <c r="S50" t="s">
        <v>36</v>
      </c>
      <c r="T50" s="1">
        <v>39873</v>
      </c>
      <c r="U50" t="s">
        <v>36</v>
      </c>
      <c r="V50" t="s">
        <v>36</v>
      </c>
      <c r="W50" t="s">
        <v>36</v>
      </c>
      <c r="X50" t="s">
        <v>36</v>
      </c>
      <c r="Y50" t="s">
        <v>36</v>
      </c>
      <c r="Z50" t="s">
        <v>36</v>
      </c>
      <c r="AA50" t="s">
        <v>36</v>
      </c>
      <c r="AB50" t="s">
        <v>36</v>
      </c>
      <c r="AC50" t="s">
        <v>36</v>
      </c>
      <c r="AD50" t="s">
        <v>36</v>
      </c>
      <c r="AE50" t="s">
        <v>36</v>
      </c>
      <c r="AF50" s="1">
        <v>41513.4375</v>
      </c>
      <c r="AG50" s="1">
        <v>43040</v>
      </c>
      <c r="AH50" t="s">
        <v>36</v>
      </c>
      <c r="AI50" s="1">
        <v>41365</v>
      </c>
      <c r="AJ50" s="1">
        <v>41426</v>
      </c>
    </row>
    <row r="51" spans="1:36" x14ac:dyDescent="0.35">
      <c r="A51">
        <v>984</v>
      </c>
      <c r="B51" t="s">
        <v>273</v>
      </c>
      <c r="C51" t="s">
        <v>36</v>
      </c>
      <c r="D51" t="s">
        <v>36</v>
      </c>
      <c r="E51" s="1">
        <v>42538.694444444445</v>
      </c>
      <c r="F51" s="1">
        <v>42735.993055555555</v>
      </c>
      <c r="G51" t="s">
        <v>36</v>
      </c>
      <c r="H51" t="s">
        <v>36</v>
      </c>
      <c r="I51" s="1">
        <v>43057.847222222219</v>
      </c>
      <c r="J51" s="1">
        <v>43062.534722222219</v>
      </c>
      <c r="K51" t="s">
        <v>36</v>
      </c>
      <c r="L51" s="1">
        <v>42940.347222222219</v>
      </c>
      <c r="M51" t="s">
        <v>36</v>
      </c>
      <c r="N51" t="s">
        <v>36</v>
      </c>
      <c r="O51" t="s">
        <v>36</v>
      </c>
      <c r="P51" t="s">
        <v>36</v>
      </c>
      <c r="Q51" t="s">
        <v>36</v>
      </c>
      <c r="R51" t="s">
        <v>36</v>
      </c>
      <c r="S51" s="1">
        <v>42735.993055555555</v>
      </c>
      <c r="T51" t="s">
        <v>36</v>
      </c>
      <c r="U51" s="1">
        <v>43054.631944444445</v>
      </c>
      <c r="V51" t="s">
        <v>36</v>
      </c>
      <c r="W51" t="s">
        <v>36</v>
      </c>
      <c r="X51" t="s">
        <v>36</v>
      </c>
      <c r="Y51" t="s">
        <v>36</v>
      </c>
      <c r="Z51" t="s">
        <v>36</v>
      </c>
      <c r="AA51" t="s">
        <v>36</v>
      </c>
      <c r="AB51" t="s">
        <v>36</v>
      </c>
      <c r="AC51" t="s">
        <v>36</v>
      </c>
      <c r="AD51" t="s">
        <v>36</v>
      </c>
      <c r="AE51" t="s">
        <v>36</v>
      </c>
      <c r="AF51" t="s">
        <v>36</v>
      </c>
      <c r="AG51" t="s">
        <v>36</v>
      </c>
      <c r="AH51" s="1">
        <v>39659.506944444445</v>
      </c>
      <c r="AI51" t="s">
        <v>36</v>
      </c>
      <c r="AJ51" t="s">
        <v>36</v>
      </c>
    </row>
    <row r="52" spans="1:36" x14ac:dyDescent="0.35">
      <c r="A52">
        <v>90</v>
      </c>
      <c r="B52" t="s">
        <v>101</v>
      </c>
      <c r="C52" s="1">
        <v>42528.291666666664</v>
      </c>
      <c r="D52" t="s">
        <v>36</v>
      </c>
      <c r="E52" t="s">
        <v>36</v>
      </c>
      <c r="F52" t="s">
        <v>36</v>
      </c>
      <c r="G52" s="1">
        <v>41426</v>
      </c>
      <c r="H52" t="s">
        <v>36</v>
      </c>
      <c r="I52" t="s">
        <v>36</v>
      </c>
      <c r="J52" s="1">
        <v>42995.930555555555</v>
      </c>
      <c r="K52" s="1">
        <v>41422.4375</v>
      </c>
      <c r="L52" s="1">
        <v>42940.347222222219</v>
      </c>
      <c r="M52" t="s">
        <v>36</v>
      </c>
      <c r="N52" t="s">
        <v>36</v>
      </c>
      <c r="O52" t="s">
        <v>36</v>
      </c>
      <c r="P52" s="1">
        <v>41426</v>
      </c>
      <c r="Q52" t="s">
        <v>36</v>
      </c>
      <c r="R52" t="s">
        <v>36</v>
      </c>
      <c r="S52" t="s">
        <v>36</v>
      </c>
      <c r="T52" s="1">
        <v>39873</v>
      </c>
      <c r="U52" t="s">
        <v>36</v>
      </c>
      <c r="V52" s="1">
        <v>42473.520833333336</v>
      </c>
      <c r="W52" s="1">
        <v>39599.958333333336</v>
      </c>
      <c r="X52" t="s">
        <v>36</v>
      </c>
      <c r="Y52" s="1">
        <v>43396.4375</v>
      </c>
      <c r="Z52" s="1">
        <v>42648.458333333336</v>
      </c>
      <c r="AA52" t="s">
        <v>36</v>
      </c>
      <c r="AB52" t="s">
        <v>36</v>
      </c>
      <c r="AC52" s="1">
        <v>42485.743055555555</v>
      </c>
      <c r="AD52" s="1">
        <v>42649.430555555555</v>
      </c>
      <c r="AE52" s="1">
        <v>43397.416666666664</v>
      </c>
      <c r="AF52" s="1">
        <v>41513.4375</v>
      </c>
      <c r="AG52" s="1">
        <v>43040</v>
      </c>
      <c r="AH52" t="s">
        <v>36</v>
      </c>
      <c r="AI52" s="1">
        <v>41365</v>
      </c>
      <c r="AJ52" s="1">
        <v>41426</v>
      </c>
    </row>
    <row r="53" spans="1:36" x14ac:dyDescent="0.35">
      <c r="A53">
        <v>335</v>
      </c>
      <c r="B53" t="s">
        <v>203</v>
      </c>
      <c r="C53" t="s">
        <v>36</v>
      </c>
      <c r="D53" t="s">
        <v>36</v>
      </c>
      <c r="E53" t="s">
        <v>36</v>
      </c>
      <c r="F53" t="s">
        <v>36</v>
      </c>
      <c r="G53" s="1">
        <v>41426</v>
      </c>
      <c r="H53" t="s">
        <v>36</v>
      </c>
      <c r="I53" t="s">
        <v>36</v>
      </c>
      <c r="J53" t="s">
        <v>36</v>
      </c>
      <c r="K53" t="s">
        <v>36</v>
      </c>
      <c r="L53" t="s">
        <v>36</v>
      </c>
      <c r="M53" t="s">
        <v>36</v>
      </c>
      <c r="N53" t="s">
        <v>36</v>
      </c>
      <c r="O53" t="s">
        <v>36</v>
      </c>
      <c r="P53" s="1">
        <v>41426</v>
      </c>
      <c r="Q53" t="s">
        <v>36</v>
      </c>
      <c r="R53" t="s">
        <v>36</v>
      </c>
      <c r="S53" t="s">
        <v>36</v>
      </c>
      <c r="T53" s="1">
        <v>39873</v>
      </c>
      <c r="U53" t="s">
        <v>36</v>
      </c>
      <c r="V53" t="s">
        <v>36</v>
      </c>
      <c r="W53" t="s">
        <v>36</v>
      </c>
      <c r="X53" t="s">
        <v>36</v>
      </c>
      <c r="Y53" t="s">
        <v>36</v>
      </c>
      <c r="Z53" t="s">
        <v>36</v>
      </c>
      <c r="AA53" t="s">
        <v>36</v>
      </c>
      <c r="AB53" t="s">
        <v>36</v>
      </c>
      <c r="AC53" t="s">
        <v>36</v>
      </c>
      <c r="AD53" t="s">
        <v>36</v>
      </c>
      <c r="AE53" t="s">
        <v>36</v>
      </c>
      <c r="AF53" s="1">
        <v>41513.4375</v>
      </c>
      <c r="AG53" s="1">
        <v>43040</v>
      </c>
      <c r="AH53" t="s">
        <v>36</v>
      </c>
      <c r="AI53" s="1">
        <v>41365</v>
      </c>
      <c r="AJ53" s="1">
        <v>41426</v>
      </c>
    </row>
    <row r="54" spans="1:36" x14ac:dyDescent="0.35">
      <c r="A54">
        <v>2752</v>
      </c>
      <c r="B54" t="s">
        <v>277</v>
      </c>
      <c r="C54" t="s">
        <v>36</v>
      </c>
      <c r="D54" t="s">
        <v>36</v>
      </c>
      <c r="E54" t="s">
        <v>36</v>
      </c>
      <c r="F54" t="s">
        <v>36</v>
      </c>
      <c r="G54" t="s">
        <v>36</v>
      </c>
      <c r="H54" t="s">
        <v>36</v>
      </c>
      <c r="I54" t="s">
        <v>36</v>
      </c>
      <c r="J54" s="1">
        <v>43062.534722222219</v>
      </c>
      <c r="K54" t="s">
        <v>36</v>
      </c>
      <c r="L54" s="1">
        <v>43070.006944444445</v>
      </c>
      <c r="M54" t="s">
        <v>36</v>
      </c>
      <c r="N54" t="s">
        <v>36</v>
      </c>
      <c r="O54" t="s">
        <v>36</v>
      </c>
      <c r="P54" t="s">
        <v>36</v>
      </c>
      <c r="Q54" t="s">
        <v>36</v>
      </c>
      <c r="R54" t="s">
        <v>36</v>
      </c>
      <c r="S54" t="s">
        <v>36</v>
      </c>
      <c r="T54" t="s">
        <v>36</v>
      </c>
      <c r="U54" t="s">
        <v>36</v>
      </c>
      <c r="V54" t="s">
        <v>36</v>
      </c>
      <c r="W54" t="s">
        <v>36</v>
      </c>
      <c r="X54" t="s">
        <v>36</v>
      </c>
      <c r="Y54" t="s">
        <v>36</v>
      </c>
      <c r="Z54" t="s">
        <v>36</v>
      </c>
      <c r="AA54" t="s">
        <v>36</v>
      </c>
      <c r="AB54" t="s">
        <v>36</v>
      </c>
      <c r="AC54" t="s">
        <v>36</v>
      </c>
      <c r="AD54" t="s">
        <v>36</v>
      </c>
      <c r="AE54" t="s">
        <v>36</v>
      </c>
      <c r="AF54" t="s">
        <v>36</v>
      </c>
      <c r="AG54" t="s">
        <v>36</v>
      </c>
      <c r="AH54" t="s">
        <v>36</v>
      </c>
      <c r="AI54" t="s">
        <v>36</v>
      </c>
      <c r="AJ54" t="s">
        <v>36</v>
      </c>
    </row>
    <row r="55" spans="1:36" x14ac:dyDescent="0.35">
      <c r="A55">
        <v>228</v>
      </c>
      <c r="B55" t="s">
        <v>157</v>
      </c>
      <c r="C55" t="s">
        <v>36</v>
      </c>
      <c r="D55" t="s">
        <v>36</v>
      </c>
      <c r="E55" t="s">
        <v>36</v>
      </c>
      <c r="F55" t="s">
        <v>36</v>
      </c>
      <c r="G55" t="s">
        <v>36</v>
      </c>
      <c r="H55" t="s">
        <v>36</v>
      </c>
      <c r="I55" t="s">
        <v>36</v>
      </c>
      <c r="J55" s="1">
        <v>43061.215277777781</v>
      </c>
      <c r="K55" t="s">
        <v>36</v>
      </c>
      <c r="L55" t="s">
        <v>36</v>
      </c>
      <c r="M55" t="s">
        <v>36</v>
      </c>
      <c r="N55" t="s">
        <v>36</v>
      </c>
      <c r="O55" t="s">
        <v>36</v>
      </c>
      <c r="P55" t="s">
        <v>36</v>
      </c>
      <c r="Q55" t="s">
        <v>36</v>
      </c>
      <c r="R55" t="s">
        <v>36</v>
      </c>
      <c r="S55" t="s">
        <v>36</v>
      </c>
      <c r="T55" t="s">
        <v>36</v>
      </c>
      <c r="U55" t="s">
        <v>36</v>
      </c>
      <c r="V55" t="s">
        <v>36</v>
      </c>
      <c r="W55" s="1">
        <v>42477.895833333336</v>
      </c>
      <c r="X55" t="s">
        <v>36</v>
      </c>
      <c r="Y55" t="s">
        <v>36</v>
      </c>
      <c r="Z55" t="s">
        <v>36</v>
      </c>
      <c r="AA55" t="s">
        <v>36</v>
      </c>
      <c r="AB55" s="1">
        <v>42486.548611111109</v>
      </c>
      <c r="AC55" t="s">
        <v>36</v>
      </c>
      <c r="AD55" t="s">
        <v>36</v>
      </c>
      <c r="AE55" t="s">
        <v>36</v>
      </c>
      <c r="AF55" t="s">
        <v>36</v>
      </c>
      <c r="AG55" t="s">
        <v>36</v>
      </c>
      <c r="AH55" t="s">
        <v>36</v>
      </c>
      <c r="AI55" t="s">
        <v>36</v>
      </c>
      <c r="AJ55" t="s">
        <v>36</v>
      </c>
    </row>
    <row r="56" spans="1:36" x14ac:dyDescent="0.35">
      <c r="A56">
        <v>30</v>
      </c>
      <c r="B56" t="s">
        <v>65</v>
      </c>
      <c r="C56" t="s">
        <v>36</v>
      </c>
      <c r="D56" t="s">
        <v>36</v>
      </c>
      <c r="E56" t="s">
        <v>36</v>
      </c>
      <c r="F56" t="s">
        <v>36</v>
      </c>
      <c r="G56" t="s">
        <v>36</v>
      </c>
      <c r="H56" t="s">
        <v>36</v>
      </c>
      <c r="I56" t="s">
        <v>36</v>
      </c>
      <c r="J56" t="s">
        <v>36</v>
      </c>
      <c r="K56" t="s">
        <v>36</v>
      </c>
      <c r="L56" t="s">
        <v>36</v>
      </c>
      <c r="M56" t="s">
        <v>36</v>
      </c>
      <c r="N56" t="s">
        <v>36</v>
      </c>
      <c r="O56" t="s">
        <v>36</v>
      </c>
      <c r="P56" t="s">
        <v>36</v>
      </c>
      <c r="Q56" s="1">
        <v>40911.534722222219</v>
      </c>
      <c r="R56" t="s">
        <v>36</v>
      </c>
      <c r="S56" t="s">
        <v>36</v>
      </c>
      <c r="T56" t="s">
        <v>36</v>
      </c>
      <c r="U56" t="s">
        <v>36</v>
      </c>
      <c r="V56" t="s">
        <v>36</v>
      </c>
      <c r="W56" t="s">
        <v>36</v>
      </c>
      <c r="X56" t="s">
        <v>36</v>
      </c>
      <c r="Y56" t="s">
        <v>36</v>
      </c>
      <c r="Z56" t="s">
        <v>36</v>
      </c>
      <c r="AA56" t="s">
        <v>36</v>
      </c>
      <c r="AB56" t="s">
        <v>36</v>
      </c>
      <c r="AC56" t="s">
        <v>36</v>
      </c>
      <c r="AD56" t="s">
        <v>36</v>
      </c>
      <c r="AE56" t="s">
        <v>36</v>
      </c>
      <c r="AF56" t="s">
        <v>36</v>
      </c>
      <c r="AG56" t="s">
        <v>36</v>
      </c>
      <c r="AH56" t="s">
        <v>36</v>
      </c>
      <c r="AI56" t="s">
        <v>36</v>
      </c>
      <c r="AJ56" t="s">
        <v>36</v>
      </c>
    </row>
    <row r="57" spans="1:36" x14ac:dyDescent="0.35">
      <c r="A57">
        <v>275</v>
      </c>
      <c r="B57" t="s">
        <v>165</v>
      </c>
      <c r="C57" t="s">
        <v>36</v>
      </c>
      <c r="D57" t="s">
        <v>36</v>
      </c>
      <c r="E57" t="s">
        <v>36</v>
      </c>
      <c r="F57" t="s">
        <v>36</v>
      </c>
      <c r="G57" s="1">
        <v>41426</v>
      </c>
      <c r="H57" t="s">
        <v>36</v>
      </c>
      <c r="I57" t="s">
        <v>36</v>
      </c>
      <c r="J57" t="s">
        <v>36</v>
      </c>
      <c r="K57" t="s">
        <v>36</v>
      </c>
      <c r="L57" t="s">
        <v>36</v>
      </c>
      <c r="M57" t="s">
        <v>36</v>
      </c>
      <c r="N57" t="s">
        <v>36</v>
      </c>
      <c r="O57" t="s">
        <v>36</v>
      </c>
      <c r="P57" s="1">
        <v>41426</v>
      </c>
      <c r="Q57" t="s">
        <v>36</v>
      </c>
      <c r="R57" t="s">
        <v>36</v>
      </c>
      <c r="S57" t="s">
        <v>36</v>
      </c>
      <c r="T57" s="1">
        <v>39873</v>
      </c>
      <c r="U57" t="s">
        <v>36</v>
      </c>
      <c r="V57" t="s">
        <v>36</v>
      </c>
      <c r="W57" t="s">
        <v>36</v>
      </c>
      <c r="X57" t="s">
        <v>36</v>
      </c>
      <c r="Y57" t="s">
        <v>36</v>
      </c>
      <c r="Z57" t="s">
        <v>36</v>
      </c>
      <c r="AA57" t="s">
        <v>36</v>
      </c>
      <c r="AB57" t="s">
        <v>36</v>
      </c>
      <c r="AC57" t="s">
        <v>36</v>
      </c>
      <c r="AD57" t="s">
        <v>36</v>
      </c>
      <c r="AE57" t="s">
        <v>36</v>
      </c>
      <c r="AF57" s="1">
        <v>41513.4375</v>
      </c>
      <c r="AG57" s="1">
        <v>43040</v>
      </c>
      <c r="AH57" t="s">
        <v>36</v>
      </c>
      <c r="AI57" s="1">
        <v>41365</v>
      </c>
      <c r="AJ57" s="1">
        <v>41426</v>
      </c>
    </row>
    <row r="58" spans="1:36" x14ac:dyDescent="0.35">
      <c r="A58">
        <v>208</v>
      </c>
      <c r="B58" t="s">
        <v>152</v>
      </c>
      <c r="C58" t="s">
        <v>36</v>
      </c>
      <c r="D58" s="1">
        <v>42058.680555555555</v>
      </c>
      <c r="E58" t="s">
        <v>36</v>
      </c>
      <c r="F58" t="s">
        <v>36</v>
      </c>
      <c r="G58" t="s">
        <v>36</v>
      </c>
      <c r="H58" t="s">
        <v>36</v>
      </c>
      <c r="I58" t="s">
        <v>36</v>
      </c>
      <c r="J58" t="s">
        <v>36</v>
      </c>
      <c r="K58" t="s">
        <v>36</v>
      </c>
      <c r="L58" t="s">
        <v>36</v>
      </c>
      <c r="M58" t="s">
        <v>36</v>
      </c>
      <c r="N58" s="1">
        <v>42795</v>
      </c>
      <c r="O58" s="1">
        <v>42376.743055555555</v>
      </c>
      <c r="P58" t="s">
        <v>36</v>
      </c>
      <c r="Q58" t="s">
        <v>36</v>
      </c>
      <c r="R58" t="s">
        <v>36</v>
      </c>
      <c r="S58" t="s">
        <v>36</v>
      </c>
      <c r="T58" t="s">
        <v>36</v>
      </c>
      <c r="U58" t="s">
        <v>36</v>
      </c>
      <c r="V58" t="s">
        <v>36</v>
      </c>
      <c r="W58" t="s">
        <v>36</v>
      </c>
      <c r="X58" s="1">
        <v>42193.618055555555</v>
      </c>
      <c r="Y58" t="s">
        <v>36</v>
      </c>
      <c r="Z58" t="s">
        <v>36</v>
      </c>
      <c r="AA58" t="s">
        <v>36</v>
      </c>
      <c r="AB58" t="s">
        <v>36</v>
      </c>
      <c r="AC58" t="s">
        <v>36</v>
      </c>
      <c r="AD58" t="s">
        <v>36</v>
      </c>
      <c r="AE58" t="s">
        <v>36</v>
      </c>
      <c r="AF58" t="s">
        <v>36</v>
      </c>
      <c r="AG58" t="s">
        <v>36</v>
      </c>
      <c r="AH58" t="s">
        <v>36</v>
      </c>
      <c r="AI58" t="s">
        <v>36</v>
      </c>
      <c r="AJ58" t="s">
        <v>36</v>
      </c>
    </row>
    <row r="59" spans="1:36" x14ac:dyDescent="0.35">
      <c r="A59">
        <v>209</v>
      </c>
      <c r="B59" t="s">
        <v>153</v>
      </c>
      <c r="C59" t="s">
        <v>36</v>
      </c>
      <c r="D59" s="1">
        <v>42058.680555555555</v>
      </c>
      <c r="E59" t="s">
        <v>36</v>
      </c>
      <c r="F59" t="s">
        <v>36</v>
      </c>
      <c r="G59" t="s">
        <v>36</v>
      </c>
      <c r="H59" t="s">
        <v>36</v>
      </c>
      <c r="I59" t="s">
        <v>36</v>
      </c>
      <c r="J59" t="s">
        <v>36</v>
      </c>
      <c r="K59" t="s">
        <v>36</v>
      </c>
      <c r="L59" t="s">
        <v>36</v>
      </c>
      <c r="M59" t="s">
        <v>36</v>
      </c>
      <c r="N59" s="1">
        <v>42795</v>
      </c>
      <c r="O59" s="1">
        <v>42376.743055555555</v>
      </c>
      <c r="P59" t="s">
        <v>36</v>
      </c>
      <c r="Q59" t="s">
        <v>36</v>
      </c>
      <c r="R59" t="s">
        <v>36</v>
      </c>
      <c r="S59" t="s">
        <v>36</v>
      </c>
      <c r="T59" t="s">
        <v>36</v>
      </c>
      <c r="U59" t="s">
        <v>36</v>
      </c>
      <c r="V59" t="s">
        <v>36</v>
      </c>
      <c r="W59" t="s">
        <v>36</v>
      </c>
      <c r="X59" s="1">
        <v>42193.618055555555</v>
      </c>
      <c r="Y59" t="s">
        <v>36</v>
      </c>
      <c r="Z59" t="s">
        <v>36</v>
      </c>
      <c r="AA59" t="s">
        <v>36</v>
      </c>
      <c r="AB59" t="s">
        <v>36</v>
      </c>
      <c r="AC59" t="s">
        <v>36</v>
      </c>
      <c r="AD59" t="s">
        <v>36</v>
      </c>
      <c r="AE59" t="s">
        <v>36</v>
      </c>
      <c r="AF59" t="s">
        <v>36</v>
      </c>
      <c r="AG59" t="s">
        <v>36</v>
      </c>
      <c r="AH59" t="s">
        <v>36</v>
      </c>
      <c r="AI59" t="s">
        <v>36</v>
      </c>
      <c r="AJ59" t="s">
        <v>36</v>
      </c>
    </row>
    <row r="60" spans="1:36" x14ac:dyDescent="0.35">
      <c r="A60">
        <v>210</v>
      </c>
      <c r="B60" t="s">
        <v>154</v>
      </c>
      <c r="C60" t="s">
        <v>36</v>
      </c>
      <c r="D60" s="1">
        <v>42058.680555555555</v>
      </c>
      <c r="E60" t="s">
        <v>36</v>
      </c>
      <c r="F60" t="s">
        <v>36</v>
      </c>
      <c r="G60" t="s">
        <v>36</v>
      </c>
      <c r="H60" t="s">
        <v>36</v>
      </c>
      <c r="I60" t="s">
        <v>36</v>
      </c>
      <c r="J60" t="s">
        <v>36</v>
      </c>
      <c r="K60" t="s">
        <v>36</v>
      </c>
      <c r="L60" t="s">
        <v>36</v>
      </c>
      <c r="M60" t="s">
        <v>36</v>
      </c>
      <c r="N60" s="1">
        <v>42795</v>
      </c>
      <c r="O60" s="1">
        <v>42376.743055555555</v>
      </c>
      <c r="P60" t="s">
        <v>36</v>
      </c>
      <c r="Q60" t="s">
        <v>36</v>
      </c>
      <c r="R60" t="s">
        <v>36</v>
      </c>
      <c r="S60" t="s">
        <v>36</v>
      </c>
      <c r="T60" t="s">
        <v>36</v>
      </c>
      <c r="U60" t="s">
        <v>36</v>
      </c>
      <c r="V60" t="s">
        <v>36</v>
      </c>
      <c r="W60" t="s">
        <v>36</v>
      </c>
      <c r="X60" s="1">
        <v>42193.618055555555</v>
      </c>
      <c r="Y60" t="s">
        <v>36</v>
      </c>
      <c r="Z60" t="s">
        <v>36</v>
      </c>
      <c r="AA60" t="s">
        <v>36</v>
      </c>
      <c r="AB60" t="s">
        <v>36</v>
      </c>
      <c r="AC60" t="s">
        <v>36</v>
      </c>
      <c r="AD60" t="s">
        <v>36</v>
      </c>
      <c r="AE60" t="s">
        <v>36</v>
      </c>
      <c r="AF60" t="s">
        <v>36</v>
      </c>
      <c r="AG60" t="s">
        <v>36</v>
      </c>
      <c r="AH60" t="s">
        <v>36</v>
      </c>
      <c r="AI60" t="s">
        <v>36</v>
      </c>
      <c r="AJ60" t="s">
        <v>36</v>
      </c>
    </row>
    <row r="61" spans="1:36" x14ac:dyDescent="0.35">
      <c r="A61">
        <v>333</v>
      </c>
      <c r="B61" t="s">
        <v>201</v>
      </c>
      <c r="C61" t="s">
        <v>36</v>
      </c>
      <c r="D61" t="s">
        <v>36</v>
      </c>
      <c r="E61" t="s">
        <v>36</v>
      </c>
      <c r="F61" t="s">
        <v>36</v>
      </c>
      <c r="G61" t="s">
        <v>36</v>
      </c>
      <c r="H61" t="s">
        <v>36</v>
      </c>
      <c r="I61" t="s">
        <v>36</v>
      </c>
      <c r="J61" t="s">
        <v>36</v>
      </c>
      <c r="K61" t="s">
        <v>36</v>
      </c>
      <c r="L61" t="s">
        <v>36</v>
      </c>
      <c r="M61" t="s">
        <v>36</v>
      </c>
      <c r="N61" t="s">
        <v>36</v>
      </c>
      <c r="O61" t="s">
        <v>36</v>
      </c>
      <c r="P61" t="s">
        <v>36</v>
      </c>
      <c r="Q61" t="s">
        <v>36</v>
      </c>
      <c r="R61" t="s">
        <v>36</v>
      </c>
      <c r="S61" t="s">
        <v>36</v>
      </c>
      <c r="T61" t="s">
        <v>36</v>
      </c>
      <c r="U61" t="s">
        <v>36</v>
      </c>
      <c r="V61" t="s">
        <v>36</v>
      </c>
      <c r="W61" t="s">
        <v>36</v>
      </c>
      <c r="X61" t="s">
        <v>36</v>
      </c>
      <c r="Y61" t="s">
        <v>36</v>
      </c>
      <c r="Z61" t="s">
        <v>36</v>
      </c>
      <c r="AA61" t="s">
        <v>36</v>
      </c>
      <c r="AB61" t="s">
        <v>36</v>
      </c>
      <c r="AC61" t="s">
        <v>36</v>
      </c>
      <c r="AD61" t="s">
        <v>36</v>
      </c>
      <c r="AE61" t="s">
        <v>36</v>
      </c>
      <c r="AF61" s="1">
        <v>42492.5</v>
      </c>
      <c r="AG61" t="s">
        <v>36</v>
      </c>
      <c r="AH61" t="s">
        <v>36</v>
      </c>
      <c r="AI61" s="1">
        <v>42492.902777777781</v>
      </c>
      <c r="AJ61" s="1">
        <v>42496.555555555555</v>
      </c>
    </row>
    <row r="62" spans="1:36" x14ac:dyDescent="0.35">
      <c r="A62">
        <v>332</v>
      </c>
      <c r="B62" t="s">
        <v>200</v>
      </c>
      <c r="C62" t="s">
        <v>36</v>
      </c>
      <c r="D62" t="s">
        <v>36</v>
      </c>
      <c r="E62" t="s">
        <v>36</v>
      </c>
      <c r="F62" t="s">
        <v>36</v>
      </c>
      <c r="G62" t="s">
        <v>36</v>
      </c>
      <c r="H62" t="s">
        <v>36</v>
      </c>
      <c r="I62" t="s">
        <v>36</v>
      </c>
      <c r="J62" t="s">
        <v>36</v>
      </c>
      <c r="K62" t="s">
        <v>36</v>
      </c>
      <c r="L62" t="s">
        <v>36</v>
      </c>
      <c r="M62" t="s">
        <v>36</v>
      </c>
      <c r="N62" t="s">
        <v>36</v>
      </c>
      <c r="O62" t="s">
        <v>36</v>
      </c>
      <c r="P62" t="s">
        <v>36</v>
      </c>
      <c r="Q62" t="s">
        <v>36</v>
      </c>
      <c r="R62" t="s">
        <v>36</v>
      </c>
      <c r="S62" t="s">
        <v>36</v>
      </c>
      <c r="T62" t="s">
        <v>36</v>
      </c>
      <c r="U62" t="s">
        <v>36</v>
      </c>
      <c r="V62" t="s">
        <v>36</v>
      </c>
      <c r="W62" t="s">
        <v>36</v>
      </c>
      <c r="X62" t="s">
        <v>36</v>
      </c>
      <c r="Y62" t="s">
        <v>36</v>
      </c>
      <c r="Z62" t="s">
        <v>36</v>
      </c>
      <c r="AA62" t="s">
        <v>36</v>
      </c>
      <c r="AB62" t="s">
        <v>36</v>
      </c>
      <c r="AC62" t="s">
        <v>36</v>
      </c>
      <c r="AD62" t="s">
        <v>36</v>
      </c>
      <c r="AE62" t="s">
        <v>36</v>
      </c>
      <c r="AF62" s="1">
        <v>42492.5</v>
      </c>
      <c r="AG62" t="s">
        <v>36</v>
      </c>
      <c r="AH62" t="s">
        <v>36</v>
      </c>
      <c r="AI62" s="1">
        <v>42492.902777777781</v>
      </c>
      <c r="AJ62" s="1">
        <v>42496.555555555555</v>
      </c>
    </row>
    <row r="63" spans="1:36" x14ac:dyDescent="0.35">
      <c r="A63">
        <v>329</v>
      </c>
      <c r="B63" t="s">
        <v>197</v>
      </c>
      <c r="C63" t="s">
        <v>36</v>
      </c>
      <c r="D63" t="s">
        <v>36</v>
      </c>
      <c r="E63" t="s">
        <v>36</v>
      </c>
      <c r="F63" t="s">
        <v>36</v>
      </c>
      <c r="G63" s="1">
        <v>41426</v>
      </c>
      <c r="H63" t="s">
        <v>36</v>
      </c>
      <c r="I63" t="s">
        <v>36</v>
      </c>
      <c r="J63" t="s">
        <v>36</v>
      </c>
      <c r="K63" t="s">
        <v>36</v>
      </c>
      <c r="L63" t="s">
        <v>36</v>
      </c>
      <c r="M63" t="s">
        <v>36</v>
      </c>
      <c r="N63" t="s">
        <v>36</v>
      </c>
      <c r="O63" t="s">
        <v>36</v>
      </c>
      <c r="P63" s="1">
        <v>41426</v>
      </c>
      <c r="Q63" t="s">
        <v>36</v>
      </c>
      <c r="R63" t="s">
        <v>36</v>
      </c>
      <c r="S63" t="s">
        <v>36</v>
      </c>
      <c r="T63" s="1">
        <v>39873</v>
      </c>
      <c r="U63" t="s">
        <v>36</v>
      </c>
      <c r="V63" t="s">
        <v>36</v>
      </c>
      <c r="W63" t="s">
        <v>36</v>
      </c>
      <c r="X63" t="s">
        <v>36</v>
      </c>
      <c r="Y63" t="s">
        <v>36</v>
      </c>
      <c r="Z63" t="s">
        <v>36</v>
      </c>
      <c r="AA63" t="s">
        <v>36</v>
      </c>
      <c r="AB63" t="s">
        <v>36</v>
      </c>
      <c r="AC63" t="s">
        <v>36</v>
      </c>
      <c r="AD63" t="s">
        <v>36</v>
      </c>
      <c r="AE63" t="s">
        <v>36</v>
      </c>
      <c r="AF63" s="1">
        <v>41513.4375</v>
      </c>
      <c r="AG63" s="1">
        <v>43040</v>
      </c>
      <c r="AH63" t="s">
        <v>36</v>
      </c>
      <c r="AI63" s="1">
        <v>41365</v>
      </c>
      <c r="AJ63" s="1">
        <v>41426</v>
      </c>
    </row>
    <row r="64" spans="1:36" x14ac:dyDescent="0.35">
      <c r="A64">
        <v>399</v>
      </c>
      <c r="B64" t="s">
        <v>226</v>
      </c>
      <c r="C64" t="s">
        <v>36</v>
      </c>
      <c r="D64" t="s">
        <v>36</v>
      </c>
      <c r="E64" t="s">
        <v>36</v>
      </c>
      <c r="F64" t="s">
        <v>36</v>
      </c>
      <c r="G64" s="1">
        <v>41426</v>
      </c>
      <c r="H64" t="s">
        <v>36</v>
      </c>
      <c r="I64" t="s">
        <v>36</v>
      </c>
      <c r="J64" t="s">
        <v>36</v>
      </c>
      <c r="K64" t="s">
        <v>36</v>
      </c>
      <c r="L64" t="s">
        <v>36</v>
      </c>
      <c r="M64" t="s">
        <v>36</v>
      </c>
      <c r="N64" t="s">
        <v>36</v>
      </c>
      <c r="O64" t="s">
        <v>36</v>
      </c>
      <c r="P64" s="1">
        <v>41426</v>
      </c>
      <c r="Q64" t="s">
        <v>36</v>
      </c>
      <c r="R64" t="s">
        <v>36</v>
      </c>
      <c r="S64" t="s">
        <v>36</v>
      </c>
      <c r="T64" s="1">
        <v>39873</v>
      </c>
      <c r="U64" t="s">
        <v>36</v>
      </c>
      <c r="V64" t="s">
        <v>36</v>
      </c>
      <c r="W64" t="s">
        <v>36</v>
      </c>
      <c r="X64" t="s">
        <v>36</v>
      </c>
      <c r="Y64" t="s">
        <v>36</v>
      </c>
      <c r="Z64" t="s">
        <v>36</v>
      </c>
      <c r="AA64" t="s">
        <v>36</v>
      </c>
      <c r="AB64" t="s">
        <v>36</v>
      </c>
      <c r="AC64" t="s">
        <v>36</v>
      </c>
      <c r="AD64" t="s">
        <v>36</v>
      </c>
      <c r="AE64" t="s">
        <v>36</v>
      </c>
      <c r="AF64" s="1">
        <v>41513.4375</v>
      </c>
      <c r="AG64" s="1">
        <v>43040</v>
      </c>
      <c r="AH64" t="s">
        <v>36</v>
      </c>
      <c r="AI64" s="1">
        <v>41365</v>
      </c>
      <c r="AJ64" s="1">
        <v>41426</v>
      </c>
    </row>
    <row r="65" spans="1:36" x14ac:dyDescent="0.35">
      <c r="A65">
        <v>794</v>
      </c>
      <c r="B65" t="s">
        <v>270</v>
      </c>
      <c r="C65" t="s">
        <v>36</v>
      </c>
      <c r="D65" t="s">
        <v>36</v>
      </c>
      <c r="E65" t="s">
        <v>36</v>
      </c>
      <c r="F65" t="s">
        <v>36</v>
      </c>
      <c r="G65" t="s">
        <v>36</v>
      </c>
      <c r="H65" t="s">
        <v>36</v>
      </c>
      <c r="I65" t="s">
        <v>36</v>
      </c>
      <c r="J65" t="s">
        <v>36</v>
      </c>
      <c r="K65" t="s">
        <v>36</v>
      </c>
      <c r="L65" t="s">
        <v>36</v>
      </c>
      <c r="M65" t="s">
        <v>36</v>
      </c>
      <c r="N65" t="s">
        <v>36</v>
      </c>
      <c r="O65" t="s">
        <v>36</v>
      </c>
      <c r="P65" t="s">
        <v>36</v>
      </c>
      <c r="Q65" t="s">
        <v>36</v>
      </c>
      <c r="R65" t="s">
        <v>36</v>
      </c>
      <c r="S65" t="s">
        <v>36</v>
      </c>
      <c r="T65" t="s">
        <v>36</v>
      </c>
      <c r="U65" t="s">
        <v>36</v>
      </c>
      <c r="V65" t="s">
        <v>36</v>
      </c>
      <c r="W65" t="s">
        <v>36</v>
      </c>
      <c r="X65" t="s">
        <v>36</v>
      </c>
      <c r="Y65" t="s">
        <v>36</v>
      </c>
      <c r="Z65" t="s">
        <v>36</v>
      </c>
      <c r="AA65" t="s">
        <v>36</v>
      </c>
      <c r="AB65" s="1">
        <v>41225.597222222219</v>
      </c>
      <c r="AC65" t="s">
        <v>36</v>
      </c>
      <c r="AD65" t="s">
        <v>36</v>
      </c>
      <c r="AE65" t="s">
        <v>36</v>
      </c>
      <c r="AF65" t="s">
        <v>36</v>
      </c>
      <c r="AG65" t="s">
        <v>36</v>
      </c>
      <c r="AH65" t="s">
        <v>36</v>
      </c>
      <c r="AI65" t="s">
        <v>36</v>
      </c>
      <c r="AJ65" t="s">
        <v>36</v>
      </c>
    </row>
    <row r="66" spans="1:36" x14ac:dyDescent="0.35">
      <c r="A66">
        <v>9</v>
      </c>
      <c r="B66" t="s">
        <v>44</v>
      </c>
      <c r="C66" t="s">
        <v>36</v>
      </c>
      <c r="D66" t="s">
        <v>36</v>
      </c>
      <c r="E66" t="s">
        <v>36</v>
      </c>
      <c r="F66" t="s">
        <v>36</v>
      </c>
      <c r="G66" t="s">
        <v>36</v>
      </c>
      <c r="H66" t="s">
        <v>36</v>
      </c>
      <c r="I66" t="s">
        <v>36</v>
      </c>
      <c r="J66" t="s">
        <v>36</v>
      </c>
      <c r="K66" t="s">
        <v>36</v>
      </c>
      <c r="L66" t="s">
        <v>36</v>
      </c>
      <c r="M66" s="1">
        <v>43348.625</v>
      </c>
      <c r="N66" t="s">
        <v>36</v>
      </c>
      <c r="O66" t="s">
        <v>36</v>
      </c>
      <c r="P66" t="s">
        <v>36</v>
      </c>
      <c r="Q66" s="1">
        <v>40911.534722222219</v>
      </c>
      <c r="R66" t="s">
        <v>36</v>
      </c>
      <c r="S66" t="s">
        <v>36</v>
      </c>
      <c r="T66" t="s">
        <v>36</v>
      </c>
      <c r="U66" t="s">
        <v>36</v>
      </c>
      <c r="V66" t="s">
        <v>36</v>
      </c>
      <c r="W66" t="s">
        <v>36</v>
      </c>
      <c r="X66" t="s">
        <v>36</v>
      </c>
      <c r="Y66" t="s">
        <v>36</v>
      </c>
      <c r="Z66" t="s">
        <v>36</v>
      </c>
      <c r="AA66" t="s">
        <v>36</v>
      </c>
      <c r="AB66" t="s">
        <v>36</v>
      </c>
      <c r="AC66" t="s">
        <v>36</v>
      </c>
      <c r="AD66" t="s">
        <v>36</v>
      </c>
      <c r="AE66" t="s">
        <v>36</v>
      </c>
      <c r="AF66" t="s">
        <v>36</v>
      </c>
      <c r="AG66" t="s">
        <v>36</v>
      </c>
      <c r="AH66" t="s">
        <v>36</v>
      </c>
      <c r="AI66" t="s">
        <v>36</v>
      </c>
      <c r="AJ66" t="s">
        <v>36</v>
      </c>
    </row>
    <row r="67" spans="1:36" x14ac:dyDescent="0.35">
      <c r="A67">
        <v>93</v>
      </c>
      <c r="B67" t="s">
        <v>104</v>
      </c>
      <c r="C67" s="1">
        <v>42544.520833333336</v>
      </c>
      <c r="D67" t="s">
        <v>36</v>
      </c>
      <c r="E67" t="s">
        <v>36</v>
      </c>
      <c r="F67" t="s">
        <v>36</v>
      </c>
      <c r="G67" s="1">
        <v>41426</v>
      </c>
      <c r="H67" t="s">
        <v>36</v>
      </c>
      <c r="I67" t="s">
        <v>36</v>
      </c>
      <c r="J67" s="1">
        <v>43061.555555555555</v>
      </c>
      <c r="K67" s="1">
        <v>41061</v>
      </c>
      <c r="L67" t="s">
        <v>36</v>
      </c>
      <c r="M67" s="1">
        <v>43009</v>
      </c>
      <c r="N67" t="s">
        <v>36</v>
      </c>
      <c r="O67" t="s">
        <v>36</v>
      </c>
      <c r="P67" t="s">
        <v>36</v>
      </c>
      <c r="Q67" t="s">
        <v>36</v>
      </c>
      <c r="R67" t="s">
        <v>36</v>
      </c>
      <c r="S67" t="s">
        <v>36</v>
      </c>
      <c r="T67" s="1">
        <v>39873</v>
      </c>
      <c r="U67" t="s">
        <v>36</v>
      </c>
      <c r="V67" s="1">
        <v>42473.520833333336</v>
      </c>
      <c r="W67" s="1">
        <v>42477.895833333336</v>
      </c>
      <c r="X67" t="s">
        <v>36</v>
      </c>
      <c r="Y67" t="s">
        <v>36</v>
      </c>
      <c r="Z67" s="1">
        <v>42648.458333333336</v>
      </c>
      <c r="AA67" t="s">
        <v>36</v>
      </c>
      <c r="AB67" t="s">
        <v>36</v>
      </c>
      <c r="AC67" s="1">
        <v>42485.743055555555</v>
      </c>
      <c r="AD67" s="1">
        <v>42649.430555555555</v>
      </c>
      <c r="AE67" t="s">
        <v>36</v>
      </c>
      <c r="AF67" s="1">
        <v>41513.4375</v>
      </c>
      <c r="AG67" s="1">
        <v>43040</v>
      </c>
      <c r="AH67" t="s">
        <v>36</v>
      </c>
      <c r="AI67" s="1">
        <v>41365</v>
      </c>
      <c r="AJ67" s="1">
        <v>41426</v>
      </c>
    </row>
    <row r="68" spans="1:36" x14ac:dyDescent="0.35">
      <c r="A68">
        <v>94</v>
      </c>
      <c r="B68" t="s">
        <v>105</v>
      </c>
      <c r="C68" s="1">
        <v>42544.520833333336</v>
      </c>
      <c r="D68" t="s">
        <v>36</v>
      </c>
      <c r="E68" t="s">
        <v>36</v>
      </c>
      <c r="F68" t="s">
        <v>36</v>
      </c>
      <c r="G68" s="1">
        <v>41426</v>
      </c>
      <c r="H68" t="s">
        <v>36</v>
      </c>
      <c r="I68" t="s">
        <v>36</v>
      </c>
      <c r="J68" s="1">
        <v>43061.534722222219</v>
      </c>
      <c r="K68" s="1">
        <v>41061</v>
      </c>
      <c r="L68" t="s">
        <v>36</v>
      </c>
      <c r="M68" s="1">
        <v>43348.625</v>
      </c>
      <c r="N68" t="s">
        <v>36</v>
      </c>
      <c r="O68" t="s">
        <v>36</v>
      </c>
      <c r="P68" s="1">
        <v>41426</v>
      </c>
      <c r="Q68" t="s">
        <v>36</v>
      </c>
      <c r="R68" t="s">
        <v>36</v>
      </c>
      <c r="S68" t="s">
        <v>36</v>
      </c>
      <c r="T68" s="1">
        <v>39873</v>
      </c>
      <c r="U68" t="s">
        <v>36</v>
      </c>
      <c r="V68" s="1">
        <v>42473.520833333336</v>
      </c>
      <c r="W68" s="1">
        <v>42477.895833333336</v>
      </c>
      <c r="X68" t="s">
        <v>36</v>
      </c>
      <c r="Y68" t="s">
        <v>36</v>
      </c>
      <c r="Z68" s="1">
        <v>42648.458333333336</v>
      </c>
      <c r="AA68" t="s">
        <v>36</v>
      </c>
      <c r="AB68" t="s">
        <v>36</v>
      </c>
      <c r="AC68" s="1">
        <v>42485.743055555555</v>
      </c>
      <c r="AD68" s="1">
        <v>42649.430555555555</v>
      </c>
      <c r="AE68" t="s">
        <v>36</v>
      </c>
      <c r="AF68" s="1">
        <v>41513.4375</v>
      </c>
      <c r="AG68" s="1">
        <v>43040</v>
      </c>
      <c r="AH68" t="s">
        <v>36</v>
      </c>
      <c r="AI68" s="1">
        <v>41365</v>
      </c>
      <c r="AJ68" s="1">
        <v>41426</v>
      </c>
    </row>
    <row r="69" spans="1:36" x14ac:dyDescent="0.35">
      <c r="A69">
        <v>193</v>
      </c>
      <c r="B69" t="s">
        <v>142</v>
      </c>
      <c r="C69" t="s">
        <v>36</v>
      </c>
      <c r="D69" t="s">
        <v>36</v>
      </c>
      <c r="E69" t="s">
        <v>36</v>
      </c>
      <c r="F69" t="s">
        <v>36</v>
      </c>
      <c r="G69" t="s">
        <v>36</v>
      </c>
      <c r="H69" t="s">
        <v>36</v>
      </c>
      <c r="I69" t="s">
        <v>36</v>
      </c>
      <c r="J69" t="s">
        <v>36</v>
      </c>
      <c r="K69" t="s">
        <v>36</v>
      </c>
      <c r="L69" t="s">
        <v>36</v>
      </c>
      <c r="M69" t="s">
        <v>36</v>
      </c>
      <c r="N69" s="1">
        <v>42795</v>
      </c>
      <c r="O69" t="s">
        <v>36</v>
      </c>
      <c r="P69" t="s">
        <v>36</v>
      </c>
      <c r="Q69" t="s">
        <v>36</v>
      </c>
      <c r="R69" t="s">
        <v>36</v>
      </c>
      <c r="S69" t="s">
        <v>36</v>
      </c>
      <c r="T69" t="s">
        <v>36</v>
      </c>
      <c r="U69" t="s">
        <v>36</v>
      </c>
      <c r="V69" t="s">
        <v>36</v>
      </c>
      <c r="W69" t="s">
        <v>36</v>
      </c>
      <c r="X69" t="s">
        <v>36</v>
      </c>
      <c r="Y69" t="s">
        <v>36</v>
      </c>
      <c r="Z69" t="s">
        <v>36</v>
      </c>
      <c r="AA69" t="s">
        <v>36</v>
      </c>
      <c r="AB69" t="s">
        <v>36</v>
      </c>
      <c r="AC69" t="s">
        <v>36</v>
      </c>
      <c r="AD69" t="s">
        <v>36</v>
      </c>
      <c r="AE69" t="s">
        <v>36</v>
      </c>
      <c r="AF69" t="s">
        <v>36</v>
      </c>
      <c r="AG69" t="s">
        <v>36</v>
      </c>
      <c r="AH69" t="s">
        <v>36</v>
      </c>
      <c r="AI69" t="s">
        <v>36</v>
      </c>
      <c r="AJ69" t="s">
        <v>36</v>
      </c>
    </row>
    <row r="70" spans="1:36" x14ac:dyDescent="0.35">
      <c r="A70">
        <v>191</v>
      </c>
      <c r="B70" t="s">
        <v>140</v>
      </c>
      <c r="C70" t="s">
        <v>36</v>
      </c>
      <c r="D70" t="s">
        <v>36</v>
      </c>
      <c r="E70" t="s">
        <v>36</v>
      </c>
      <c r="F70" t="s">
        <v>36</v>
      </c>
      <c r="G70" t="s">
        <v>36</v>
      </c>
      <c r="H70" t="s">
        <v>36</v>
      </c>
      <c r="I70" t="s">
        <v>36</v>
      </c>
      <c r="J70" t="s">
        <v>36</v>
      </c>
      <c r="K70" t="s">
        <v>36</v>
      </c>
      <c r="L70" t="s">
        <v>36</v>
      </c>
      <c r="M70" t="s">
        <v>36</v>
      </c>
      <c r="N70" s="1">
        <v>42795</v>
      </c>
      <c r="O70" t="s">
        <v>36</v>
      </c>
      <c r="P70" t="s">
        <v>36</v>
      </c>
      <c r="Q70" t="s">
        <v>36</v>
      </c>
      <c r="R70" t="s">
        <v>36</v>
      </c>
      <c r="S70" t="s">
        <v>36</v>
      </c>
      <c r="T70" t="s">
        <v>36</v>
      </c>
      <c r="U70" t="s">
        <v>36</v>
      </c>
      <c r="V70" t="s">
        <v>36</v>
      </c>
      <c r="W70" t="s">
        <v>36</v>
      </c>
      <c r="X70" t="s">
        <v>36</v>
      </c>
      <c r="Y70" t="s">
        <v>36</v>
      </c>
      <c r="Z70" t="s">
        <v>36</v>
      </c>
      <c r="AA70" t="s">
        <v>36</v>
      </c>
      <c r="AB70" t="s">
        <v>36</v>
      </c>
      <c r="AC70" t="s">
        <v>36</v>
      </c>
      <c r="AD70" t="s">
        <v>36</v>
      </c>
      <c r="AE70" t="s">
        <v>36</v>
      </c>
      <c r="AF70" t="s">
        <v>36</v>
      </c>
      <c r="AG70" t="s">
        <v>36</v>
      </c>
      <c r="AH70" t="s">
        <v>36</v>
      </c>
      <c r="AI70" t="s">
        <v>36</v>
      </c>
      <c r="AJ70" t="s">
        <v>36</v>
      </c>
    </row>
    <row r="71" spans="1:36" x14ac:dyDescent="0.35">
      <c r="A71">
        <v>194</v>
      </c>
      <c r="B71" t="s">
        <v>143</v>
      </c>
      <c r="C71" t="s">
        <v>36</v>
      </c>
      <c r="D71" t="s">
        <v>36</v>
      </c>
      <c r="E71" t="s">
        <v>36</v>
      </c>
      <c r="F71" t="s">
        <v>36</v>
      </c>
      <c r="G71" t="s">
        <v>36</v>
      </c>
      <c r="H71" t="s">
        <v>36</v>
      </c>
      <c r="I71" t="s">
        <v>36</v>
      </c>
      <c r="J71" t="s">
        <v>36</v>
      </c>
      <c r="K71" t="s">
        <v>36</v>
      </c>
      <c r="L71" t="s">
        <v>36</v>
      </c>
      <c r="M71" t="s">
        <v>36</v>
      </c>
      <c r="N71" s="1">
        <v>42795</v>
      </c>
      <c r="O71" t="s">
        <v>36</v>
      </c>
      <c r="P71" t="s">
        <v>36</v>
      </c>
      <c r="Q71" t="s">
        <v>36</v>
      </c>
      <c r="R71" t="s">
        <v>36</v>
      </c>
      <c r="S71" t="s">
        <v>36</v>
      </c>
      <c r="T71" t="s">
        <v>36</v>
      </c>
      <c r="U71" t="s">
        <v>36</v>
      </c>
      <c r="V71" t="s">
        <v>36</v>
      </c>
      <c r="W71" t="s">
        <v>36</v>
      </c>
      <c r="X71" t="s">
        <v>36</v>
      </c>
      <c r="Y71" t="s">
        <v>36</v>
      </c>
      <c r="Z71" t="s">
        <v>36</v>
      </c>
      <c r="AA71" t="s">
        <v>36</v>
      </c>
      <c r="AB71" t="s">
        <v>36</v>
      </c>
      <c r="AC71" t="s">
        <v>36</v>
      </c>
      <c r="AD71" t="s">
        <v>36</v>
      </c>
      <c r="AE71" t="s">
        <v>36</v>
      </c>
      <c r="AF71" t="s">
        <v>36</v>
      </c>
      <c r="AG71" t="s">
        <v>36</v>
      </c>
      <c r="AH71" t="s">
        <v>36</v>
      </c>
      <c r="AI71" t="s">
        <v>36</v>
      </c>
      <c r="AJ71" t="s">
        <v>36</v>
      </c>
    </row>
    <row r="72" spans="1:36" x14ac:dyDescent="0.35">
      <c r="A72">
        <v>195</v>
      </c>
      <c r="B72" t="s">
        <v>144</v>
      </c>
      <c r="C72" t="s">
        <v>36</v>
      </c>
      <c r="D72" t="s">
        <v>36</v>
      </c>
      <c r="E72" t="s">
        <v>36</v>
      </c>
      <c r="F72" t="s">
        <v>36</v>
      </c>
      <c r="G72" t="s">
        <v>36</v>
      </c>
      <c r="H72" t="s">
        <v>36</v>
      </c>
      <c r="I72" t="s">
        <v>36</v>
      </c>
      <c r="J72" t="s">
        <v>36</v>
      </c>
      <c r="K72" t="s">
        <v>36</v>
      </c>
      <c r="L72" t="s">
        <v>36</v>
      </c>
      <c r="M72" t="s">
        <v>36</v>
      </c>
      <c r="N72" s="1">
        <v>42795</v>
      </c>
      <c r="O72" t="s">
        <v>36</v>
      </c>
      <c r="P72" t="s">
        <v>36</v>
      </c>
      <c r="Q72" t="s">
        <v>36</v>
      </c>
      <c r="R72" t="s">
        <v>36</v>
      </c>
      <c r="S72" t="s">
        <v>36</v>
      </c>
      <c r="T72" t="s">
        <v>36</v>
      </c>
      <c r="U72" t="s">
        <v>36</v>
      </c>
      <c r="V72" t="s">
        <v>36</v>
      </c>
      <c r="W72" t="s">
        <v>36</v>
      </c>
      <c r="X72" t="s">
        <v>36</v>
      </c>
      <c r="Y72" t="s">
        <v>36</v>
      </c>
      <c r="Z72" t="s">
        <v>36</v>
      </c>
      <c r="AA72" t="s">
        <v>36</v>
      </c>
      <c r="AB72" t="s">
        <v>36</v>
      </c>
      <c r="AC72" t="s">
        <v>36</v>
      </c>
      <c r="AD72" t="s">
        <v>36</v>
      </c>
      <c r="AE72" t="s">
        <v>36</v>
      </c>
      <c r="AF72" t="s">
        <v>36</v>
      </c>
      <c r="AG72" t="s">
        <v>36</v>
      </c>
      <c r="AH72" t="s">
        <v>36</v>
      </c>
      <c r="AI72" t="s">
        <v>36</v>
      </c>
      <c r="AJ72" t="s">
        <v>36</v>
      </c>
    </row>
    <row r="73" spans="1:36" x14ac:dyDescent="0.35">
      <c r="A73">
        <v>192</v>
      </c>
      <c r="B73" t="s">
        <v>141</v>
      </c>
      <c r="C73" t="s">
        <v>36</v>
      </c>
      <c r="D73" t="s">
        <v>36</v>
      </c>
      <c r="E73" t="s">
        <v>36</v>
      </c>
      <c r="F73" t="s">
        <v>36</v>
      </c>
      <c r="G73" t="s">
        <v>36</v>
      </c>
      <c r="H73" t="s">
        <v>36</v>
      </c>
      <c r="I73" t="s">
        <v>36</v>
      </c>
      <c r="J73" t="s">
        <v>36</v>
      </c>
      <c r="K73" t="s">
        <v>36</v>
      </c>
      <c r="L73" t="s">
        <v>36</v>
      </c>
      <c r="M73" t="s">
        <v>36</v>
      </c>
      <c r="N73" s="1">
        <v>42795</v>
      </c>
      <c r="O73" t="s">
        <v>36</v>
      </c>
      <c r="P73" t="s">
        <v>36</v>
      </c>
      <c r="Q73" t="s">
        <v>36</v>
      </c>
      <c r="R73" t="s">
        <v>36</v>
      </c>
      <c r="S73" t="s">
        <v>36</v>
      </c>
      <c r="T73" t="s">
        <v>36</v>
      </c>
      <c r="U73" t="s">
        <v>36</v>
      </c>
      <c r="V73" t="s">
        <v>36</v>
      </c>
      <c r="W73" t="s">
        <v>36</v>
      </c>
      <c r="X73" t="s">
        <v>36</v>
      </c>
      <c r="Y73" t="s">
        <v>36</v>
      </c>
      <c r="Z73" t="s">
        <v>36</v>
      </c>
      <c r="AA73" t="s">
        <v>36</v>
      </c>
      <c r="AB73" t="s">
        <v>36</v>
      </c>
      <c r="AC73" t="s">
        <v>36</v>
      </c>
      <c r="AD73" t="s">
        <v>36</v>
      </c>
      <c r="AE73" t="s">
        <v>36</v>
      </c>
      <c r="AF73" t="s">
        <v>36</v>
      </c>
      <c r="AG73" t="s">
        <v>36</v>
      </c>
      <c r="AH73" t="s">
        <v>36</v>
      </c>
      <c r="AI73" t="s">
        <v>36</v>
      </c>
      <c r="AJ73" t="s">
        <v>36</v>
      </c>
    </row>
    <row r="74" spans="1:36" x14ac:dyDescent="0.35">
      <c r="A74">
        <v>177</v>
      </c>
      <c r="B74" t="s">
        <v>133</v>
      </c>
      <c r="C74" t="s">
        <v>36</v>
      </c>
      <c r="D74" s="1">
        <v>42058.680555555555</v>
      </c>
      <c r="E74" t="s">
        <v>36</v>
      </c>
      <c r="F74" t="s">
        <v>36</v>
      </c>
      <c r="G74" t="s">
        <v>36</v>
      </c>
      <c r="H74" t="s">
        <v>36</v>
      </c>
      <c r="I74" t="s">
        <v>36</v>
      </c>
      <c r="J74" t="s">
        <v>36</v>
      </c>
      <c r="K74" t="s">
        <v>36</v>
      </c>
      <c r="L74" t="s">
        <v>36</v>
      </c>
      <c r="M74" t="s">
        <v>36</v>
      </c>
      <c r="N74" s="1">
        <v>42795</v>
      </c>
      <c r="O74" s="1">
        <v>42376.743055555555</v>
      </c>
      <c r="P74" t="s">
        <v>36</v>
      </c>
      <c r="Q74" t="s">
        <v>36</v>
      </c>
      <c r="R74" s="1">
        <v>43329.319444444445</v>
      </c>
      <c r="S74" t="s">
        <v>36</v>
      </c>
      <c r="T74" t="s">
        <v>36</v>
      </c>
      <c r="U74" t="s">
        <v>36</v>
      </c>
      <c r="V74" t="s">
        <v>36</v>
      </c>
      <c r="W74" t="s">
        <v>36</v>
      </c>
      <c r="X74" s="1">
        <v>42193.618055555555</v>
      </c>
      <c r="Y74" t="s">
        <v>36</v>
      </c>
      <c r="Z74" t="s">
        <v>36</v>
      </c>
      <c r="AA74" t="s">
        <v>36</v>
      </c>
      <c r="AB74" t="s">
        <v>36</v>
      </c>
      <c r="AC74" t="s">
        <v>36</v>
      </c>
      <c r="AD74" t="s">
        <v>36</v>
      </c>
      <c r="AE74" t="s">
        <v>36</v>
      </c>
      <c r="AF74" t="s">
        <v>36</v>
      </c>
      <c r="AG74" t="s">
        <v>36</v>
      </c>
      <c r="AH74" t="s">
        <v>36</v>
      </c>
      <c r="AI74" t="s">
        <v>36</v>
      </c>
      <c r="AJ74" t="s">
        <v>36</v>
      </c>
    </row>
    <row r="75" spans="1:36" x14ac:dyDescent="0.35">
      <c r="A75">
        <v>114</v>
      </c>
      <c r="B75" t="s">
        <v>112</v>
      </c>
      <c r="C75" t="s">
        <v>36</v>
      </c>
      <c r="D75" t="s">
        <v>36</v>
      </c>
      <c r="E75" t="s">
        <v>36</v>
      </c>
      <c r="F75" t="s">
        <v>36</v>
      </c>
      <c r="G75" s="1">
        <v>41426</v>
      </c>
      <c r="H75" t="s">
        <v>36</v>
      </c>
      <c r="I75" t="s">
        <v>36</v>
      </c>
      <c r="J75" t="s">
        <v>36</v>
      </c>
      <c r="K75" t="s">
        <v>36</v>
      </c>
      <c r="L75" t="s">
        <v>36</v>
      </c>
      <c r="M75" t="s">
        <v>36</v>
      </c>
      <c r="N75" t="s">
        <v>36</v>
      </c>
      <c r="O75" t="s">
        <v>36</v>
      </c>
      <c r="P75" t="s">
        <v>36</v>
      </c>
      <c r="Q75" t="s">
        <v>36</v>
      </c>
      <c r="R75" t="s">
        <v>36</v>
      </c>
      <c r="S75" t="s">
        <v>36</v>
      </c>
      <c r="T75" s="1">
        <v>39873</v>
      </c>
      <c r="U75" t="s">
        <v>36</v>
      </c>
      <c r="V75" t="s">
        <v>36</v>
      </c>
      <c r="W75" t="s">
        <v>36</v>
      </c>
      <c r="X75" t="s">
        <v>36</v>
      </c>
      <c r="Y75" t="s">
        <v>36</v>
      </c>
      <c r="Z75" t="s">
        <v>36</v>
      </c>
      <c r="AA75" t="s">
        <v>36</v>
      </c>
      <c r="AB75" t="s">
        <v>36</v>
      </c>
      <c r="AC75" t="s">
        <v>36</v>
      </c>
      <c r="AD75" t="s">
        <v>36</v>
      </c>
      <c r="AE75" t="s">
        <v>36</v>
      </c>
      <c r="AF75" s="1">
        <v>41513.4375</v>
      </c>
      <c r="AG75" t="s">
        <v>36</v>
      </c>
      <c r="AH75" t="s">
        <v>36</v>
      </c>
      <c r="AI75" s="1">
        <v>41365</v>
      </c>
      <c r="AJ75" s="1">
        <v>41426</v>
      </c>
    </row>
    <row r="76" spans="1:36" x14ac:dyDescent="0.35">
      <c r="A76">
        <v>317</v>
      </c>
      <c r="B76" t="s">
        <v>187</v>
      </c>
      <c r="C76" t="s">
        <v>36</v>
      </c>
      <c r="D76" t="s">
        <v>36</v>
      </c>
      <c r="E76" t="s">
        <v>36</v>
      </c>
      <c r="F76" t="s">
        <v>36</v>
      </c>
      <c r="G76" s="1">
        <v>41426</v>
      </c>
      <c r="H76" t="s">
        <v>36</v>
      </c>
      <c r="I76" t="s">
        <v>36</v>
      </c>
      <c r="J76" t="s">
        <v>36</v>
      </c>
      <c r="K76" t="s">
        <v>36</v>
      </c>
      <c r="L76" t="s">
        <v>36</v>
      </c>
      <c r="M76" t="s">
        <v>36</v>
      </c>
      <c r="N76" t="s">
        <v>36</v>
      </c>
      <c r="O76" t="s">
        <v>36</v>
      </c>
      <c r="P76" t="s">
        <v>36</v>
      </c>
      <c r="Q76" t="s">
        <v>36</v>
      </c>
      <c r="R76" t="s">
        <v>36</v>
      </c>
      <c r="S76" t="s">
        <v>36</v>
      </c>
      <c r="T76" s="1">
        <v>39873</v>
      </c>
      <c r="U76" t="s">
        <v>36</v>
      </c>
      <c r="V76" t="s">
        <v>36</v>
      </c>
      <c r="W76" t="s">
        <v>36</v>
      </c>
      <c r="X76" t="s">
        <v>36</v>
      </c>
      <c r="Y76" t="s">
        <v>36</v>
      </c>
      <c r="Z76" t="s">
        <v>36</v>
      </c>
      <c r="AA76" t="s">
        <v>36</v>
      </c>
      <c r="AB76" t="s">
        <v>36</v>
      </c>
      <c r="AC76" t="s">
        <v>36</v>
      </c>
      <c r="AD76" t="s">
        <v>36</v>
      </c>
      <c r="AE76" t="s">
        <v>36</v>
      </c>
      <c r="AF76" s="1">
        <v>41513.4375</v>
      </c>
      <c r="AG76" s="1">
        <v>43040</v>
      </c>
      <c r="AH76" t="s">
        <v>36</v>
      </c>
      <c r="AI76" s="1">
        <v>41365</v>
      </c>
      <c r="AJ76" s="1">
        <v>41426</v>
      </c>
    </row>
    <row r="77" spans="1:36" x14ac:dyDescent="0.35">
      <c r="A77">
        <v>117</v>
      </c>
      <c r="B77" t="s">
        <v>113</v>
      </c>
      <c r="C77" t="s">
        <v>36</v>
      </c>
      <c r="D77" t="s">
        <v>36</v>
      </c>
      <c r="E77" t="s">
        <v>36</v>
      </c>
      <c r="F77" t="s">
        <v>36</v>
      </c>
      <c r="G77" s="1">
        <v>41426</v>
      </c>
      <c r="H77" t="s">
        <v>36</v>
      </c>
      <c r="I77" t="s">
        <v>36</v>
      </c>
      <c r="J77" t="s">
        <v>36</v>
      </c>
      <c r="K77" t="s">
        <v>36</v>
      </c>
      <c r="L77" t="s">
        <v>36</v>
      </c>
      <c r="M77" s="1">
        <v>43348.625</v>
      </c>
      <c r="N77" t="s">
        <v>36</v>
      </c>
      <c r="O77" t="s">
        <v>36</v>
      </c>
      <c r="P77" t="s">
        <v>36</v>
      </c>
      <c r="Q77" t="s">
        <v>36</v>
      </c>
      <c r="R77" t="s">
        <v>36</v>
      </c>
      <c r="S77" t="s">
        <v>36</v>
      </c>
      <c r="T77" s="1">
        <v>39873</v>
      </c>
      <c r="U77" t="s">
        <v>36</v>
      </c>
      <c r="V77" t="s">
        <v>36</v>
      </c>
      <c r="W77" t="s">
        <v>36</v>
      </c>
      <c r="X77" t="s">
        <v>36</v>
      </c>
      <c r="Y77" t="s">
        <v>36</v>
      </c>
      <c r="Z77" t="s">
        <v>36</v>
      </c>
      <c r="AA77" t="s">
        <v>36</v>
      </c>
      <c r="AB77" t="s">
        <v>36</v>
      </c>
      <c r="AC77" t="s">
        <v>36</v>
      </c>
      <c r="AD77" t="s">
        <v>36</v>
      </c>
      <c r="AE77" t="s">
        <v>36</v>
      </c>
      <c r="AF77" s="1">
        <v>41513.4375</v>
      </c>
      <c r="AG77" t="s">
        <v>36</v>
      </c>
      <c r="AH77" t="s">
        <v>36</v>
      </c>
      <c r="AI77" s="1">
        <v>41365</v>
      </c>
      <c r="AJ77" s="1">
        <v>41426</v>
      </c>
    </row>
    <row r="78" spans="1:36" x14ac:dyDescent="0.35">
      <c r="A78">
        <v>197</v>
      </c>
      <c r="B78" t="s">
        <v>146</v>
      </c>
      <c r="C78" t="s">
        <v>36</v>
      </c>
      <c r="D78" t="s">
        <v>36</v>
      </c>
      <c r="E78" t="s">
        <v>36</v>
      </c>
      <c r="F78" t="s">
        <v>36</v>
      </c>
      <c r="G78" t="s">
        <v>36</v>
      </c>
      <c r="H78" t="s">
        <v>36</v>
      </c>
      <c r="I78" t="s">
        <v>36</v>
      </c>
      <c r="J78" t="s">
        <v>36</v>
      </c>
      <c r="K78" t="s">
        <v>36</v>
      </c>
      <c r="L78" t="s">
        <v>36</v>
      </c>
      <c r="M78" t="s">
        <v>36</v>
      </c>
      <c r="N78" s="1">
        <v>42795</v>
      </c>
      <c r="O78" t="s">
        <v>36</v>
      </c>
      <c r="P78" t="s">
        <v>36</v>
      </c>
      <c r="Q78" t="s">
        <v>36</v>
      </c>
      <c r="R78" t="s">
        <v>36</v>
      </c>
      <c r="S78" t="s">
        <v>36</v>
      </c>
      <c r="T78" t="s">
        <v>36</v>
      </c>
      <c r="U78" t="s">
        <v>36</v>
      </c>
      <c r="V78" t="s">
        <v>36</v>
      </c>
      <c r="W78" t="s">
        <v>36</v>
      </c>
      <c r="X78" t="s">
        <v>36</v>
      </c>
      <c r="Y78" t="s">
        <v>36</v>
      </c>
      <c r="Z78" t="s">
        <v>36</v>
      </c>
      <c r="AA78" t="s">
        <v>36</v>
      </c>
      <c r="AB78" t="s">
        <v>36</v>
      </c>
      <c r="AC78" t="s">
        <v>36</v>
      </c>
      <c r="AD78" t="s">
        <v>36</v>
      </c>
      <c r="AE78" t="s">
        <v>36</v>
      </c>
      <c r="AF78" t="s">
        <v>36</v>
      </c>
      <c r="AG78" t="s">
        <v>36</v>
      </c>
      <c r="AH78" t="s">
        <v>36</v>
      </c>
      <c r="AI78" t="s">
        <v>36</v>
      </c>
      <c r="AJ78" t="s">
        <v>36</v>
      </c>
    </row>
    <row r="79" spans="1:36" x14ac:dyDescent="0.35">
      <c r="A79">
        <v>198</v>
      </c>
      <c r="B79" t="s">
        <v>147</v>
      </c>
      <c r="C79" t="s">
        <v>36</v>
      </c>
      <c r="D79" t="s">
        <v>36</v>
      </c>
      <c r="E79" t="s">
        <v>36</v>
      </c>
      <c r="F79" t="s">
        <v>36</v>
      </c>
      <c r="G79" t="s">
        <v>36</v>
      </c>
      <c r="H79" t="s">
        <v>36</v>
      </c>
      <c r="I79" t="s">
        <v>36</v>
      </c>
      <c r="J79" t="s">
        <v>36</v>
      </c>
      <c r="K79" t="s">
        <v>36</v>
      </c>
      <c r="L79" t="s">
        <v>36</v>
      </c>
      <c r="M79" t="s">
        <v>36</v>
      </c>
      <c r="N79" s="1">
        <v>42795</v>
      </c>
      <c r="O79" t="s">
        <v>36</v>
      </c>
      <c r="P79" t="s">
        <v>36</v>
      </c>
      <c r="Q79" t="s">
        <v>36</v>
      </c>
      <c r="R79" t="s">
        <v>36</v>
      </c>
      <c r="S79" t="s">
        <v>36</v>
      </c>
      <c r="T79" t="s">
        <v>36</v>
      </c>
      <c r="U79" t="s">
        <v>36</v>
      </c>
      <c r="V79" t="s">
        <v>36</v>
      </c>
      <c r="W79" t="s">
        <v>36</v>
      </c>
      <c r="X79" t="s">
        <v>36</v>
      </c>
      <c r="Y79" t="s">
        <v>36</v>
      </c>
      <c r="Z79" t="s">
        <v>36</v>
      </c>
      <c r="AA79" t="s">
        <v>36</v>
      </c>
      <c r="AB79" t="s">
        <v>36</v>
      </c>
      <c r="AC79" t="s">
        <v>36</v>
      </c>
      <c r="AD79" t="s">
        <v>36</v>
      </c>
      <c r="AE79" t="s">
        <v>36</v>
      </c>
      <c r="AF79" t="s">
        <v>36</v>
      </c>
      <c r="AG79" t="s">
        <v>36</v>
      </c>
      <c r="AH79" t="s">
        <v>36</v>
      </c>
      <c r="AI79" t="s">
        <v>36</v>
      </c>
      <c r="AJ79" t="s">
        <v>36</v>
      </c>
    </row>
    <row r="80" spans="1:36" x14ac:dyDescent="0.35">
      <c r="A80">
        <v>455</v>
      </c>
      <c r="B80" t="s">
        <v>252</v>
      </c>
      <c r="C80" t="s">
        <v>36</v>
      </c>
      <c r="D80" t="s">
        <v>36</v>
      </c>
      <c r="E80" t="s">
        <v>36</v>
      </c>
      <c r="F80" t="s">
        <v>36</v>
      </c>
      <c r="G80" s="1">
        <v>41426</v>
      </c>
      <c r="H80" t="s">
        <v>36</v>
      </c>
      <c r="I80" t="s">
        <v>36</v>
      </c>
      <c r="J80" t="s">
        <v>36</v>
      </c>
      <c r="K80" t="s">
        <v>36</v>
      </c>
      <c r="L80" t="s">
        <v>36</v>
      </c>
      <c r="M80" t="s">
        <v>36</v>
      </c>
      <c r="N80" t="s">
        <v>36</v>
      </c>
      <c r="O80" t="s">
        <v>36</v>
      </c>
      <c r="P80" t="s">
        <v>36</v>
      </c>
      <c r="Q80" t="s">
        <v>36</v>
      </c>
      <c r="R80" t="s">
        <v>36</v>
      </c>
      <c r="S80" t="s">
        <v>36</v>
      </c>
      <c r="T80" s="1">
        <v>39873</v>
      </c>
      <c r="U80" t="s">
        <v>36</v>
      </c>
      <c r="V80" t="s">
        <v>36</v>
      </c>
      <c r="W80" t="s">
        <v>36</v>
      </c>
      <c r="X80" t="s">
        <v>36</v>
      </c>
      <c r="Y80" t="s">
        <v>36</v>
      </c>
      <c r="Z80" t="s">
        <v>36</v>
      </c>
      <c r="AA80" t="s">
        <v>36</v>
      </c>
      <c r="AB80" t="s">
        <v>36</v>
      </c>
      <c r="AC80" t="s">
        <v>36</v>
      </c>
      <c r="AD80" t="s">
        <v>36</v>
      </c>
      <c r="AE80" t="s">
        <v>36</v>
      </c>
      <c r="AF80" s="1">
        <v>41513.4375</v>
      </c>
      <c r="AG80" t="s">
        <v>36</v>
      </c>
      <c r="AH80" t="s">
        <v>36</v>
      </c>
      <c r="AI80" s="1">
        <v>41365</v>
      </c>
      <c r="AJ80" s="1">
        <v>41426</v>
      </c>
    </row>
    <row r="81" spans="1:36" x14ac:dyDescent="0.35">
      <c r="A81">
        <v>178</v>
      </c>
      <c r="B81" t="s">
        <v>134</v>
      </c>
      <c r="C81" s="1">
        <v>42528.291666666664</v>
      </c>
      <c r="D81" s="1">
        <v>42058.680555555555</v>
      </c>
      <c r="E81" s="1">
        <v>39245.465277777781</v>
      </c>
      <c r="F81" s="1">
        <v>43008.993055555555</v>
      </c>
      <c r="G81" t="s">
        <v>36</v>
      </c>
      <c r="H81" s="1">
        <v>43059.576388888891</v>
      </c>
      <c r="I81" s="1">
        <v>43050.451388888891</v>
      </c>
      <c r="J81" t="s">
        <v>36</v>
      </c>
      <c r="K81" s="1">
        <v>39600</v>
      </c>
      <c r="L81" t="s">
        <v>36</v>
      </c>
      <c r="M81" t="s">
        <v>36</v>
      </c>
      <c r="N81" s="1">
        <v>42795</v>
      </c>
      <c r="O81" s="1">
        <v>42376.743055555555</v>
      </c>
      <c r="P81" t="s">
        <v>36</v>
      </c>
      <c r="Q81" t="s">
        <v>36</v>
      </c>
      <c r="R81" t="s">
        <v>36</v>
      </c>
      <c r="S81" s="1">
        <v>42735.993055555555</v>
      </c>
      <c r="T81" t="s">
        <v>36</v>
      </c>
      <c r="U81" s="1">
        <v>43054.631944444445</v>
      </c>
      <c r="V81" s="1">
        <v>42473.520833333336</v>
      </c>
      <c r="W81" t="s">
        <v>36</v>
      </c>
      <c r="X81" s="1">
        <v>42193.618055555555</v>
      </c>
      <c r="Y81" s="1">
        <v>43396.4375</v>
      </c>
      <c r="Z81" s="1">
        <v>42648.458333333336</v>
      </c>
      <c r="AA81" s="1">
        <v>43054.611111111109</v>
      </c>
      <c r="AB81" s="1">
        <v>41225.597222222219</v>
      </c>
      <c r="AC81" s="1">
        <v>42485.743055555555</v>
      </c>
      <c r="AD81" s="1">
        <v>42649.430555555555</v>
      </c>
      <c r="AE81" s="1">
        <v>43397.416666666664</v>
      </c>
      <c r="AF81" t="s">
        <v>36</v>
      </c>
      <c r="AG81" t="s">
        <v>36</v>
      </c>
      <c r="AH81" s="1">
        <v>39659.506944444445</v>
      </c>
      <c r="AI81" t="s">
        <v>36</v>
      </c>
      <c r="AJ81" t="s">
        <v>36</v>
      </c>
    </row>
    <row r="82" spans="1:36" x14ac:dyDescent="0.35">
      <c r="A82">
        <v>196</v>
      </c>
      <c r="B82" t="s">
        <v>145</v>
      </c>
      <c r="C82" t="s">
        <v>36</v>
      </c>
      <c r="D82" t="s">
        <v>36</v>
      </c>
      <c r="E82" t="s">
        <v>36</v>
      </c>
      <c r="F82" t="s">
        <v>36</v>
      </c>
      <c r="G82" t="s">
        <v>36</v>
      </c>
      <c r="H82" t="s">
        <v>36</v>
      </c>
      <c r="I82" t="s">
        <v>36</v>
      </c>
      <c r="J82" t="s">
        <v>36</v>
      </c>
      <c r="K82" t="s">
        <v>36</v>
      </c>
      <c r="L82" t="s">
        <v>36</v>
      </c>
      <c r="M82" t="s">
        <v>36</v>
      </c>
      <c r="N82" s="1">
        <v>42795</v>
      </c>
      <c r="O82" t="s">
        <v>36</v>
      </c>
      <c r="P82" t="s">
        <v>36</v>
      </c>
      <c r="Q82" t="s">
        <v>36</v>
      </c>
      <c r="R82" t="s">
        <v>36</v>
      </c>
      <c r="S82" t="s">
        <v>36</v>
      </c>
      <c r="T82" t="s">
        <v>36</v>
      </c>
      <c r="U82" t="s">
        <v>36</v>
      </c>
      <c r="V82" t="s">
        <v>36</v>
      </c>
      <c r="W82" t="s">
        <v>36</v>
      </c>
      <c r="X82" t="s">
        <v>36</v>
      </c>
      <c r="Y82" t="s">
        <v>36</v>
      </c>
      <c r="Z82" t="s">
        <v>36</v>
      </c>
      <c r="AA82" t="s">
        <v>36</v>
      </c>
      <c r="AB82" t="s">
        <v>36</v>
      </c>
      <c r="AC82" t="s">
        <v>36</v>
      </c>
      <c r="AD82" t="s">
        <v>36</v>
      </c>
      <c r="AE82" t="s">
        <v>36</v>
      </c>
      <c r="AF82" t="s">
        <v>36</v>
      </c>
      <c r="AG82" t="s">
        <v>36</v>
      </c>
      <c r="AH82" t="s">
        <v>36</v>
      </c>
      <c r="AI82" t="s">
        <v>36</v>
      </c>
      <c r="AJ82" t="s">
        <v>36</v>
      </c>
    </row>
    <row r="83" spans="1:36" x14ac:dyDescent="0.35">
      <c r="A83">
        <v>422</v>
      </c>
      <c r="B83" t="s">
        <v>245</v>
      </c>
      <c r="C83" t="s">
        <v>36</v>
      </c>
      <c r="D83" t="s">
        <v>36</v>
      </c>
      <c r="E83" t="s">
        <v>36</v>
      </c>
      <c r="F83" t="s">
        <v>36</v>
      </c>
      <c r="G83" s="1">
        <v>41426</v>
      </c>
      <c r="H83" t="s">
        <v>36</v>
      </c>
      <c r="I83" t="s">
        <v>36</v>
      </c>
      <c r="J83" t="s">
        <v>36</v>
      </c>
      <c r="K83" t="s">
        <v>36</v>
      </c>
      <c r="L83" t="s">
        <v>36</v>
      </c>
      <c r="M83" t="s">
        <v>36</v>
      </c>
      <c r="N83" t="s">
        <v>36</v>
      </c>
      <c r="O83" t="s">
        <v>36</v>
      </c>
      <c r="P83" t="s">
        <v>36</v>
      </c>
      <c r="Q83" t="s">
        <v>36</v>
      </c>
      <c r="R83" t="s">
        <v>36</v>
      </c>
      <c r="S83" t="s">
        <v>36</v>
      </c>
      <c r="T83" s="1">
        <v>39873</v>
      </c>
      <c r="U83" t="s">
        <v>36</v>
      </c>
      <c r="V83" t="s">
        <v>36</v>
      </c>
      <c r="W83" t="s">
        <v>36</v>
      </c>
      <c r="X83" t="s">
        <v>36</v>
      </c>
      <c r="Y83" t="s">
        <v>36</v>
      </c>
      <c r="Z83" t="s">
        <v>36</v>
      </c>
      <c r="AA83" t="s">
        <v>36</v>
      </c>
      <c r="AB83" t="s">
        <v>36</v>
      </c>
      <c r="AC83" t="s">
        <v>36</v>
      </c>
      <c r="AD83" t="s">
        <v>36</v>
      </c>
      <c r="AE83" t="s">
        <v>36</v>
      </c>
      <c r="AF83" s="1">
        <v>41513.4375</v>
      </c>
      <c r="AG83" t="s">
        <v>36</v>
      </c>
      <c r="AH83" t="s">
        <v>36</v>
      </c>
      <c r="AI83" s="1">
        <v>41365</v>
      </c>
      <c r="AJ83" s="1">
        <v>41426</v>
      </c>
    </row>
    <row r="84" spans="1:36" x14ac:dyDescent="0.35">
      <c r="A84">
        <v>203</v>
      </c>
      <c r="B84" t="s">
        <v>149</v>
      </c>
      <c r="C84" t="s">
        <v>36</v>
      </c>
      <c r="D84" s="1">
        <v>42058.680555555555</v>
      </c>
      <c r="E84" t="s">
        <v>36</v>
      </c>
      <c r="F84" t="s">
        <v>36</v>
      </c>
      <c r="G84" t="s">
        <v>36</v>
      </c>
      <c r="H84" t="s">
        <v>36</v>
      </c>
      <c r="I84" t="s">
        <v>36</v>
      </c>
      <c r="J84" t="s">
        <v>36</v>
      </c>
      <c r="K84" t="s">
        <v>36</v>
      </c>
      <c r="L84" t="s">
        <v>36</v>
      </c>
      <c r="M84" t="s">
        <v>36</v>
      </c>
      <c r="N84" s="1">
        <v>42795</v>
      </c>
      <c r="O84" s="1">
        <v>42662.875</v>
      </c>
      <c r="P84" t="s">
        <v>36</v>
      </c>
      <c r="Q84" t="s">
        <v>36</v>
      </c>
      <c r="R84" t="s">
        <v>36</v>
      </c>
      <c r="S84" t="s">
        <v>36</v>
      </c>
      <c r="T84" t="s">
        <v>36</v>
      </c>
      <c r="U84" t="s">
        <v>36</v>
      </c>
      <c r="V84" t="s">
        <v>36</v>
      </c>
      <c r="W84" t="s">
        <v>36</v>
      </c>
      <c r="X84" s="1">
        <v>42193.618055555555</v>
      </c>
      <c r="Y84" t="s">
        <v>36</v>
      </c>
      <c r="Z84" t="s">
        <v>36</v>
      </c>
      <c r="AA84" t="s">
        <v>36</v>
      </c>
      <c r="AB84" t="s">
        <v>36</v>
      </c>
      <c r="AC84" t="s">
        <v>36</v>
      </c>
      <c r="AD84" t="s">
        <v>36</v>
      </c>
      <c r="AE84" t="s">
        <v>36</v>
      </c>
      <c r="AF84" t="s">
        <v>36</v>
      </c>
      <c r="AG84" t="s">
        <v>36</v>
      </c>
      <c r="AH84" t="s">
        <v>36</v>
      </c>
      <c r="AI84" t="s">
        <v>36</v>
      </c>
      <c r="AJ84" t="s">
        <v>36</v>
      </c>
    </row>
    <row r="85" spans="1:36" x14ac:dyDescent="0.35">
      <c r="A85">
        <v>204</v>
      </c>
      <c r="B85" t="s">
        <v>150</v>
      </c>
      <c r="C85" t="s">
        <v>36</v>
      </c>
      <c r="D85" s="1">
        <v>42058.680555555555</v>
      </c>
      <c r="E85" t="s">
        <v>36</v>
      </c>
      <c r="F85" t="s">
        <v>36</v>
      </c>
      <c r="G85" t="s">
        <v>36</v>
      </c>
      <c r="H85" t="s">
        <v>36</v>
      </c>
      <c r="I85" t="s">
        <v>36</v>
      </c>
      <c r="J85" t="s">
        <v>36</v>
      </c>
      <c r="K85" t="s">
        <v>36</v>
      </c>
      <c r="L85" t="s">
        <v>36</v>
      </c>
      <c r="M85" t="s">
        <v>36</v>
      </c>
      <c r="N85" s="1">
        <v>42795</v>
      </c>
      <c r="O85" s="1">
        <v>42662.875</v>
      </c>
      <c r="P85" t="s">
        <v>36</v>
      </c>
      <c r="Q85" t="s">
        <v>36</v>
      </c>
      <c r="R85" t="s">
        <v>36</v>
      </c>
      <c r="S85" t="s">
        <v>36</v>
      </c>
      <c r="T85" t="s">
        <v>36</v>
      </c>
      <c r="U85" t="s">
        <v>36</v>
      </c>
      <c r="V85" t="s">
        <v>36</v>
      </c>
      <c r="W85" t="s">
        <v>36</v>
      </c>
      <c r="X85" s="1">
        <v>42193.618055555555</v>
      </c>
      <c r="Y85" t="s">
        <v>36</v>
      </c>
      <c r="Z85" t="s">
        <v>36</v>
      </c>
      <c r="AA85" t="s">
        <v>36</v>
      </c>
      <c r="AB85" t="s">
        <v>36</v>
      </c>
      <c r="AC85" t="s">
        <v>36</v>
      </c>
      <c r="AD85" t="s">
        <v>36</v>
      </c>
      <c r="AE85" t="s">
        <v>36</v>
      </c>
      <c r="AF85" t="s">
        <v>36</v>
      </c>
      <c r="AG85" t="s">
        <v>36</v>
      </c>
      <c r="AH85" t="s">
        <v>36</v>
      </c>
      <c r="AI85" t="s">
        <v>36</v>
      </c>
      <c r="AJ85" t="s">
        <v>36</v>
      </c>
    </row>
    <row r="86" spans="1:36" x14ac:dyDescent="0.35">
      <c r="A86">
        <v>122</v>
      </c>
      <c r="B86" t="s">
        <v>116</v>
      </c>
      <c r="C86" t="s">
        <v>36</v>
      </c>
      <c r="D86" t="s">
        <v>36</v>
      </c>
      <c r="E86" t="s">
        <v>36</v>
      </c>
      <c r="F86" t="s">
        <v>36</v>
      </c>
      <c r="G86" t="s">
        <v>36</v>
      </c>
      <c r="H86" t="s">
        <v>36</v>
      </c>
      <c r="I86" t="s">
        <v>36</v>
      </c>
      <c r="J86" t="s">
        <v>36</v>
      </c>
      <c r="K86" t="s">
        <v>36</v>
      </c>
      <c r="L86" t="s">
        <v>36</v>
      </c>
      <c r="M86" t="s">
        <v>36</v>
      </c>
      <c r="N86" t="s">
        <v>36</v>
      </c>
      <c r="O86" t="s">
        <v>36</v>
      </c>
      <c r="P86" t="s">
        <v>36</v>
      </c>
      <c r="Q86" t="s">
        <v>36</v>
      </c>
      <c r="R86" t="s">
        <v>36</v>
      </c>
      <c r="S86" t="s">
        <v>36</v>
      </c>
      <c r="T86" t="s">
        <v>36</v>
      </c>
      <c r="U86" t="s">
        <v>36</v>
      </c>
      <c r="V86" t="s">
        <v>36</v>
      </c>
      <c r="W86" t="s">
        <v>36</v>
      </c>
      <c r="X86" t="s">
        <v>36</v>
      </c>
      <c r="Y86" t="s">
        <v>36</v>
      </c>
      <c r="Z86" t="s">
        <v>36</v>
      </c>
      <c r="AA86" t="s">
        <v>36</v>
      </c>
      <c r="AB86" t="s">
        <v>36</v>
      </c>
      <c r="AC86" t="s">
        <v>36</v>
      </c>
      <c r="AD86" t="s">
        <v>36</v>
      </c>
      <c r="AE86" t="s">
        <v>36</v>
      </c>
      <c r="AF86" t="s">
        <v>36</v>
      </c>
      <c r="AG86" t="s">
        <v>36</v>
      </c>
      <c r="AH86" t="s">
        <v>36</v>
      </c>
      <c r="AI86" t="s">
        <v>36</v>
      </c>
      <c r="AJ86" t="s">
        <v>36</v>
      </c>
    </row>
    <row r="87" spans="1:36" x14ac:dyDescent="0.35">
      <c r="A87">
        <v>119</v>
      </c>
      <c r="B87" t="s">
        <v>115</v>
      </c>
      <c r="C87" s="1">
        <v>42528.291666666664</v>
      </c>
      <c r="D87" s="1">
        <v>42058.680555555555</v>
      </c>
      <c r="E87" t="s">
        <v>36</v>
      </c>
      <c r="F87" t="s">
        <v>36</v>
      </c>
      <c r="G87" s="1">
        <v>41426</v>
      </c>
      <c r="H87" t="s">
        <v>36</v>
      </c>
      <c r="I87" t="s">
        <v>36</v>
      </c>
      <c r="J87" t="s">
        <v>36</v>
      </c>
      <c r="K87" s="1">
        <v>39600</v>
      </c>
      <c r="L87" t="s">
        <v>36</v>
      </c>
      <c r="M87" t="s">
        <v>36</v>
      </c>
      <c r="N87" s="1">
        <v>42795</v>
      </c>
      <c r="O87" s="1">
        <v>42376.743055555555</v>
      </c>
      <c r="P87" t="s">
        <v>36</v>
      </c>
      <c r="Q87" t="s">
        <v>36</v>
      </c>
      <c r="R87" t="s">
        <v>36</v>
      </c>
      <c r="S87" t="s">
        <v>36</v>
      </c>
      <c r="T87" s="1">
        <v>39873</v>
      </c>
      <c r="U87" t="s">
        <v>36</v>
      </c>
      <c r="V87" s="1">
        <v>42473.520833333336</v>
      </c>
      <c r="W87" t="s">
        <v>36</v>
      </c>
      <c r="X87" s="1">
        <v>42193.618055555555</v>
      </c>
      <c r="Y87" t="s">
        <v>36</v>
      </c>
      <c r="Z87" s="1">
        <v>42648.458333333336</v>
      </c>
      <c r="AA87" t="s">
        <v>36</v>
      </c>
      <c r="AB87" t="s">
        <v>36</v>
      </c>
      <c r="AC87" s="1">
        <v>42485.743055555555</v>
      </c>
      <c r="AD87" s="1">
        <v>42649.430555555555</v>
      </c>
      <c r="AE87" t="s">
        <v>36</v>
      </c>
      <c r="AF87" s="1">
        <v>41513.4375</v>
      </c>
      <c r="AG87" s="1">
        <v>43040</v>
      </c>
      <c r="AH87" t="s">
        <v>36</v>
      </c>
      <c r="AI87" s="1">
        <v>41365</v>
      </c>
      <c r="AJ87" s="1">
        <v>41426</v>
      </c>
    </row>
    <row r="88" spans="1:36" x14ac:dyDescent="0.35">
      <c r="A88">
        <v>287</v>
      </c>
      <c r="B88" t="s">
        <v>167</v>
      </c>
      <c r="C88" t="s">
        <v>36</v>
      </c>
      <c r="D88" t="s">
        <v>36</v>
      </c>
      <c r="E88" t="s">
        <v>36</v>
      </c>
      <c r="F88" t="s">
        <v>36</v>
      </c>
      <c r="G88" t="s">
        <v>36</v>
      </c>
      <c r="H88" t="s">
        <v>36</v>
      </c>
      <c r="I88" t="s">
        <v>36</v>
      </c>
      <c r="J88" s="1">
        <v>42995.930555555555</v>
      </c>
      <c r="K88" t="s">
        <v>36</v>
      </c>
      <c r="L88" s="1">
        <v>42940.347222222219</v>
      </c>
      <c r="M88" t="s">
        <v>36</v>
      </c>
      <c r="N88" t="s">
        <v>36</v>
      </c>
      <c r="O88" t="s">
        <v>36</v>
      </c>
      <c r="P88" t="s">
        <v>36</v>
      </c>
      <c r="Q88" t="s">
        <v>36</v>
      </c>
      <c r="R88" t="s">
        <v>36</v>
      </c>
      <c r="S88" t="s">
        <v>36</v>
      </c>
      <c r="T88" t="s">
        <v>36</v>
      </c>
      <c r="U88" t="s">
        <v>36</v>
      </c>
      <c r="V88" t="s">
        <v>36</v>
      </c>
      <c r="W88" t="s">
        <v>36</v>
      </c>
      <c r="X88" t="s">
        <v>36</v>
      </c>
      <c r="Y88" t="s">
        <v>36</v>
      </c>
      <c r="Z88" t="s">
        <v>36</v>
      </c>
      <c r="AA88" t="s">
        <v>36</v>
      </c>
      <c r="AB88" t="s">
        <v>36</v>
      </c>
      <c r="AC88" t="s">
        <v>36</v>
      </c>
      <c r="AD88" t="s">
        <v>36</v>
      </c>
      <c r="AE88" t="s">
        <v>36</v>
      </c>
      <c r="AF88" t="s">
        <v>36</v>
      </c>
      <c r="AG88" t="s">
        <v>36</v>
      </c>
      <c r="AH88" t="s">
        <v>36</v>
      </c>
      <c r="AI88" t="s">
        <v>36</v>
      </c>
      <c r="AJ88" t="s">
        <v>36</v>
      </c>
    </row>
    <row r="89" spans="1:36" x14ac:dyDescent="0.35">
      <c r="A89">
        <v>288</v>
      </c>
      <c r="B89" t="s">
        <v>168</v>
      </c>
      <c r="C89" t="s">
        <v>36</v>
      </c>
      <c r="D89" t="s">
        <v>36</v>
      </c>
      <c r="E89" t="s">
        <v>36</v>
      </c>
      <c r="F89" t="s">
        <v>36</v>
      </c>
      <c r="G89" t="s">
        <v>36</v>
      </c>
      <c r="H89" t="s">
        <v>36</v>
      </c>
      <c r="I89" t="s">
        <v>36</v>
      </c>
      <c r="J89" s="1">
        <v>42995.930555555555</v>
      </c>
      <c r="K89" t="s">
        <v>36</v>
      </c>
      <c r="L89" s="1">
        <v>42940.347222222219</v>
      </c>
      <c r="M89" t="s">
        <v>36</v>
      </c>
      <c r="N89" t="s">
        <v>36</v>
      </c>
      <c r="O89" t="s">
        <v>36</v>
      </c>
      <c r="P89" t="s">
        <v>36</v>
      </c>
      <c r="Q89" t="s">
        <v>36</v>
      </c>
      <c r="R89" t="s">
        <v>36</v>
      </c>
      <c r="S89" t="s">
        <v>36</v>
      </c>
      <c r="T89" t="s">
        <v>36</v>
      </c>
      <c r="U89" t="s">
        <v>36</v>
      </c>
      <c r="V89" t="s">
        <v>36</v>
      </c>
      <c r="W89" t="s">
        <v>36</v>
      </c>
      <c r="X89" t="s">
        <v>36</v>
      </c>
      <c r="Y89" t="s">
        <v>36</v>
      </c>
      <c r="Z89" t="s">
        <v>36</v>
      </c>
      <c r="AA89" t="s">
        <v>36</v>
      </c>
      <c r="AB89" t="s">
        <v>36</v>
      </c>
      <c r="AC89" t="s">
        <v>36</v>
      </c>
      <c r="AD89" t="s">
        <v>36</v>
      </c>
      <c r="AE89" t="s">
        <v>36</v>
      </c>
      <c r="AF89" t="s">
        <v>36</v>
      </c>
      <c r="AG89" t="s">
        <v>36</v>
      </c>
      <c r="AH89" t="s">
        <v>36</v>
      </c>
      <c r="AI89" t="s">
        <v>36</v>
      </c>
      <c r="AJ89" t="s">
        <v>36</v>
      </c>
    </row>
    <row r="90" spans="1:36" x14ac:dyDescent="0.35">
      <c r="A90">
        <v>118</v>
      </c>
      <c r="B90" t="s">
        <v>114</v>
      </c>
      <c r="C90" s="1">
        <v>42528.291666666664</v>
      </c>
      <c r="D90" s="1">
        <v>42087.777777777781</v>
      </c>
      <c r="E90" t="s">
        <v>36</v>
      </c>
      <c r="F90" t="s">
        <v>36</v>
      </c>
      <c r="G90" s="1">
        <v>41426</v>
      </c>
      <c r="H90" t="s">
        <v>36</v>
      </c>
      <c r="I90" t="s">
        <v>36</v>
      </c>
      <c r="J90" t="s">
        <v>36</v>
      </c>
      <c r="K90" s="1">
        <v>39600</v>
      </c>
      <c r="L90" t="s">
        <v>36</v>
      </c>
      <c r="M90" t="s">
        <v>36</v>
      </c>
      <c r="N90" s="1">
        <v>42795</v>
      </c>
      <c r="O90" s="1">
        <v>42662.868055555555</v>
      </c>
      <c r="P90" t="s">
        <v>36</v>
      </c>
      <c r="Q90" t="s">
        <v>36</v>
      </c>
      <c r="R90" t="s">
        <v>36</v>
      </c>
      <c r="S90" t="s">
        <v>36</v>
      </c>
      <c r="T90" s="1">
        <v>39873</v>
      </c>
      <c r="U90" t="s">
        <v>36</v>
      </c>
      <c r="V90" s="1">
        <v>42473.520833333336</v>
      </c>
      <c r="W90" t="s">
        <v>36</v>
      </c>
      <c r="X90" s="1">
        <v>42193.618055555555</v>
      </c>
      <c r="Y90" t="s">
        <v>36</v>
      </c>
      <c r="Z90" s="1">
        <v>42648.458333333336</v>
      </c>
      <c r="AA90" t="s">
        <v>36</v>
      </c>
      <c r="AB90" t="s">
        <v>36</v>
      </c>
      <c r="AC90" s="1">
        <v>42485.743055555555</v>
      </c>
      <c r="AD90" s="1">
        <v>42649.430555555555</v>
      </c>
      <c r="AE90" t="s">
        <v>36</v>
      </c>
      <c r="AF90" s="1">
        <v>41513.4375</v>
      </c>
      <c r="AG90" s="1">
        <v>43040</v>
      </c>
      <c r="AH90" t="s">
        <v>36</v>
      </c>
      <c r="AI90" s="1">
        <v>41365</v>
      </c>
      <c r="AJ90" s="1">
        <v>41426</v>
      </c>
    </row>
    <row r="91" spans="1:36" x14ac:dyDescent="0.35">
      <c r="A91">
        <v>289</v>
      </c>
      <c r="B91" t="s">
        <v>169</v>
      </c>
      <c r="C91" t="s">
        <v>36</v>
      </c>
      <c r="D91" t="s">
        <v>36</v>
      </c>
      <c r="E91" t="s">
        <v>36</v>
      </c>
      <c r="F91" t="s">
        <v>36</v>
      </c>
      <c r="G91" s="1">
        <v>42482.388888888891</v>
      </c>
      <c r="H91" t="s">
        <v>36</v>
      </c>
      <c r="I91" t="s">
        <v>36</v>
      </c>
      <c r="J91" t="s">
        <v>36</v>
      </c>
      <c r="K91" t="s">
        <v>36</v>
      </c>
      <c r="L91" t="s">
        <v>36</v>
      </c>
      <c r="M91" t="s">
        <v>36</v>
      </c>
      <c r="N91" t="s">
        <v>36</v>
      </c>
      <c r="O91" t="s">
        <v>36</v>
      </c>
      <c r="P91" s="1">
        <v>42482.381944444445</v>
      </c>
      <c r="Q91" t="s">
        <v>36</v>
      </c>
      <c r="R91" t="s">
        <v>36</v>
      </c>
      <c r="S91" t="s">
        <v>36</v>
      </c>
      <c r="T91" s="1">
        <v>42492.868055555555</v>
      </c>
      <c r="U91" t="s">
        <v>36</v>
      </c>
      <c r="V91" t="s">
        <v>36</v>
      </c>
      <c r="W91" t="s">
        <v>36</v>
      </c>
      <c r="X91" t="s">
        <v>36</v>
      </c>
      <c r="Y91" t="s">
        <v>36</v>
      </c>
      <c r="Z91" t="s">
        <v>36</v>
      </c>
      <c r="AA91" t="s">
        <v>36</v>
      </c>
      <c r="AB91" t="s">
        <v>36</v>
      </c>
      <c r="AC91" t="s">
        <v>36</v>
      </c>
      <c r="AD91" t="s">
        <v>36</v>
      </c>
      <c r="AE91" t="s">
        <v>36</v>
      </c>
      <c r="AF91" s="1">
        <v>42492.493055555555</v>
      </c>
      <c r="AG91" t="s">
        <v>36</v>
      </c>
      <c r="AH91" t="s">
        <v>36</v>
      </c>
      <c r="AI91" s="1">
        <v>42492.895833333336</v>
      </c>
      <c r="AJ91" s="1">
        <v>42496.548611111109</v>
      </c>
    </row>
    <row r="92" spans="1:36" x14ac:dyDescent="0.35">
      <c r="A92">
        <v>290</v>
      </c>
      <c r="B92" t="s">
        <v>170</v>
      </c>
      <c r="C92" t="s">
        <v>36</v>
      </c>
      <c r="D92" t="s">
        <v>36</v>
      </c>
      <c r="E92" t="s">
        <v>36</v>
      </c>
      <c r="F92" t="s">
        <v>36</v>
      </c>
      <c r="G92" s="1">
        <v>42482.388888888891</v>
      </c>
      <c r="H92" t="s">
        <v>36</v>
      </c>
      <c r="I92" t="s">
        <v>36</v>
      </c>
      <c r="J92" t="s">
        <v>36</v>
      </c>
      <c r="K92" t="s">
        <v>36</v>
      </c>
      <c r="L92" t="s">
        <v>36</v>
      </c>
      <c r="M92" t="s">
        <v>36</v>
      </c>
      <c r="N92" t="s">
        <v>36</v>
      </c>
      <c r="O92" t="s">
        <v>36</v>
      </c>
      <c r="P92" s="1">
        <v>42482.381944444445</v>
      </c>
      <c r="Q92" t="s">
        <v>36</v>
      </c>
      <c r="R92" t="s">
        <v>36</v>
      </c>
      <c r="S92" t="s">
        <v>36</v>
      </c>
      <c r="T92" s="1">
        <v>42492.868055555555</v>
      </c>
      <c r="U92" t="s">
        <v>36</v>
      </c>
      <c r="V92" t="s">
        <v>36</v>
      </c>
      <c r="W92" t="s">
        <v>36</v>
      </c>
      <c r="X92" t="s">
        <v>36</v>
      </c>
      <c r="Y92" t="s">
        <v>36</v>
      </c>
      <c r="Z92" t="s">
        <v>36</v>
      </c>
      <c r="AA92" t="s">
        <v>36</v>
      </c>
      <c r="AB92" t="s">
        <v>36</v>
      </c>
      <c r="AC92" t="s">
        <v>36</v>
      </c>
      <c r="AD92" t="s">
        <v>36</v>
      </c>
      <c r="AE92" t="s">
        <v>36</v>
      </c>
      <c r="AF92" s="1">
        <v>42492.493055555555</v>
      </c>
      <c r="AG92" t="s">
        <v>36</v>
      </c>
      <c r="AH92" t="s">
        <v>36</v>
      </c>
      <c r="AI92" s="1">
        <v>42492.895833333336</v>
      </c>
      <c r="AJ92" s="1">
        <v>42496.548611111109</v>
      </c>
    </row>
    <row r="93" spans="1:36" x14ac:dyDescent="0.35">
      <c r="A93">
        <v>102</v>
      </c>
      <c r="B93" t="s">
        <v>110</v>
      </c>
      <c r="C93" t="s">
        <v>36</v>
      </c>
      <c r="D93" t="s">
        <v>36</v>
      </c>
      <c r="E93" t="s">
        <v>36</v>
      </c>
      <c r="F93" t="s">
        <v>36</v>
      </c>
      <c r="G93" t="s">
        <v>36</v>
      </c>
      <c r="H93" t="s">
        <v>36</v>
      </c>
      <c r="I93" t="s">
        <v>36</v>
      </c>
      <c r="J93" t="s">
        <v>36</v>
      </c>
      <c r="K93" t="s">
        <v>36</v>
      </c>
      <c r="L93" t="s">
        <v>36</v>
      </c>
      <c r="M93" t="s">
        <v>36</v>
      </c>
      <c r="N93" s="1">
        <v>42795</v>
      </c>
      <c r="O93" t="s">
        <v>36</v>
      </c>
      <c r="P93" t="s">
        <v>36</v>
      </c>
      <c r="Q93" t="s">
        <v>36</v>
      </c>
      <c r="R93" t="s">
        <v>36</v>
      </c>
      <c r="S93" t="s">
        <v>36</v>
      </c>
      <c r="T93" t="s">
        <v>36</v>
      </c>
      <c r="U93" t="s">
        <v>36</v>
      </c>
      <c r="V93" t="s">
        <v>36</v>
      </c>
      <c r="W93" t="s">
        <v>36</v>
      </c>
      <c r="X93" t="s">
        <v>36</v>
      </c>
      <c r="Y93" t="s">
        <v>36</v>
      </c>
      <c r="Z93" t="s">
        <v>36</v>
      </c>
      <c r="AA93" t="s">
        <v>36</v>
      </c>
      <c r="AB93" t="s">
        <v>36</v>
      </c>
      <c r="AC93" t="s">
        <v>36</v>
      </c>
      <c r="AD93" t="s">
        <v>36</v>
      </c>
      <c r="AE93" t="s">
        <v>36</v>
      </c>
      <c r="AF93" t="s">
        <v>36</v>
      </c>
      <c r="AG93" t="s">
        <v>36</v>
      </c>
      <c r="AH93" t="s">
        <v>36</v>
      </c>
      <c r="AI93" t="s">
        <v>36</v>
      </c>
      <c r="AJ93" t="s">
        <v>36</v>
      </c>
    </row>
    <row r="94" spans="1:36" x14ac:dyDescent="0.35">
      <c r="A94">
        <v>180</v>
      </c>
      <c r="B94" t="s">
        <v>135</v>
      </c>
      <c r="C94" t="s">
        <v>36</v>
      </c>
      <c r="D94" s="1">
        <v>42058.680555555555</v>
      </c>
      <c r="E94" t="s">
        <v>36</v>
      </c>
      <c r="F94" t="s">
        <v>36</v>
      </c>
      <c r="G94" t="s">
        <v>36</v>
      </c>
      <c r="H94" t="s">
        <v>36</v>
      </c>
      <c r="I94" t="s">
        <v>36</v>
      </c>
      <c r="J94" t="s">
        <v>36</v>
      </c>
      <c r="K94" t="s">
        <v>36</v>
      </c>
      <c r="L94" t="s">
        <v>36</v>
      </c>
      <c r="M94" t="s">
        <v>36</v>
      </c>
      <c r="N94" s="1">
        <v>42795</v>
      </c>
      <c r="O94" s="1">
        <v>42376.743055555555</v>
      </c>
      <c r="P94" t="s">
        <v>36</v>
      </c>
      <c r="Q94" t="s">
        <v>36</v>
      </c>
      <c r="R94" t="s">
        <v>36</v>
      </c>
      <c r="S94" t="s">
        <v>36</v>
      </c>
      <c r="T94" t="s">
        <v>36</v>
      </c>
      <c r="U94" t="s">
        <v>36</v>
      </c>
      <c r="V94" t="s">
        <v>36</v>
      </c>
      <c r="W94" t="s">
        <v>36</v>
      </c>
      <c r="X94" s="1">
        <v>42193.618055555555</v>
      </c>
      <c r="Y94" t="s">
        <v>36</v>
      </c>
      <c r="Z94" t="s">
        <v>36</v>
      </c>
      <c r="AA94" t="s">
        <v>36</v>
      </c>
      <c r="AB94" t="s">
        <v>36</v>
      </c>
      <c r="AC94" t="s">
        <v>36</v>
      </c>
      <c r="AD94" t="s">
        <v>36</v>
      </c>
      <c r="AE94" t="s">
        <v>36</v>
      </c>
      <c r="AF94" t="s">
        <v>36</v>
      </c>
      <c r="AG94" t="s">
        <v>36</v>
      </c>
      <c r="AH94" t="s">
        <v>36</v>
      </c>
      <c r="AI94" t="s">
        <v>36</v>
      </c>
      <c r="AJ94" t="s">
        <v>36</v>
      </c>
    </row>
    <row r="95" spans="1:36" x14ac:dyDescent="0.35">
      <c r="A95">
        <v>181</v>
      </c>
      <c r="B95" t="s">
        <v>136</v>
      </c>
      <c r="C95" t="s">
        <v>36</v>
      </c>
      <c r="D95" s="1">
        <v>42058.680555555555</v>
      </c>
      <c r="E95" t="s">
        <v>36</v>
      </c>
      <c r="F95" t="s">
        <v>36</v>
      </c>
      <c r="G95" t="s">
        <v>36</v>
      </c>
      <c r="H95" t="s">
        <v>36</v>
      </c>
      <c r="I95" t="s">
        <v>36</v>
      </c>
      <c r="J95" t="s">
        <v>36</v>
      </c>
      <c r="K95" t="s">
        <v>36</v>
      </c>
      <c r="L95" t="s">
        <v>36</v>
      </c>
      <c r="M95" t="s">
        <v>36</v>
      </c>
      <c r="N95" s="1">
        <v>42795</v>
      </c>
      <c r="O95" s="1">
        <v>42376.743055555555</v>
      </c>
      <c r="P95" t="s">
        <v>36</v>
      </c>
      <c r="Q95" t="s">
        <v>36</v>
      </c>
      <c r="R95" t="s">
        <v>36</v>
      </c>
      <c r="S95" t="s">
        <v>36</v>
      </c>
      <c r="T95" t="s">
        <v>36</v>
      </c>
      <c r="U95" t="s">
        <v>36</v>
      </c>
      <c r="V95" t="s">
        <v>36</v>
      </c>
      <c r="W95" t="s">
        <v>36</v>
      </c>
      <c r="X95" s="1">
        <v>42193.618055555555</v>
      </c>
      <c r="Y95" t="s">
        <v>36</v>
      </c>
      <c r="Z95" t="s">
        <v>36</v>
      </c>
      <c r="AA95" t="s">
        <v>36</v>
      </c>
      <c r="AB95" t="s">
        <v>36</v>
      </c>
      <c r="AC95" t="s">
        <v>36</v>
      </c>
      <c r="AD95" t="s">
        <v>36</v>
      </c>
      <c r="AE95" t="s">
        <v>36</v>
      </c>
      <c r="AF95" t="s">
        <v>36</v>
      </c>
      <c r="AG95" t="s">
        <v>36</v>
      </c>
      <c r="AH95" t="s">
        <v>36</v>
      </c>
      <c r="AI95" t="s">
        <v>36</v>
      </c>
      <c r="AJ95" t="s">
        <v>36</v>
      </c>
    </row>
    <row r="96" spans="1:36" x14ac:dyDescent="0.35">
      <c r="A96">
        <v>182</v>
      </c>
      <c r="B96" t="s">
        <v>137</v>
      </c>
      <c r="C96" t="s">
        <v>36</v>
      </c>
      <c r="D96" s="1">
        <v>42058.680555555555</v>
      </c>
      <c r="E96" t="s">
        <v>36</v>
      </c>
      <c r="F96" t="s">
        <v>36</v>
      </c>
      <c r="G96" t="s">
        <v>36</v>
      </c>
      <c r="H96" t="s">
        <v>36</v>
      </c>
      <c r="I96" t="s">
        <v>36</v>
      </c>
      <c r="J96" t="s">
        <v>36</v>
      </c>
      <c r="K96" t="s">
        <v>36</v>
      </c>
      <c r="L96" t="s">
        <v>36</v>
      </c>
      <c r="M96" t="s">
        <v>36</v>
      </c>
      <c r="N96" s="1">
        <v>42795</v>
      </c>
      <c r="O96" s="1">
        <v>42376.743055555555</v>
      </c>
      <c r="P96" t="s">
        <v>36</v>
      </c>
      <c r="Q96" t="s">
        <v>36</v>
      </c>
      <c r="R96" t="s">
        <v>36</v>
      </c>
      <c r="S96" t="s">
        <v>36</v>
      </c>
      <c r="T96" t="s">
        <v>36</v>
      </c>
      <c r="U96" t="s">
        <v>36</v>
      </c>
      <c r="V96" t="s">
        <v>36</v>
      </c>
      <c r="W96" t="s">
        <v>36</v>
      </c>
      <c r="X96" s="1">
        <v>42193.618055555555</v>
      </c>
      <c r="Y96" t="s">
        <v>36</v>
      </c>
      <c r="Z96" t="s">
        <v>36</v>
      </c>
      <c r="AA96" t="s">
        <v>36</v>
      </c>
      <c r="AB96" t="s">
        <v>36</v>
      </c>
      <c r="AC96" t="s">
        <v>36</v>
      </c>
      <c r="AD96" t="s">
        <v>36</v>
      </c>
      <c r="AE96" t="s">
        <v>36</v>
      </c>
      <c r="AF96" t="s">
        <v>36</v>
      </c>
      <c r="AG96" t="s">
        <v>36</v>
      </c>
      <c r="AH96" t="s">
        <v>36</v>
      </c>
      <c r="AI96" t="s">
        <v>36</v>
      </c>
      <c r="AJ96" t="s">
        <v>36</v>
      </c>
    </row>
    <row r="97" spans="1:36" x14ac:dyDescent="0.35">
      <c r="A97">
        <v>86</v>
      </c>
      <c r="B97" t="s">
        <v>99</v>
      </c>
      <c r="C97" s="1">
        <v>42528.291666666664</v>
      </c>
      <c r="D97" s="1">
        <v>42058.680555555555</v>
      </c>
      <c r="E97" s="1">
        <v>39245.465277777781</v>
      </c>
      <c r="F97" s="1">
        <v>42735.993055555555</v>
      </c>
      <c r="G97" s="1">
        <v>41426</v>
      </c>
      <c r="H97" s="1">
        <v>43059.576388888891</v>
      </c>
      <c r="I97" s="1">
        <v>43050.451388888891</v>
      </c>
      <c r="J97" s="1">
        <v>42995.930555555555</v>
      </c>
      <c r="K97" s="1">
        <v>39600</v>
      </c>
      <c r="L97" s="1">
        <v>42940.347222222219</v>
      </c>
      <c r="M97" s="1">
        <v>43009</v>
      </c>
      <c r="N97" s="1">
        <v>42795</v>
      </c>
      <c r="O97" s="1">
        <v>42376.743055555555</v>
      </c>
      <c r="P97" t="s">
        <v>36</v>
      </c>
      <c r="Q97" t="s">
        <v>36</v>
      </c>
      <c r="R97" t="s">
        <v>36</v>
      </c>
      <c r="S97" s="1">
        <v>42735.993055555555</v>
      </c>
      <c r="T97" s="1">
        <v>39873</v>
      </c>
      <c r="U97" s="1">
        <v>43054.631944444445</v>
      </c>
      <c r="V97" s="1">
        <v>42473.520833333336</v>
      </c>
      <c r="W97" s="1">
        <v>39599.958333333336</v>
      </c>
      <c r="X97" s="1">
        <v>42193.618055555555</v>
      </c>
      <c r="Y97" s="1">
        <v>43396.4375</v>
      </c>
      <c r="Z97" s="1">
        <v>42648.458333333336</v>
      </c>
      <c r="AA97" s="1">
        <v>43054.611111111109</v>
      </c>
      <c r="AB97" s="1">
        <v>41225.597222222219</v>
      </c>
      <c r="AC97" s="1">
        <v>42485.743055555555</v>
      </c>
      <c r="AD97" s="1">
        <v>42649.430555555555</v>
      </c>
      <c r="AE97" s="1">
        <v>43397.416666666664</v>
      </c>
      <c r="AF97" s="1">
        <v>41513.4375</v>
      </c>
      <c r="AG97" s="1">
        <v>43040</v>
      </c>
      <c r="AH97" s="1">
        <v>39659.506944444445</v>
      </c>
      <c r="AI97" s="1">
        <v>41365</v>
      </c>
      <c r="AJ97" s="1">
        <v>41426</v>
      </c>
    </row>
    <row r="98" spans="1:36" x14ac:dyDescent="0.35">
      <c r="A98">
        <v>930</v>
      </c>
      <c r="B98" t="s">
        <v>298</v>
      </c>
      <c r="C98" s="1">
        <v>42713.375</v>
      </c>
      <c r="D98" t="s">
        <v>36</v>
      </c>
      <c r="E98" s="1">
        <v>43526.347222222219</v>
      </c>
      <c r="F98" s="1">
        <v>43526.319444444445</v>
      </c>
      <c r="G98" t="s">
        <v>36</v>
      </c>
      <c r="H98" s="1">
        <v>43626.604166666664</v>
      </c>
      <c r="I98" s="1">
        <v>43617.604166666664</v>
      </c>
      <c r="J98" t="s">
        <v>36</v>
      </c>
      <c r="K98" s="1">
        <v>42692.493055555555</v>
      </c>
      <c r="L98" t="s">
        <v>36</v>
      </c>
      <c r="M98" s="1">
        <v>43348.625</v>
      </c>
      <c r="N98" t="s">
        <v>36</v>
      </c>
      <c r="O98" t="s">
        <v>36</v>
      </c>
      <c r="P98" t="s">
        <v>36</v>
      </c>
      <c r="Q98" t="s">
        <v>36</v>
      </c>
      <c r="R98" t="s">
        <v>36</v>
      </c>
      <c r="S98" s="1">
        <v>43467.236111111109</v>
      </c>
      <c r="T98" t="s">
        <v>36</v>
      </c>
      <c r="U98" s="1">
        <v>43618.270833333336</v>
      </c>
      <c r="V98" s="1">
        <v>42719.638888888891</v>
      </c>
      <c r="W98" s="1">
        <v>42692.5</v>
      </c>
      <c r="X98" t="s">
        <v>36</v>
      </c>
      <c r="Y98" t="s">
        <v>36</v>
      </c>
      <c r="Z98" s="1">
        <v>42713.590277777781</v>
      </c>
      <c r="AA98" s="1">
        <v>43618.263888888891</v>
      </c>
      <c r="AB98" s="1">
        <v>42692.5</v>
      </c>
      <c r="AC98" s="1">
        <v>42692.5</v>
      </c>
      <c r="AD98" s="1">
        <v>42720.5</v>
      </c>
      <c r="AE98" t="s">
        <v>36</v>
      </c>
      <c r="AF98" t="s">
        <v>36</v>
      </c>
      <c r="AG98" t="s">
        <v>36</v>
      </c>
      <c r="AH98" s="1">
        <v>43556.604166666664</v>
      </c>
      <c r="AI98" t="s">
        <v>36</v>
      </c>
      <c r="AJ98" t="s">
        <v>36</v>
      </c>
    </row>
    <row r="99" spans="1:36" x14ac:dyDescent="0.35">
      <c r="A99">
        <v>931</v>
      </c>
      <c r="B99" t="s">
        <v>299</v>
      </c>
      <c r="C99" s="1">
        <v>42713.375</v>
      </c>
      <c r="D99" t="s">
        <v>36</v>
      </c>
      <c r="E99" s="1">
        <v>43526.347222222219</v>
      </c>
      <c r="F99" s="1">
        <v>43526.319444444445</v>
      </c>
      <c r="G99" t="s">
        <v>36</v>
      </c>
      <c r="H99" s="1">
        <v>43626.604166666664</v>
      </c>
      <c r="I99" s="1">
        <v>43617.604166666664</v>
      </c>
      <c r="J99" t="s">
        <v>36</v>
      </c>
      <c r="K99" s="1">
        <v>42692.493055555555</v>
      </c>
      <c r="L99" t="s">
        <v>36</v>
      </c>
      <c r="M99" s="1">
        <v>43348.625</v>
      </c>
      <c r="N99" t="s">
        <v>36</v>
      </c>
      <c r="O99" t="s">
        <v>36</v>
      </c>
      <c r="P99" t="s">
        <v>36</v>
      </c>
      <c r="Q99" t="s">
        <v>36</v>
      </c>
      <c r="R99" t="s">
        <v>36</v>
      </c>
      <c r="S99" s="1">
        <v>43467.236111111109</v>
      </c>
      <c r="T99" t="s">
        <v>36</v>
      </c>
      <c r="U99" s="1">
        <v>43618.270833333336</v>
      </c>
      <c r="V99" s="1">
        <v>42719.638888888891</v>
      </c>
      <c r="W99" s="1">
        <v>42692.5</v>
      </c>
      <c r="X99" t="s">
        <v>36</v>
      </c>
      <c r="Y99" t="s">
        <v>36</v>
      </c>
      <c r="Z99" s="1">
        <v>42713.590277777781</v>
      </c>
      <c r="AA99" s="1">
        <v>43618.263888888891</v>
      </c>
      <c r="AB99" s="1">
        <v>42692.5</v>
      </c>
      <c r="AC99" s="1">
        <v>42692.5</v>
      </c>
      <c r="AD99" s="1">
        <v>42720.5</v>
      </c>
      <c r="AE99" t="s">
        <v>36</v>
      </c>
      <c r="AF99" t="s">
        <v>36</v>
      </c>
      <c r="AG99" t="s">
        <v>36</v>
      </c>
      <c r="AH99" s="1">
        <v>43556.604166666664</v>
      </c>
      <c r="AI99" t="s">
        <v>36</v>
      </c>
      <c r="AJ99" t="s">
        <v>36</v>
      </c>
    </row>
    <row r="100" spans="1:36" x14ac:dyDescent="0.35">
      <c r="A100">
        <v>932</v>
      </c>
      <c r="B100" t="s">
        <v>300</v>
      </c>
      <c r="C100" s="1">
        <v>42713.375</v>
      </c>
      <c r="D100" t="s">
        <v>36</v>
      </c>
      <c r="E100" s="1">
        <v>43526.347222222219</v>
      </c>
      <c r="F100" s="1">
        <v>43526.319444444445</v>
      </c>
      <c r="G100" t="s">
        <v>36</v>
      </c>
      <c r="H100" s="1">
        <v>43626.604166666664</v>
      </c>
      <c r="I100" s="1">
        <v>43617.604166666664</v>
      </c>
      <c r="J100" t="s">
        <v>36</v>
      </c>
      <c r="K100" s="1">
        <v>42692.493055555555</v>
      </c>
      <c r="L100" t="s">
        <v>36</v>
      </c>
      <c r="M100" s="1">
        <v>43348.625</v>
      </c>
      <c r="N100" t="s">
        <v>36</v>
      </c>
      <c r="O100" t="s">
        <v>36</v>
      </c>
      <c r="P100" t="s">
        <v>36</v>
      </c>
      <c r="Q100" t="s">
        <v>36</v>
      </c>
      <c r="R100" t="s">
        <v>36</v>
      </c>
      <c r="S100" s="1">
        <v>43467.236111111109</v>
      </c>
      <c r="T100" t="s">
        <v>36</v>
      </c>
      <c r="U100" s="1">
        <v>43618.270833333336</v>
      </c>
      <c r="V100" s="1">
        <v>42719.638888888891</v>
      </c>
      <c r="W100" s="1">
        <v>42692.5</v>
      </c>
      <c r="X100" t="s">
        <v>36</v>
      </c>
      <c r="Y100" t="s">
        <v>36</v>
      </c>
      <c r="Z100" s="1">
        <v>42713.590277777781</v>
      </c>
      <c r="AA100" s="1">
        <v>43618.263888888891</v>
      </c>
      <c r="AB100" s="1">
        <v>42692.5</v>
      </c>
      <c r="AC100" s="1">
        <v>42692.5</v>
      </c>
      <c r="AD100" s="1">
        <v>42720.5</v>
      </c>
      <c r="AE100" t="s">
        <v>36</v>
      </c>
      <c r="AF100" t="s">
        <v>36</v>
      </c>
      <c r="AG100" t="s">
        <v>36</v>
      </c>
      <c r="AH100" s="1">
        <v>43556.604166666664</v>
      </c>
      <c r="AI100" t="s">
        <v>36</v>
      </c>
      <c r="AJ100" t="s">
        <v>36</v>
      </c>
    </row>
    <row r="101" spans="1:36" x14ac:dyDescent="0.35">
      <c r="A101">
        <v>183</v>
      </c>
      <c r="B101" t="s">
        <v>138</v>
      </c>
      <c r="C101" t="s">
        <v>36</v>
      </c>
      <c r="D101" s="1">
        <v>42058.680555555555</v>
      </c>
      <c r="E101" t="s">
        <v>36</v>
      </c>
      <c r="F101" t="s">
        <v>36</v>
      </c>
      <c r="G101" t="s">
        <v>36</v>
      </c>
      <c r="H101" t="s">
        <v>36</v>
      </c>
      <c r="I101" t="s">
        <v>36</v>
      </c>
      <c r="J101" t="s">
        <v>36</v>
      </c>
      <c r="K101" t="s">
        <v>36</v>
      </c>
      <c r="L101" t="s">
        <v>36</v>
      </c>
      <c r="M101" t="s">
        <v>36</v>
      </c>
      <c r="N101" s="1">
        <v>42795</v>
      </c>
      <c r="O101" s="1">
        <v>42376.743055555555</v>
      </c>
      <c r="P101" t="s">
        <v>36</v>
      </c>
      <c r="Q101" t="s">
        <v>36</v>
      </c>
      <c r="R101" t="s">
        <v>36</v>
      </c>
      <c r="S101" t="s">
        <v>36</v>
      </c>
      <c r="T101" t="s">
        <v>36</v>
      </c>
      <c r="U101" t="s">
        <v>36</v>
      </c>
      <c r="V101" t="s">
        <v>36</v>
      </c>
      <c r="W101" t="s">
        <v>36</v>
      </c>
      <c r="X101" s="1">
        <v>42193.618055555555</v>
      </c>
      <c r="Y101" t="s">
        <v>36</v>
      </c>
      <c r="Z101" t="s">
        <v>36</v>
      </c>
      <c r="AA101" t="s">
        <v>36</v>
      </c>
      <c r="AB101" t="s">
        <v>36</v>
      </c>
      <c r="AC101" t="s">
        <v>36</v>
      </c>
      <c r="AD101" t="s">
        <v>36</v>
      </c>
      <c r="AE101" t="s">
        <v>36</v>
      </c>
      <c r="AF101" t="s">
        <v>36</v>
      </c>
      <c r="AG101" t="s">
        <v>36</v>
      </c>
      <c r="AH101" t="s">
        <v>36</v>
      </c>
      <c r="AI101" t="s">
        <v>36</v>
      </c>
      <c r="AJ101" t="s">
        <v>36</v>
      </c>
    </row>
    <row r="102" spans="1:36" x14ac:dyDescent="0.35">
      <c r="A102">
        <v>811</v>
      </c>
      <c r="B102" t="s">
        <v>272</v>
      </c>
      <c r="C102" t="s">
        <v>36</v>
      </c>
      <c r="D102" t="s">
        <v>36</v>
      </c>
      <c r="E102" s="1">
        <v>39245.465277777781</v>
      </c>
      <c r="F102" s="1">
        <v>43008.993055555555</v>
      </c>
      <c r="G102" t="s">
        <v>36</v>
      </c>
      <c r="H102" s="1">
        <v>43059.576388888891</v>
      </c>
      <c r="I102" s="1">
        <v>43050.451388888891</v>
      </c>
      <c r="J102" t="s">
        <v>36</v>
      </c>
      <c r="K102" t="s">
        <v>36</v>
      </c>
      <c r="L102" t="s">
        <v>36</v>
      </c>
      <c r="M102" t="s">
        <v>36</v>
      </c>
      <c r="N102" t="s">
        <v>36</v>
      </c>
      <c r="O102" t="s">
        <v>36</v>
      </c>
      <c r="P102" t="s">
        <v>36</v>
      </c>
      <c r="Q102" t="s">
        <v>36</v>
      </c>
      <c r="R102" s="1">
        <v>43329.319444444445</v>
      </c>
      <c r="S102" s="1">
        <v>42735.993055555555</v>
      </c>
      <c r="T102" t="s">
        <v>36</v>
      </c>
      <c r="U102" s="1">
        <v>43054.631944444445</v>
      </c>
      <c r="V102" t="s">
        <v>36</v>
      </c>
      <c r="W102" t="s">
        <v>36</v>
      </c>
      <c r="X102" t="s">
        <v>36</v>
      </c>
      <c r="Y102" s="1">
        <v>43396.4375</v>
      </c>
      <c r="Z102" t="s">
        <v>36</v>
      </c>
      <c r="AA102" s="1">
        <v>43054.611111111109</v>
      </c>
      <c r="AB102" s="1">
        <v>41225.597222222219</v>
      </c>
      <c r="AC102" t="s">
        <v>36</v>
      </c>
      <c r="AD102" t="s">
        <v>36</v>
      </c>
      <c r="AE102" s="1">
        <v>43397.416666666664</v>
      </c>
      <c r="AF102" t="s">
        <v>36</v>
      </c>
      <c r="AG102" t="s">
        <v>36</v>
      </c>
      <c r="AH102" s="1">
        <v>39659.506944444445</v>
      </c>
      <c r="AI102" t="s">
        <v>36</v>
      </c>
      <c r="AJ102" t="s">
        <v>36</v>
      </c>
    </row>
    <row r="103" spans="1:36" x14ac:dyDescent="0.35">
      <c r="A103">
        <v>95</v>
      </c>
      <c r="B103" t="s">
        <v>106</v>
      </c>
      <c r="C103" t="s">
        <v>36</v>
      </c>
      <c r="D103" t="s">
        <v>36</v>
      </c>
      <c r="E103" t="s">
        <v>36</v>
      </c>
      <c r="F103" t="s">
        <v>36</v>
      </c>
      <c r="G103" s="1">
        <v>42482.388888888891</v>
      </c>
      <c r="H103" t="s">
        <v>36</v>
      </c>
      <c r="I103" t="s">
        <v>36</v>
      </c>
      <c r="J103" t="s">
        <v>36</v>
      </c>
      <c r="K103" t="s">
        <v>36</v>
      </c>
      <c r="L103" t="s">
        <v>36</v>
      </c>
      <c r="M103" t="s">
        <v>36</v>
      </c>
      <c r="N103" t="s">
        <v>36</v>
      </c>
      <c r="O103" t="s">
        <v>36</v>
      </c>
      <c r="P103" s="1">
        <v>42482.381944444445</v>
      </c>
      <c r="Q103" t="s">
        <v>36</v>
      </c>
      <c r="R103" t="s">
        <v>36</v>
      </c>
      <c r="S103" t="s">
        <v>36</v>
      </c>
      <c r="T103" s="1">
        <v>42492.868055555555</v>
      </c>
      <c r="U103" t="s">
        <v>36</v>
      </c>
      <c r="V103" t="s">
        <v>36</v>
      </c>
      <c r="W103" t="s">
        <v>36</v>
      </c>
      <c r="X103" t="s">
        <v>36</v>
      </c>
      <c r="Y103" t="s">
        <v>36</v>
      </c>
      <c r="Z103" t="s">
        <v>36</v>
      </c>
      <c r="AA103" t="s">
        <v>36</v>
      </c>
      <c r="AB103" t="s">
        <v>36</v>
      </c>
      <c r="AC103" t="s">
        <v>36</v>
      </c>
      <c r="AD103" t="s">
        <v>36</v>
      </c>
      <c r="AE103" t="s">
        <v>36</v>
      </c>
      <c r="AF103" s="1">
        <v>42492.493055555555</v>
      </c>
      <c r="AG103" t="s">
        <v>36</v>
      </c>
      <c r="AH103" t="s">
        <v>36</v>
      </c>
      <c r="AI103" s="1">
        <v>42492.895833333336</v>
      </c>
      <c r="AJ103" s="1">
        <v>42496.548611111109</v>
      </c>
    </row>
    <row r="104" spans="1:36" x14ac:dyDescent="0.35">
      <c r="A104">
        <v>96</v>
      </c>
      <c r="B104" t="s">
        <v>107</v>
      </c>
      <c r="C104" t="s">
        <v>36</v>
      </c>
      <c r="D104" t="s">
        <v>36</v>
      </c>
      <c r="E104" t="s">
        <v>36</v>
      </c>
      <c r="F104" t="s">
        <v>36</v>
      </c>
      <c r="G104" s="1">
        <v>42482.388888888891</v>
      </c>
      <c r="H104" t="s">
        <v>36</v>
      </c>
      <c r="I104" t="s">
        <v>36</v>
      </c>
      <c r="J104" t="s">
        <v>36</v>
      </c>
      <c r="K104" t="s">
        <v>36</v>
      </c>
      <c r="L104" t="s">
        <v>36</v>
      </c>
      <c r="M104" t="s">
        <v>36</v>
      </c>
      <c r="N104" t="s">
        <v>36</v>
      </c>
      <c r="O104" t="s">
        <v>36</v>
      </c>
      <c r="P104" s="1">
        <v>42482.381944444445</v>
      </c>
      <c r="Q104" t="s">
        <v>36</v>
      </c>
      <c r="R104" t="s">
        <v>36</v>
      </c>
      <c r="S104" t="s">
        <v>36</v>
      </c>
      <c r="T104" s="1">
        <v>42492.868055555555</v>
      </c>
      <c r="U104" t="s">
        <v>36</v>
      </c>
      <c r="V104" t="s">
        <v>36</v>
      </c>
      <c r="W104" t="s">
        <v>36</v>
      </c>
      <c r="X104" t="s">
        <v>36</v>
      </c>
      <c r="Y104" t="s">
        <v>36</v>
      </c>
      <c r="Z104" t="s">
        <v>36</v>
      </c>
      <c r="AA104" t="s">
        <v>36</v>
      </c>
      <c r="AB104" t="s">
        <v>36</v>
      </c>
      <c r="AC104" t="s">
        <v>36</v>
      </c>
      <c r="AD104" t="s">
        <v>36</v>
      </c>
      <c r="AE104" t="s">
        <v>36</v>
      </c>
      <c r="AF104" s="1">
        <v>42492.493055555555</v>
      </c>
      <c r="AG104" t="s">
        <v>36</v>
      </c>
      <c r="AH104" t="s">
        <v>36</v>
      </c>
      <c r="AI104" s="1">
        <v>42492.895833333336</v>
      </c>
      <c r="AJ104" s="1">
        <v>42496.548611111109</v>
      </c>
    </row>
    <row r="105" spans="1:36" x14ac:dyDescent="0.35">
      <c r="A105">
        <v>97</v>
      </c>
      <c r="B105" t="s">
        <v>108</v>
      </c>
      <c r="C105" t="s">
        <v>36</v>
      </c>
      <c r="D105" t="s">
        <v>36</v>
      </c>
      <c r="E105" t="s">
        <v>36</v>
      </c>
      <c r="F105" t="s">
        <v>36</v>
      </c>
      <c r="G105" t="s">
        <v>36</v>
      </c>
      <c r="H105" t="s">
        <v>36</v>
      </c>
      <c r="I105" t="s">
        <v>36</v>
      </c>
      <c r="J105" t="s">
        <v>36</v>
      </c>
      <c r="K105" t="s">
        <v>36</v>
      </c>
      <c r="L105" t="s">
        <v>36</v>
      </c>
      <c r="M105" t="s">
        <v>36</v>
      </c>
      <c r="N105" t="s">
        <v>36</v>
      </c>
      <c r="O105" t="s">
        <v>36</v>
      </c>
      <c r="P105" t="s">
        <v>36</v>
      </c>
      <c r="Q105" t="s">
        <v>36</v>
      </c>
      <c r="R105" t="s">
        <v>36</v>
      </c>
      <c r="S105" t="s">
        <v>36</v>
      </c>
      <c r="T105" t="s">
        <v>36</v>
      </c>
      <c r="U105" t="s">
        <v>36</v>
      </c>
      <c r="V105" t="s">
        <v>36</v>
      </c>
      <c r="W105" t="s">
        <v>36</v>
      </c>
      <c r="X105" t="s">
        <v>36</v>
      </c>
      <c r="Y105" t="s">
        <v>36</v>
      </c>
      <c r="Z105" t="s">
        <v>36</v>
      </c>
      <c r="AA105" t="s">
        <v>36</v>
      </c>
      <c r="AB105" t="s">
        <v>36</v>
      </c>
      <c r="AC105" t="s">
        <v>36</v>
      </c>
      <c r="AD105" t="s">
        <v>36</v>
      </c>
      <c r="AE105" t="s">
        <v>36</v>
      </c>
      <c r="AF105" t="s">
        <v>36</v>
      </c>
      <c r="AG105" t="s">
        <v>36</v>
      </c>
      <c r="AH105" t="s">
        <v>36</v>
      </c>
      <c r="AI105" t="s">
        <v>36</v>
      </c>
      <c r="AJ105" t="s">
        <v>36</v>
      </c>
    </row>
    <row r="106" spans="1:36" x14ac:dyDescent="0.35">
      <c r="A106">
        <v>552</v>
      </c>
      <c r="B106" t="s">
        <v>256</v>
      </c>
      <c r="C106" t="s">
        <v>36</v>
      </c>
      <c r="D106" t="s">
        <v>36</v>
      </c>
      <c r="E106" t="s">
        <v>36</v>
      </c>
      <c r="F106" t="s">
        <v>36</v>
      </c>
      <c r="G106" t="s">
        <v>36</v>
      </c>
      <c r="H106" t="s">
        <v>36</v>
      </c>
      <c r="I106" t="s">
        <v>36</v>
      </c>
      <c r="J106" t="s">
        <v>36</v>
      </c>
      <c r="K106" t="s">
        <v>36</v>
      </c>
      <c r="L106" t="s">
        <v>36</v>
      </c>
      <c r="M106" t="s">
        <v>36</v>
      </c>
      <c r="N106" t="s">
        <v>36</v>
      </c>
      <c r="O106" t="s">
        <v>36</v>
      </c>
      <c r="P106" t="s">
        <v>36</v>
      </c>
      <c r="Q106" t="s">
        <v>36</v>
      </c>
      <c r="R106" t="s">
        <v>36</v>
      </c>
      <c r="S106" t="s">
        <v>36</v>
      </c>
      <c r="T106" t="s">
        <v>36</v>
      </c>
      <c r="U106" t="s">
        <v>36</v>
      </c>
      <c r="V106" t="s">
        <v>36</v>
      </c>
      <c r="W106" t="s">
        <v>36</v>
      </c>
      <c r="X106" t="s">
        <v>36</v>
      </c>
      <c r="Y106" t="s">
        <v>36</v>
      </c>
      <c r="Z106" t="s">
        <v>36</v>
      </c>
      <c r="AA106" t="s">
        <v>36</v>
      </c>
      <c r="AB106" t="s">
        <v>36</v>
      </c>
      <c r="AC106" t="s">
        <v>36</v>
      </c>
      <c r="AD106" t="s">
        <v>36</v>
      </c>
      <c r="AE106" t="s">
        <v>36</v>
      </c>
      <c r="AF106" t="s">
        <v>36</v>
      </c>
      <c r="AG106" t="s">
        <v>36</v>
      </c>
      <c r="AH106" t="s">
        <v>36</v>
      </c>
      <c r="AI106" t="s">
        <v>36</v>
      </c>
      <c r="AJ106" t="s">
        <v>36</v>
      </c>
    </row>
    <row r="107" spans="1:36" x14ac:dyDescent="0.35">
      <c r="A107">
        <v>553</v>
      </c>
      <c r="B107" t="s">
        <v>257</v>
      </c>
      <c r="C107" t="s">
        <v>36</v>
      </c>
      <c r="D107" t="s">
        <v>36</v>
      </c>
      <c r="E107" t="s">
        <v>36</v>
      </c>
      <c r="F107" t="s">
        <v>36</v>
      </c>
      <c r="G107" t="s">
        <v>36</v>
      </c>
      <c r="H107" t="s">
        <v>36</v>
      </c>
      <c r="I107" t="s">
        <v>36</v>
      </c>
      <c r="J107" t="s">
        <v>36</v>
      </c>
      <c r="K107" t="s">
        <v>36</v>
      </c>
      <c r="L107" t="s">
        <v>36</v>
      </c>
      <c r="M107" t="s">
        <v>36</v>
      </c>
      <c r="N107" t="s">
        <v>36</v>
      </c>
      <c r="O107" t="s">
        <v>36</v>
      </c>
      <c r="P107" t="s">
        <v>36</v>
      </c>
      <c r="Q107" t="s">
        <v>36</v>
      </c>
      <c r="R107" t="s">
        <v>36</v>
      </c>
      <c r="S107" t="s">
        <v>36</v>
      </c>
      <c r="T107" t="s">
        <v>36</v>
      </c>
      <c r="U107" t="s">
        <v>36</v>
      </c>
      <c r="V107" t="s">
        <v>36</v>
      </c>
      <c r="W107" t="s">
        <v>36</v>
      </c>
      <c r="X107" t="s">
        <v>36</v>
      </c>
      <c r="Y107" t="s">
        <v>36</v>
      </c>
      <c r="Z107" t="s">
        <v>36</v>
      </c>
      <c r="AA107" t="s">
        <v>36</v>
      </c>
      <c r="AB107" t="s">
        <v>36</v>
      </c>
      <c r="AC107" t="s">
        <v>36</v>
      </c>
      <c r="AD107" t="s">
        <v>36</v>
      </c>
      <c r="AE107" t="s">
        <v>36</v>
      </c>
      <c r="AF107" t="s">
        <v>36</v>
      </c>
      <c r="AG107" t="s">
        <v>36</v>
      </c>
      <c r="AH107" t="s">
        <v>36</v>
      </c>
      <c r="AI107" t="s">
        <v>36</v>
      </c>
      <c r="AJ107" t="s">
        <v>36</v>
      </c>
    </row>
    <row r="108" spans="1:36" x14ac:dyDescent="0.35">
      <c r="A108">
        <v>554</v>
      </c>
      <c r="B108" t="s">
        <v>258</v>
      </c>
      <c r="C108" t="s">
        <v>36</v>
      </c>
      <c r="D108" t="s">
        <v>36</v>
      </c>
      <c r="E108" t="s">
        <v>36</v>
      </c>
      <c r="F108" t="s">
        <v>36</v>
      </c>
      <c r="G108" t="s">
        <v>36</v>
      </c>
      <c r="H108" t="s">
        <v>36</v>
      </c>
      <c r="I108" t="s">
        <v>36</v>
      </c>
      <c r="J108" t="s">
        <v>36</v>
      </c>
      <c r="K108" t="s">
        <v>36</v>
      </c>
      <c r="L108" t="s">
        <v>36</v>
      </c>
      <c r="M108" t="s">
        <v>36</v>
      </c>
      <c r="N108" t="s">
        <v>36</v>
      </c>
      <c r="O108" t="s">
        <v>36</v>
      </c>
      <c r="P108" t="s">
        <v>36</v>
      </c>
      <c r="Q108" t="s">
        <v>36</v>
      </c>
      <c r="R108" t="s">
        <v>36</v>
      </c>
      <c r="S108" t="s">
        <v>36</v>
      </c>
      <c r="T108" t="s">
        <v>36</v>
      </c>
      <c r="U108" t="s">
        <v>36</v>
      </c>
      <c r="V108" t="s">
        <v>36</v>
      </c>
      <c r="W108" t="s">
        <v>36</v>
      </c>
      <c r="X108" t="s">
        <v>36</v>
      </c>
      <c r="Y108" t="s">
        <v>36</v>
      </c>
      <c r="Z108" t="s">
        <v>36</v>
      </c>
      <c r="AA108" t="s">
        <v>36</v>
      </c>
      <c r="AB108" t="s">
        <v>36</v>
      </c>
      <c r="AC108" t="s">
        <v>36</v>
      </c>
      <c r="AD108" t="s">
        <v>36</v>
      </c>
      <c r="AE108" t="s">
        <v>36</v>
      </c>
      <c r="AF108" t="s">
        <v>36</v>
      </c>
      <c r="AG108" t="s">
        <v>36</v>
      </c>
      <c r="AH108" t="s">
        <v>36</v>
      </c>
      <c r="AI108" t="s">
        <v>36</v>
      </c>
      <c r="AJ108" t="s">
        <v>36</v>
      </c>
    </row>
    <row r="109" spans="1:36" x14ac:dyDescent="0.35">
      <c r="A109">
        <v>560</v>
      </c>
      <c r="B109" t="s">
        <v>264</v>
      </c>
      <c r="C109" t="s">
        <v>36</v>
      </c>
      <c r="D109" t="s">
        <v>36</v>
      </c>
      <c r="E109" t="s">
        <v>36</v>
      </c>
      <c r="F109" t="s">
        <v>36</v>
      </c>
      <c r="G109" t="s">
        <v>36</v>
      </c>
      <c r="H109" t="s">
        <v>36</v>
      </c>
      <c r="I109" t="s">
        <v>36</v>
      </c>
      <c r="J109" t="s">
        <v>36</v>
      </c>
      <c r="K109" t="s">
        <v>36</v>
      </c>
      <c r="L109" t="s">
        <v>36</v>
      </c>
      <c r="M109" t="s">
        <v>36</v>
      </c>
      <c r="N109" t="s">
        <v>36</v>
      </c>
      <c r="O109" t="s">
        <v>36</v>
      </c>
      <c r="P109" t="s">
        <v>36</v>
      </c>
      <c r="Q109" t="s">
        <v>36</v>
      </c>
      <c r="R109" t="s">
        <v>36</v>
      </c>
      <c r="S109" t="s">
        <v>36</v>
      </c>
      <c r="T109" t="s">
        <v>36</v>
      </c>
      <c r="U109" t="s">
        <v>36</v>
      </c>
      <c r="V109" t="s">
        <v>36</v>
      </c>
      <c r="W109" t="s">
        <v>36</v>
      </c>
      <c r="X109" t="s">
        <v>36</v>
      </c>
      <c r="Y109" t="s">
        <v>36</v>
      </c>
      <c r="Z109" t="s">
        <v>36</v>
      </c>
      <c r="AA109" t="s">
        <v>36</v>
      </c>
      <c r="AB109" t="s">
        <v>36</v>
      </c>
      <c r="AC109" t="s">
        <v>36</v>
      </c>
      <c r="AD109" t="s">
        <v>36</v>
      </c>
      <c r="AE109" t="s">
        <v>36</v>
      </c>
      <c r="AF109" t="s">
        <v>36</v>
      </c>
      <c r="AG109" t="s">
        <v>36</v>
      </c>
      <c r="AH109" t="s">
        <v>36</v>
      </c>
      <c r="AI109" t="s">
        <v>36</v>
      </c>
      <c r="AJ109" t="s">
        <v>36</v>
      </c>
    </row>
    <row r="110" spans="1:36" x14ac:dyDescent="0.35">
      <c r="A110">
        <v>562</v>
      </c>
      <c r="B110" t="s">
        <v>266</v>
      </c>
      <c r="C110" t="s">
        <v>36</v>
      </c>
      <c r="D110" t="s">
        <v>36</v>
      </c>
      <c r="E110" t="s">
        <v>36</v>
      </c>
      <c r="F110" t="s">
        <v>36</v>
      </c>
      <c r="G110" t="s">
        <v>36</v>
      </c>
      <c r="H110" t="s">
        <v>36</v>
      </c>
      <c r="I110" t="s">
        <v>36</v>
      </c>
      <c r="J110" t="s">
        <v>36</v>
      </c>
      <c r="K110" t="s">
        <v>36</v>
      </c>
      <c r="L110" t="s">
        <v>36</v>
      </c>
      <c r="M110" t="s">
        <v>36</v>
      </c>
      <c r="N110" t="s">
        <v>36</v>
      </c>
      <c r="O110" t="s">
        <v>36</v>
      </c>
      <c r="P110" t="s">
        <v>36</v>
      </c>
      <c r="Q110" t="s">
        <v>36</v>
      </c>
      <c r="R110" t="s">
        <v>36</v>
      </c>
      <c r="S110" t="s">
        <v>36</v>
      </c>
      <c r="T110" t="s">
        <v>36</v>
      </c>
      <c r="U110" t="s">
        <v>36</v>
      </c>
      <c r="V110" t="s">
        <v>36</v>
      </c>
      <c r="W110" t="s">
        <v>36</v>
      </c>
      <c r="X110" t="s">
        <v>36</v>
      </c>
      <c r="Y110" t="s">
        <v>36</v>
      </c>
      <c r="Z110" t="s">
        <v>36</v>
      </c>
      <c r="AA110" t="s">
        <v>36</v>
      </c>
      <c r="AB110" t="s">
        <v>36</v>
      </c>
      <c r="AC110" t="s">
        <v>36</v>
      </c>
      <c r="AD110" t="s">
        <v>36</v>
      </c>
      <c r="AE110" t="s">
        <v>36</v>
      </c>
      <c r="AF110" t="s">
        <v>36</v>
      </c>
      <c r="AG110" t="s">
        <v>36</v>
      </c>
      <c r="AH110" t="s">
        <v>36</v>
      </c>
      <c r="AI110" t="s">
        <v>36</v>
      </c>
      <c r="AJ110" t="s">
        <v>36</v>
      </c>
    </row>
    <row r="111" spans="1:36" x14ac:dyDescent="0.35">
      <c r="A111">
        <v>565</v>
      </c>
      <c r="B111" t="s">
        <v>269</v>
      </c>
      <c r="C111" t="s">
        <v>36</v>
      </c>
      <c r="D111" t="s">
        <v>36</v>
      </c>
      <c r="E111" t="s">
        <v>36</v>
      </c>
      <c r="F111" t="s">
        <v>36</v>
      </c>
      <c r="G111" t="s">
        <v>36</v>
      </c>
      <c r="H111" t="s">
        <v>36</v>
      </c>
      <c r="I111" t="s">
        <v>36</v>
      </c>
      <c r="J111" t="s">
        <v>36</v>
      </c>
      <c r="K111" t="s">
        <v>36</v>
      </c>
      <c r="L111" t="s">
        <v>36</v>
      </c>
      <c r="M111" t="s">
        <v>36</v>
      </c>
      <c r="N111" t="s">
        <v>36</v>
      </c>
      <c r="O111" t="s">
        <v>36</v>
      </c>
      <c r="P111" t="s">
        <v>36</v>
      </c>
      <c r="Q111" t="s">
        <v>36</v>
      </c>
      <c r="R111" t="s">
        <v>36</v>
      </c>
      <c r="S111" t="s">
        <v>36</v>
      </c>
      <c r="T111" t="s">
        <v>36</v>
      </c>
      <c r="U111" t="s">
        <v>36</v>
      </c>
      <c r="V111" t="s">
        <v>36</v>
      </c>
      <c r="W111" t="s">
        <v>36</v>
      </c>
      <c r="X111" t="s">
        <v>36</v>
      </c>
      <c r="Y111" t="s">
        <v>36</v>
      </c>
      <c r="Z111" t="s">
        <v>36</v>
      </c>
      <c r="AA111" t="s">
        <v>36</v>
      </c>
      <c r="AB111" t="s">
        <v>36</v>
      </c>
      <c r="AC111" t="s">
        <v>36</v>
      </c>
      <c r="AD111" t="s">
        <v>36</v>
      </c>
      <c r="AE111" t="s">
        <v>36</v>
      </c>
      <c r="AF111" t="s">
        <v>36</v>
      </c>
      <c r="AG111" t="s">
        <v>36</v>
      </c>
      <c r="AH111" t="s">
        <v>36</v>
      </c>
      <c r="AI111" t="s">
        <v>36</v>
      </c>
      <c r="AJ111" t="s">
        <v>36</v>
      </c>
    </row>
    <row r="112" spans="1:36" x14ac:dyDescent="0.35">
      <c r="A112">
        <v>558</v>
      </c>
      <c r="B112" t="s">
        <v>262</v>
      </c>
      <c r="C112" t="s">
        <v>36</v>
      </c>
      <c r="D112" t="s">
        <v>36</v>
      </c>
      <c r="E112" t="s">
        <v>36</v>
      </c>
      <c r="F112" t="s">
        <v>36</v>
      </c>
      <c r="G112" t="s">
        <v>36</v>
      </c>
      <c r="H112" t="s">
        <v>36</v>
      </c>
      <c r="I112" t="s">
        <v>36</v>
      </c>
      <c r="J112" t="s">
        <v>36</v>
      </c>
      <c r="K112" t="s">
        <v>36</v>
      </c>
      <c r="L112" t="s">
        <v>36</v>
      </c>
      <c r="M112" t="s">
        <v>36</v>
      </c>
      <c r="N112" t="s">
        <v>36</v>
      </c>
      <c r="O112" t="s">
        <v>36</v>
      </c>
      <c r="P112" t="s">
        <v>36</v>
      </c>
      <c r="Q112" t="s">
        <v>36</v>
      </c>
      <c r="R112" t="s">
        <v>36</v>
      </c>
      <c r="S112" t="s">
        <v>36</v>
      </c>
      <c r="T112" t="s">
        <v>36</v>
      </c>
      <c r="U112" t="s">
        <v>36</v>
      </c>
      <c r="V112" t="s">
        <v>36</v>
      </c>
      <c r="W112" t="s">
        <v>36</v>
      </c>
      <c r="X112" t="s">
        <v>36</v>
      </c>
      <c r="Y112" t="s">
        <v>36</v>
      </c>
      <c r="Z112" t="s">
        <v>36</v>
      </c>
      <c r="AA112" t="s">
        <v>36</v>
      </c>
      <c r="AB112" t="s">
        <v>36</v>
      </c>
      <c r="AC112" t="s">
        <v>36</v>
      </c>
      <c r="AD112" t="s">
        <v>36</v>
      </c>
      <c r="AE112" t="s">
        <v>36</v>
      </c>
      <c r="AF112" t="s">
        <v>36</v>
      </c>
      <c r="AG112" t="s">
        <v>36</v>
      </c>
      <c r="AH112" t="s">
        <v>36</v>
      </c>
      <c r="AI112" t="s">
        <v>36</v>
      </c>
      <c r="AJ112" t="s">
        <v>36</v>
      </c>
    </row>
    <row r="113" spans="1:36" x14ac:dyDescent="0.35">
      <c r="A113">
        <v>564</v>
      </c>
      <c r="B113" t="s">
        <v>268</v>
      </c>
      <c r="C113" t="s">
        <v>36</v>
      </c>
      <c r="D113" t="s">
        <v>36</v>
      </c>
      <c r="E113" t="s">
        <v>36</v>
      </c>
      <c r="F113" t="s">
        <v>36</v>
      </c>
      <c r="G113" t="s">
        <v>36</v>
      </c>
      <c r="H113" t="s">
        <v>36</v>
      </c>
      <c r="I113" t="s">
        <v>36</v>
      </c>
      <c r="J113" t="s">
        <v>36</v>
      </c>
      <c r="K113" t="s">
        <v>36</v>
      </c>
      <c r="L113" t="s">
        <v>36</v>
      </c>
      <c r="M113" t="s">
        <v>36</v>
      </c>
      <c r="N113" t="s">
        <v>36</v>
      </c>
      <c r="O113" t="s">
        <v>36</v>
      </c>
      <c r="P113" t="s">
        <v>36</v>
      </c>
      <c r="Q113" t="s">
        <v>36</v>
      </c>
      <c r="R113" t="s">
        <v>36</v>
      </c>
      <c r="S113" t="s">
        <v>36</v>
      </c>
      <c r="T113" t="s">
        <v>36</v>
      </c>
      <c r="U113" t="s">
        <v>36</v>
      </c>
      <c r="V113" t="s">
        <v>36</v>
      </c>
      <c r="W113" t="s">
        <v>36</v>
      </c>
      <c r="X113" t="s">
        <v>36</v>
      </c>
      <c r="Y113" t="s">
        <v>36</v>
      </c>
      <c r="Z113" t="s">
        <v>36</v>
      </c>
      <c r="AA113" t="s">
        <v>36</v>
      </c>
      <c r="AB113" t="s">
        <v>36</v>
      </c>
      <c r="AC113" t="s">
        <v>36</v>
      </c>
      <c r="AD113" t="s">
        <v>36</v>
      </c>
      <c r="AE113" t="s">
        <v>36</v>
      </c>
      <c r="AF113" t="s">
        <v>36</v>
      </c>
      <c r="AG113" t="s">
        <v>36</v>
      </c>
      <c r="AH113" t="s">
        <v>36</v>
      </c>
      <c r="AI113" t="s">
        <v>36</v>
      </c>
      <c r="AJ113" t="s">
        <v>36</v>
      </c>
    </row>
    <row r="114" spans="1:36" x14ac:dyDescent="0.35">
      <c r="A114">
        <v>561</v>
      </c>
      <c r="B114" t="s">
        <v>265</v>
      </c>
      <c r="C114" t="s">
        <v>36</v>
      </c>
      <c r="D114" t="s">
        <v>36</v>
      </c>
      <c r="E114" t="s">
        <v>36</v>
      </c>
      <c r="F114" t="s">
        <v>36</v>
      </c>
      <c r="G114" t="s">
        <v>36</v>
      </c>
      <c r="H114" t="s">
        <v>36</v>
      </c>
      <c r="I114" t="s">
        <v>36</v>
      </c>
      <c r="J114" t="s">
        <v>36</v>
      </c>
      <c r="K114" t="s">
        <v>36</v>
      </c>
      <c r="L114" t="s">
        <v>36</v>
      </c>
      <c r="M114" t="s">
        <v>36</v>
      </c>
      <c r="N114" t="s">
        <v>36</v>
      </c>
      <c r="O114" t="s">
        <v>36</v>
      </c>
      <c r="P114" t="s">
        <v>36</v>
      </c>
      <c r="Q114" t="s">
        <v>36</v>
      </c>
      <c r="R114" t="s">
        <v>36</v>
      </c>
      <c r="S114" t="s">
        <v>36</v>
      </c>
      <c r="T114" t="s">
        <v>36</v>
      </c>
      <c r="U114" t="s">
        <v>36</v>
      </c>
      <c r="V114" t="s">
        <v>36</v>
      </c>
      <c r="W114" t="s">
        <v>36</v>
      </c>
      <c r="X114" t="s">
        <v>36</v>
      </c>
      <c r="Y114" t="s">
        <v>36</v>
      </c>
      <c r="Z114" t="s">
        <v>36</v>
      </c>
      <c r="AA114" t="s">
        <v>36</v>
      </c>
      <c r="AB114" t="s">
        <v>36</v>
      </c>
      <c r="AC114" t="s">
        <v>36</v>
      </c>
      <c r="AD114" t="s">
        <v>36</v>
      </c>
      <c r="AE114" t="s">
        <v>36</v>
      </c>
      <c r="AF114" t="s">
        <v>36</v>
      </c>
      <c r="AG114" t="s">
        <v>36</v>
      </c>
      <c r="AH114" t="s">
        <v>36</v>
      </c>
      <c r="AI114" t="s">
        <v>36</v>
      </c>
      <c r="AJ114" t="s">
        <v>36</v>
      </c>
    </row>
    <row r="115" spans="1:36" x14ac:dyDescent="0.35">
      <c r="A115">
        <v>563</v>
      </c>
      <c r="B115" t="s">
        <v>267</v>
      </c>
      <c r="C115" t="s">
        <v>36</v>
      </c>
      <c r="D115" t="s">
        <v>36</v>
      </c>
      <c r="E115" t="s">
        <v>36</v>
      </c>
      <c r="F115" t="s">
        <v>36</v>
      </c>
      <c r="G115" t="s">
        <v>36</v>
      </c>
      <c r="H115" t="s">
        <v>36</v>
      </c>
      <c r="I115" t="s">
        <v>36</v>
      </c>
      <c r="J115" t="s">
        <v>36</v>
      </c>
      <c r="K115" t="s">
        <v>36</v>
      </c>
      <c r="L115" t="s">
        <v>36</v>
      </c>
      <c r="M115" t="s">
        <v>36</v>
      </c>
      <c r="N115" t="s">
        <v>36</v>
      </c>
      <c r="O115" t="s">
        <v>36</v>
      </c>
      <c r="P115" t="s">
        <v>36</v>
      </c>
      <c r="Q115" t="s">
        <v>36</v>
      </c>
      <c r="R115" t="s">
        <v>36</v>
      </c>
      <c r="S115" t="s">
        <v>36</v>
      </c>
      <c r="T115" t="s">
        <v>36</v>
      </c>
      <c r="U115" t="s">
        <v>36</v>
      </c>
      <c r="V115" t="s">
        <v>36</v>
      </c>
      <c r="W115" t="s">
        <v>36</v>
      </c>
      <c r="X115" t="s">
        <v>36</v>
      </c>
      <c r="Y115" t="s">
        <v>36</v>
      </c>
      <c r="Z115" t="s">
        <v>36</v>
      </c>
      <c r="AA115" t="s">
        <v>36</v>
      </c>
      <c r="AB115" t="s">
        <v>36</v>
      </c>
      <c r="AC115" t="s">
        <v>36</v>
      </c>
      <c r="AD115" t="s">
        <v>36</v>
      </c>
      <c r="AE115" t="s">
        <v>36</v>
      </c>
      <c r="AF115" t="s">
        <v>36</v>
      </c>
      <c r="AG115" t="s">
        <v>36</v>
      </c>
      <c r="AH115" t="s">
        <v>36</v>
      </c>
      <c r="AI115" t="s">
        <v>36</v>
      </c>
      <c r="AJ115" t="s">
        <v>36</v>
      </c>
    </row>
    <row r="116" spans="1:36" x14ac:dyDescent="0.35">
      <c r="A116">
        <v>559</v>
      </c>
      <c r="B116" t="s">
        <v>263</v>
      </c>
      <c r="C116" t="s">
        <v>36</v>
      </c>
      <c r="D116" t="s">
        <v>36</v>
      </c>
      <c r="E116" t="s">
        <v>36</v>
      </c>
      <c r="F116" t="s">
        <v>36</v>
      </c>
      <c r="G116" t="s">
        <v>36</v>
      </c>
      <c r="H116" t="s">
        <v>36</v>
      </c>
      <c r="I116" t="s">
        <v>36</v>
      </c>
      <c r="J116" t="s">
        <v>36</v>
      </c>
      <c r="K116" t="s">
        <v>36</v>
      </c>
      <c r="L116" t="s">
        <v>36</v>
      </c>
      <c r="M116" t="s">
        <v>36</v>
      </c>
      <c r="N116" t="s">
        <v>36</v>
      </c>
      <c r="O116" t="s">
        <v>36</v>
      </c>
      <c r="P116" t="s">
        <v>36</v>
      </c>
      <c r="Q116" t="s">
        <v>36</v>
      </c>
      <c r="R116" t="s">
        <v>36</v>
      </c>
      <c r="S116" t="s">
        <v>36</v>
      </c>
      <c r="T116" t="s">
        <v>36</v>
      </c>
      <c r="U116" t="s">
        <v>36</v>
      </c>
      <c r="V116" t="s">
        <v>36</v>
      </c>
      <c r="W116" t="s">
        <v>36</v>
      </c>
      <c r="X116" t="s">
        <v>36</v>
      </c>
      <c r="Y116" t="s">
        <v>36</v>
      </c>
      <c r="Z116" t="s">
        <v>36</v>
      </c>
      <c r="AA116" t="s">
        <v>36</v>
      </c>
      <c r="AB116" t="s">
        <v>36</v>
      </c>
      <c r="AC116" t="s">
        <v>36</v>
      </c>
      <c r="AD116" t="s">
        <v>36</v>
      </c>
      <c r="AE116" t="s">
        <v>36</v>
      </c>
      <c r="AF116" t="s">
        <v>36</v>
      </c>
      <c r="AG116" t="s">
        <v>36</v>
      </c>
      <c r="AH116" t="s">
        <v>36</v>
      </c>
      <c r="AI116" t="s">
        <v>36</v>
      </c>
      <c r="AJ116" t="s">
        <v>36</v>
      </c>
    </row>
    <row r="117" spans="1:36" x14ac:dyDescent="0.35">
      <c r="A117">
        <v>550</v>
      </c>
      <c r="B117" t="s">
        <v>254</v>
      </c>
      <c r="C117" t="s">
        <v>36</v>
      </c>
      <c r="D117" t="s">
        <v>36</v>
      </c>
      <c r="E117" t="s">
        <v>36</v>
      </c>
      <c r="F117" t="s">
        <v>36</v>
      </c>
      <c r="G117" t="s">
        <v>36</v>
      </c>
      <c r="H117" t="s">
        <v>36</v>
      </c>
      <c r="I117" t="s">
        <v>36</v>
      </c>
      <c r="J117" t="s">
        <v>36</v>
      </c>
      <c r="K117" t="s">
        <v>36</v>
      </c>
      <c r="L117" t="s">
        <v>36</v>
      </c>
      <c r="M117" t="s">
        <v>36</v>
      </c>
      <c r="N117" t="s">
        <v>36</v>
      </c>
      <c r="O117" t="s">
        <v>36</v>
      </c>
      <c r="P117" t="s">
        <v>36</v>
      </c>
      <c r="Q117" t="s">
        <v>36</v>
      </c>
      <c r="R117" t="s">
        <v>36</v>
      </c>
      <c r="S117" t="s">
        <v>36</v>
      </c>
      <c r="T117" t="s">
        <v>36</v>
      </c>
      <c r="U117" t="s">
        <v>36</v>
      </c>
      <c r="V117" t="s">
        <v>36</v>
      </c>
      <c r="W117" t="s">
        <v>36</v>
      </c>
      <c r="X117" t="s">
        <v>36</v>
      </c>
      <c r="Y117" t="s">
        <v>36</v>
      </c>
      <c r="Z117" t="s">
        <v>36</v>
      </c>
      <c r="AA117" t="s">
        <v>36</v>
      </c>
      <c r="AB117" t="s">
        <v>36</v>
      </c>
      <c r="AC117" t="s">
        <v>36</v>
      </c>
      <c r="AD117" t="s">
        <v>36</v>
      </c>
      <c r="AE117" t="s">
        <v>36</v>
      </c>
      <c r="AF117" t="s">
        <v>36</v>
      </c>
      <c r="AG117" t="s">
        <v>36</v>
      </c>
      <c r="AH117" t="s">
        <v>36</v>
      </c>
      <c r="AI117" t="s">
        <v>36</v>
      </c>
      <c r="AJ117" t="s">
        <v>36</v>
      </c>
    </row>
    <row r="118" spans="1:36" x14ac:dyDescent="0.35">
      <c r="A118">
        <v>555</v>
      </c>
      <c r="B118" t="s">
        <v>259</v>
      </c>
      <c r="C118" t="s">
        <v>36</v>
      </c>
      <c r="D118" t="s">
        <v>36</v>
      </c>
      <c r="E118" t="s">
        <v>36</v>
      </c>
      <c r="F118" t="s">
        <v>36</v>
      </c>
      <c r="G118" t="s">
        <v>36</v>
      </c>
      <c r="H118" t="s">
        <v>36</v>
      </c>
      <c r="I118" t="s">
        <v>36</v>
      </c>
      <c r="J118" t="s">
        <v>36</v>
      </c>
      <c r="K118" t="s">
        <v>36</v>
      </c>
      <c r="L118" t="s">
        <v>36</v>
      </c>
      <c r="M118" t="s">
        <v>36</v>
      </c>
      <c r="N118" t="s">
        <v>36</v>
      </c>
      <c r="O118" t="s">
        <v>36</v>
      </c>
      <c r="P118" t="s">
        <v>36</v>
      </c>
      <c r="Q118" t="s">
        <v>36</v>
      </c>
      <c r="R118" t="s">
        <v>36</v>
      </c>
      <c r="S118" t="s">
        <v>36</v>
      </c>
      <c r="T118" t="s">
        <v>36</v>
      </c>
      <c r="U118" t="s">
        <v>36</v>
      </c>
      <c r="V118" t="s">
        <v>36</v>
      </c>
      <c r="W118" t="s">
        <v>36</v>
      </c>
      <c r="X118" t="s">
        <v>36</v>
      </c>
      <c r="Y118" t="s">
        <v>36</v>
      </c>
      <c r="Z118" t="s">
        <v>36</v>
      </c>
      <c r="AA118" t="s">
        <v>36</v>
      </c>
      <c r="AB118" t="s">
        <v>36</v>
      </c>
      <c r="AC118" t="s">
        <v>36</v>
      </c>
      <c r="AD118" t="s">
        <v>36</v>
      </c>
      <c r="AE118" t="s">
        <v>36</v>
      </c>
      <c r="AF118" t="s">
        <v>36</v>
      </c>
      <c r="AG118" t="s">
        <v>36</v>
      </c>
      <c r="AH118" t="s">
        <v>36</v>
      </c>
      <c r="AI118" t="s">
        <v>36</v>
      </c>
      <c r="AJ118" t="s">
        <v>36</v>
      </c>
    </row>
    <row r="119" spans="1:36" x14ac:dyDescent="0.35">
      <c r="A119">
        <v>556</v>
      </c>
      <c r="B119" t="s">
        <v>260</v>
      </c>
      <c r="C119" t="s">
        <v>36</v>
      </c>
      <c r="D119" t="s">
        <v>36</v>
      </c>
      <c r="E119" t="s">
        <v>36</v>
      </c>
      <c r="F119" t="s">
        <v>36</v>
      </c>
      <c r="G119" t="s">
        <v>36</v>
      </c>
      <c r="H119" t="s">
        <v>36</v>
      </c>
      <c r="I119" t="s">
        <v>36</v>
      </c>
      <c r="J119" t="s">
        <v>36</v>
      </c>
      <c r="K119" t="s">
        <v>36</v>
      </c>
      <c r="L119" t="s">
        <v>36</v>
      </c>
      <c r="M119" t="s">
        <v>36</v>
      </c>
      <c r="N119" t="s">
        <v>36</v>
      </c>
      <c r="O119" t="s">
        <v>36</v>
      </c>
      <c r="P119" t="s">
        <v>36</v>
      </c>
      <c r="Q119" t="s">
        <v>36</v>
      </c>
      <c r="R119" t="s">
        <v>36</v>
      </c>
      <c r="S119" t="s">
        <v>36</v>
      </c>
      <c r="T119" t="s">
        <v>36</v>
      </c>
      <c r="U119" t="s">
        <v>36</v>
      </c>
      <c r="V119" t="s">
        <v>36</v>
      </c>
      <c r="W119" t="s">
        <v>36</v>
      </c>
      <c r="X119" t="s">
        <v>36</v>
      </c>
      <c r="Y119" t="s">
        <v>36</v>
      </c>
      <c r="Z119" t="s">
        <v>36</v>
      </c>
      <c r="AA119" t="s">
        <v>36</v>
      </c>
      <c r="AB119" t="s">
        <v>36</v>
      </c>
      <c r="AC119" t="s">
        <v>36</v>
      </c>
      <c r="AD119" t="s">
        <v>36</v>
      </c>
      <c r="AE119" t="s">
        <v>36</v>
      </c>
      <c r="AF119" t="s">
        <v>36</v>
      </c>
      <c r="AG119" t="s">
        <v>36</v>
      </c>
      <c r="AH119" t="s">
        <v>36</v>
      </c>
      <c r="AI119" t="s">
        <v>36</v>
      </c>
      <c r="AJ119" t="s">
        <v>36</v>
      </c>
    </row>
    <row r="120" spans="1:36" x14ac:dyDescent="0.35">
      <c r="A120">
        <v>557</v>
      </c>
      <c r="B120" t="s">
        <v>261</v>
      </c>
      <c r="C120" t="s">
        <v>36</v>
      </c>
      <c r="D120" t="s">
        <v>36</v>
      </c>
      <c r="E120" t="s">
        <v>36</v>
      </c>
      <c r="F120" t="s">
        <v>36</v>
      </c>
      <c r="G120" t="s">
        <v>36</v>
      </c>
      <c r="H120" t="s">
        <v>36</v>
      </c>
      <c r="I120" t="s">
        <v>36</v>
      </c>
      <c r="J120" t="s">
        <v>36</v>
      </c>
      <c r="K120" t="s">
        <v>36</v>
      </c>
      <c r="L120" t="s">
        <v>36</v>
      </c>
      <c r="M120" t="s">
        <v>36</v>
      </c>
      <c r="N120" t="s">
        <v>36</v>
      </c>
      <c r="O120" t="s">
        <v>36</v>
      </c>
      <c r="P120" t="s">
        <v>36</v>
      </c>
      <c r="Q120" t="s">
        <v>36</v>
      </c>
      <c r="R120" t="s">
        <v>36</v>
      </c>
      <c r="S120" t="s">
        <v>36</v>
      </c>
      <c r="T120" t="s">
        <v>36</v>
      </c>
      <c r="U120" t="s">
        <v>36</v>
      </c>
      <c r="V120" t="s">
        <v>36</v>
      </c>
      <c r="W120" t="s">
        <v>36</v>
      </c>
      <c r="X120" t="s">
        <v>36</v>
      </c>
      <c r="Y120" t="s">
        <v>36</v>
      </c>
      <c r="Z120" t="s">
        <v>36</v>
      </c>
      <c r="AA120" t="s">
        <v>36</v>
      </c>
      <c r="AB120" t="s">
        <v>36</v>
      </c>
      <c r="AC120" t="s">
        <v>36</v>
      </c>
      <c r="AD120" t="s">
        <v>36</v>
      </c>
      <c r="AE120" t="s">
        <v>36</v>
      </c>
      <c r="AF120" t="s">
        <v>36</v>
      </c>
      <c r="AG120" t="s">
        <v>36</v>
      </c>
      <c r="AH120" t="s">
        <v>36</v>
      </c>
      <c r="AI120" t="s">
        <v>36</v>
      </c>
      <c r="AJ120" t="s">
        <v>36</v>
      </c>
    </row>
    <row r="121" spans="1:36" x14ac:dyDescent="0.35">
      <c r="A121">
        <v>551</v>
      </c>
      <c r="B121" t="s">
        <v>255</v>
      </c>
      <c r="C121" t="s">
        <v>36</v>
      </c>
      <c r="D121" t="s">
        <v>36</v>
      </c>
      <c r="E121" t="s">
        <v>36</v>
      </c>
      <c r="F121" t="s">
        <v>36</v>
      </c>
      <c r="G121" t="s">
        <v>36</v>
      </c>
      <c r="H121" t="s">
        <v>36</v>
      </c>
      <c r="I121" t="s">
        <v>36</v>
      </c>
      <c r="J121" t="s">
        <v>36</v>
      </c>
      <c r="K121" t="s">
        <v>36</v>
      </c>
      <c r="L121" t="s">
        <v>36</v>
      </c>
      <c r="M121" t="s">
        <v>36</v>
      </c>
      <c r="N121" t="s">
        <v>36</v>
      </c>
      <c r="O121" t="s">
        <v>36</v>
      </c>
      <c r="P121" t="s">
        <v>36</v>
      </c>
      <c r="Q121" t="s">
        <v>36</v>
      </c>
      <c r="R121" t="s">
        <v>36</v>
      </c>
      <c r="S121" t="s">
        <v>36</v>
      </c>
      <c r="T121" t="s">
        <v>36</v>
      </c>
      <c r="U121" t="s">
        <v>36</v>
      </c>
      <c r="V121" t="s">
        <v>36</v>
      </c>
      <c r="W121" t="s">
        <v>36</v>
      </c>
      <c r="X121" t="s">
        <v>36</v>
      </c>
      <c r="Y121" t="s">
        <v>36</v>
      </c>
      <c r="Z121" t="s">
        <v>36</v>
      </c>
      <c r="AA121" t="s">
        <v>36</v>
      </c>
      <c r="AB121" t="s">
        <v>36</v>
      </c>
      <c r="AC121" t="s">
        <v>36</v>
      </c>
      <c r="AD121" t="s">
        <v>36</v>
      </c>
      <c r="AE121" t="s">
        <v>36</v>
      </c>
      <c r="AF121" t="s">
        <v>36</v>
      </c>
      <c r="AG121" t="s">
        <v>36</v>
      </c>
      <c r="AH121" t="s">
        <v>36</v>
      </c>
      <c r="AI121" t="s">
        <v>36</v>
      </c>
      <c r="AJ121" t="s">
        <v>36</v>
      </c>
    </row>
    <row r="122" spans="1:36" x14ac:dyDescent="0.35">
      <c r="A122">
        <v>129</v>
      </c>
      <c r="B122" t="s">
        <v>120</v>
      </c>
      <c r="C122" t="s">
        <v>36</v>
      </c>
      <c r="D122" s="1">
        <v>42058.680555555555</v>
      </c>
      <c r="E122" t="s">
        <v>36</v>
      </c>
      <c r="F122" t="s">
        <v>36</v>
      </c>
      <c r="G122" t="s">
        <v>36</v>
      </c>
      <c r="H122" t="s">
        <v>36</v>
      </c>
      <c r="I122" t="s">
        <v>36</v>
      </c>
      <c r="J122" t="s">
        <v>36</v>
      </c>
      <c r="K122" t="s">
        <v>36</v>
      </c>
      <c r="L122" t="s">
        <v>36</v>
      </c>
      <c r="M122" t="s">
        <v>36</v>
      </c>
      <c r="N122" s="1">
        <v>42795</v>
      </c>
      <c r="O122" s="1">
        <v>42376.743055555555</v>
      </c>
      <c r="P122" t="s">
        <v>36</v>
      </c>
      <c r="Q122" t="s">
        <v>36</v>
      </c>
      <c r="R122" t="s">
        <v>36</v>
      </c>
      <c r="S122" t="s">
        <v>36</v>
      </c>
      <c r="T122" t="s">
        <v>36</v>
      </c>
      <c r="U122" t="s">
        <v>36</v>
      </c>
      <c r="V122" t="s">
        <v>36</v>
      </c>
      <c r="W122" t="s">
        <v>36</v>
      </c>
      <c r="X122" s="1">
        <v>42193.618055555555</v>
      </c>
      <c r="Y122" t="s">
        <v>36</v>
      </c>
      <c r="Z122" t="s">
        <v>36</v>
      </c>
      <c r="AA122" t="s">
        <v>36</v>
      </c>
      <c r="AB122" t="s">
        <v>36</v>
      </c>
      <c r="AC122" t="s">
        <v>36</v>
      </c>
      <c r="AD122" t="s">
        <v>36</v>
      </c>
      <c r="AE122" t="s">
        <v>36</v>
      </c>
      <c r="AF122" t="s">
        <v>36</v>
      </c>
      <c r="AG122" t="s">
        <v>36</v>
      </c>
      <c r="AH122" t="s">
        <v>36</v>
      </c>
      <c r="AI122" t="s">
        <v>36</v>
      </c>
      <c r="AJ122" t="s">
        <v>36</v>
      </c>
    </row>
    <row r="123" spans="1:36" x14ac:dyDescent="0.35">
      <c r="A123">
        <v>297</v>
      </c>
      <c r="B123" t="s">
        <v>177</v>
      </c>
      <c r="C123" s="1">
        <v>42528.291666666664</v>
      </c>
      <c r="D123" t="s">
        <v>36</v>
      </c>
      <c r="E123" t="s">
        <v>36</v>
      </c>
      <c r="F123" t="s">
        <v>36</v>
      </c>
      <c r="G123" t="s">
        <v>36</v>
      </c>
      <c r="H123" t="s">
        <v>36</v>
      </c>
      <c r="I123" t="s">
        <v>36</v>
      </c>
      <c r="J123" t="s">
        <v>36</v>
      </c>
      <c r="K123" s="1">
        <v>42475.736111111109</v>
      </c>
      <c r="L123" t="s">
        <v>36</v>
      </c>
      <c r="M123" t="s">
        <v>36</v>
      </c>
      <c r="N123" t="s">
        <v>36</v>
      </c>
      <c r="O123" t="s">
        <v>36</v>
      </c>
      <c r="P123" t="s">
        <v>36</v>
      </c>
      <c r="Q123" t="s">
        <v>36</v>
      </c>
      <c r="R123" t="s">
        <v>36</v>
      </c>
      <c r="S123" t="s">
        <v>36</v>
      </c>
      <c r="T123" t="s">
        <v>36</v>
      </c>
      <c r="U123" t="s">
        <v>36</v>
      </c>
      <c r="V123" s="1">
        <v>42473.520833333336</v>
      </c>
      <c r="W123" t="s">
        <v>36</v>
      </c>
      <c r="X123" t="s">
        <v>36</v>
      </c>
      <c r="Y123" t="s">
        <v>36</v>
      </c>
      <c r="Z123" s="1">
        <v>42648.458333333336</v>
      </c>
      <c r="AA123" t="s">
        <v>36</v>
      </c>
      <c r="AB123" t="s">
        <v>36</v>
      </c>
      <c r="AC123" s="1">
        <v>42485.743055555555</v>
      </c>
      <c r="AD123" s="1">
        <v>42649.430555555555</v>
      </c>
      <c r="AE123" t="s">
        <v>36</v>
      </c>
      <c r="AF123" t="s">
        <v>36</v>
      </c>
      <c r="AG123" t="s">
        <v>36</v>
      </c>
      <c r="AH123" t="s">
        <v>36</v>
      </c>
      <c r="AI123" t="s">
        <v>36</v>
      </c>
      <c r="AJ123" t="s">
        <v>36</v>
      </c>
    </row>
    <row r="124" spans="1:36" x14ac:dyDescent="0.35">
      <c r="A124">
        <v>325</v>
      </c>
      <c r="B124" t="s">
        <v>193</v>
      </c>
      <c r="C124" t="s">
        <v>36</v>
      </c>
      <c r="D124" t="s">
        <v>36</v>
      </c>
      <c r="E124" t="s">
        <v>36</v>
      </c>
      <c r="F124" t="s">
        <v>36</v>
      </c>
      <c r="G124" s="1">
        <v>41426</v>
      </c>
      <c r="H124" t="s">
        <v>36</v>
      </c>
      <c r="I124" t="s">
        <v>36</v>
      </c>
      <c r="J124" t="s">
        <v>36</v>
      </c>
      <c r="K124" t="s">
        <v>36</v>
      </c>
      <c r="L124" t="s">
        <v>36</v>
      </c>
      <c r="M124" t="s">
        <v>36</v>
      </c>
      <c r="N124" t="s">
        <v>36</v>
      </c>
      <c r="O124" t="s">
        <v>36</v>
      </c>
      <c r="P124" s="1">
        <v>41426</v>
      </c>
      <c r="Q124" t="s">
        <v>36</v>
      </c>
      <c r="R124" t="s">
        <v>36</v>
      </c>
      <c r="S124" t="s">
        <v>36</v>
      </c>
      <c r="T124" s="1">
        <v>39873</v>
      </c>
      <c r="U124" t="s">
        <v>36</v>
      </c>
      <c r="V124" t="s">
        <v>36</v>
      </c>
      <c r="W124" t="s">
        <v>36</v>
      </c>
      <c r="X124" t="s">
        <v>36</v>
      </c>
      <c r="Y124" t="s">
        <v>36</v>
      </c>
      <c r="Z124" t="s">
        <v>36</v>
      </c>
      <c r="AA124" t="s">
        <v>36</v>
      </c>
      <c r="AB124" t="s">
        <v>36</v>
      </c>
      <c r="AC124" t="s">
        <v>36</v>
      </c>
      <c r="AD124" t="s">
        <v>36</v>
      </c>
      <c r="AE124" t="s">
        <v>36</v>
      </c>
      <c r="AF124" s="1">
        <v>41513.4375</v>
      </c>
      <c r="AG124" s="1">
        <v>43040</v>
      </c>
      <c r="AH124" t="s">
        <v>36</v>
      </c>
      <c r="AI124" s="1">
        <v>41365</v>
      </c>
      <c r="AJ124" s="1">
        <v>41426</v>
      </c>
    </row>
    <row r="125" spans="1:36" x14ac:dyDescent="0.35">
      <c r="A125">
        <v>291</v>
      </c>
      <c r="B125" t="s">
        <v>171</v>
      </c>
      <c r="C125" t="s">
        <v>36</v>
      </c>
      <c r="D125" t="s">
        <v>36</v>
      </c>
      <c r="E125" t="s">
        <v>36</v>
      </c>
      <c r="F125" t="s">
        <v>36</v>
      </c>
      <c r="G125" t="s">
        <v>36</v>
      </c>
      <c r="H125" t="s">
        <v>36</v>
      </c>
      <c r="I125" t="s">
        <v>36</v>
      </c>
      <c r="J125" t="s">
        <v>36</v>
      </c>
      <c r="K125" t="s">
        <v>36</v>
      </c>
      <c r="L125" t="s">
        <v>36</v>
      </c>
      <c r="M125" t="s">
        <v>36</v>
      </c>
      <c r="N125" t="s">
        <v>36</v>
      </c>
      <c r="O125" t="s">
        <v>36</v>
      </c>
      <c r="P125" t="s">
        <v>36</v>
      </c>
      <c r="Q125" t="s">
        <v>36</v>
      </c>
      <c r="R125" t="s">
        <v>36</v>
      </c>
      <c r="S125" t="s">
        <v>36</v>
      </c>
      <c r="T125" t="s">
        <v>36</v>
      </c>
      <c r="U125" t="s">
        <v>36</v>
      </c>
      <c r="V125" t="s">
        <v>36</v>
      </c>
      <c r="W125" t="s">
        <v>36</v>
      </c>
      <c r="X125" t="s">
        <v>36</v>
      </c>
      <c r="Y125" t="s">
        <v>36</v>
      </c>
      <c r="Z125" t="s">
        <v>36</v>
      </c>
      <c r="AA125" t="s">
        <v>36</v>
      </c>
      <c r="AB125" t="s">
        <v>36</v>
      </c>
      <c r="AC125" t="s">
        <v>36</v>
      </c>
      <c r="AD125" t="s">
        <v>36</v>
      </c>
      <c r="AE125" t="s">
        <v>36</v>
      </c>
      <c r="AF125" t="s">
        <v>36</v>
      </c>
      <c r="AG125" t="s">
        <v>36</v>
      </c>
      <c r="AH125" t="s">
        <v>36</v>
      </c>
      <c r="AI125" t="s">
        <v>36</v>
      </c>
      <c r="AJ125" t="s">
        <v>36</v>
      </c>
    </row>
    <row r="126" spans="1:36" x14ac:dyDescent="0.35">
      <c r="A126">
        <v>292</v>
      </c>
      <c r="B126" t="s">
        <v>172</v>
      </c>
      <c r="C126" t="s">
        <v>36</v>
      </c>
      <c r="D126" t="s">
        <v>36</v>
      </c>
      <c r="E126" t="s">
        <v>36</v>
      </c>
      <c r="F126" t="s">
        <v>36</v>
      </c>
      <c r="G126" t="s">
        <v>36</v>
      </c>
      <c r="H126" t="s">
        <v>36</v>
      </c>
      <c r="I126" t="s">
        <v>36</v>
      </c>
      <c r="J126" t="s">
        <v>36</v>
      </c>
      <c r="K126" t="s">
        <v>36</v>
      </c>
      <c r="L126" t="s">
        <v>36</v>
      </c>
      <c r="M126" t="s">
        <v>36</v>
      </c>
      <c r="N126" t="s">
        <v>36</v>
      </c>
      <c r="O126" t="s">
        <v>36</v>
      </c>
      <c r="P126" t="s">
        <v>36</v>
      </c>
      <c r="Q126" t="s">
        <v>36</v>
      </c>
      <c r="R126" t="s">
        <v>36</v>
      </c>
      <c r="S126" t="s">
        <v>36</v>
      </c>
      <c r="T126" t="s">
        <v>36</v>
      </c>
      <c r="U126" t="s">
        <v>36</v>
      </c>
      <c r="V126" t="s">
        <v>36</v>
      </c>
      <c r="W126" t="s">
        <v>36</v>
      </c>
      <c r="X126" t="s">
        <v>36</v>
      </c>
      <c r="Y126" t="s">
        <v>36</v>
      </c>
      <c r="Z126" t="s">
        <v>36</v>
      </c>
      <c r="AA126" t="s">
        <v>36</v>
      </c>
      <c r="AB126" t="s">
        <v>36</v>
      </c>
      <c r="AC126" t="s">
        <v>36</v>
      </c>
      <c r="AD126" t="s">
        <v>36</v>
      </c>
      <c r="AE126" t="s">
        <v>36</v>
      </c>
      <c r="AF126" t="s">
        <v>36</v>
      </c>
      <c r="AG126" t="s">
        <v>36</v>
      </c>
      <c r="AH126" t="s">
        <v>36</v>
      </c>
      <c r="AI126" t="s">
        <v>36</v>
      </c>
      <c r="AJ126" t="s">
        <v>36</v>
      </c>
    </row>
    <row r="127" spans="1:36" x14ac:dyDescent="0.35">
      <c r="A127">
        <v>293</v>
      </c>
      <c r="B127" t="s">
        <v>173</v>
      </c>
      <c r="C127" t="s">
        <v>36</v>
      </c>
      <c r="D127" t="s">
        <v>36</v>
      </c>
      <c r="E127" t="s">
        <v>36</v>
      </c>
      <c r="F127" t="s">
        <v>36</v>
      </c>
      <c r="G127" t="s">
        <v>36</v>
      </c>
      <c r="H127" t="s">
        <v>36</v>
      </c>
      <c r="I127" t="s">
        <v>36</v>
      </c>
      <c r="J127" t="s">
        <v>36</v>
      </c>
      <c r="K127" t="s">
        <v>36</v>
      </c>
      <c r="L127" t="s">
        <v>36</v>
      </c>
      <c r="M127" t="s">
        <v>36</v>
      </c>
      <c r="N127" t="s">
        <v>36</v>
      </c>
      <c r="O127" t="s">
        <v>36</v>
      </c>
      <c r="P127" t="s">
        <v>36</v>
      </c>
      <c r="Q127" t="s">
        <v>36</v>
      </c>
      <c r="R127" t="s">
        <v>36</v>
      </c>
      <c r="S127" t="s">
        <v>36</v>
      </c>
      <c r="T127" t="s">
        <v>36</v>
      </c>
      <c r="U127" t="s">
        <v>36</v>
      </c>
      <c r="V127" t="s">
        <v>36</v>
      </c>
      <c r="W127" t="s">
        <v>36</v>
      </c>
      <c r="X127" t="s">
        <v>36</v>
      </c>
      <c r="Y127" t="s">
        <v>36</v>
      </c>
      <c r="Z127" t="s">
        <v>36</v>
      </c>
      <c r="AA127" t="s">
        <v>36</v>
      </c>
      <c r="AB127" t="s">
        <v>36</v>
      </c>
      <c r="AC127" t="s">
        <v>36</v>
      </c>
      <c r="AD127" t="s">
        <v>36</v>
      </c>
      <c r="AE127" t="s">
        <v>36</v>
      </c>
      <c r="AF127" t="s">
        <v>36</v>
      </c>
      <c r="AG127" t="s">
        <v>36</v>
      </c>
      <c r="AH127" t="s">
        <v>36</v>
      </c>
      <c r="AI127" t="s">
        <v>36</v>
      </c>
      <c r="AJ127" t="s">
        <v>36</v>
      </c>
    </row>
    <row r="128" spans="1:36" x14ac:dyDescent="0.35">
      <c r="A128">
        <v>85</v>
      </c>
      <c r="B128" t="s">
        <v>98</v>
      </c>
      <c r="C128" s="1">
        <v>42528.291666666664</v>
      </c>
      <c r="D128" s="1">
        <v>42058.680555555555</v>
      </c>
      <c r="E128" s="1">
        <v>39245.465277777781</v>
      </c>
      <c r="F128" s="1">
        <v>42735.993055555555</v>
      </c>
      <c r="G128" s="1">
        <v>41426</v>
      </c>
      <c r="H128" s="1">
        <v>43059.576388888891</v>
      </c>
      <c r="I128" s="1">
        <v>43050.451388888891</v>
      </c>
      <c r="J128" s="1">
        <v>42995.930555555555</v>
      </c>
      <c r="K128" s="1">
        <v>39600</v>
      </c>
      <c r="L128" s="1">
        <v>42940.347222222219</v>
      </c>
      <c r="M128" t="s">
        <v>36</v>
      </c>
      <c r="N128" s="1">
        <v>42795</v>
      </c>
      <c r="O128" s="1">
        <v>42376.743055555555</v>
      </c>
      <c r="P128" s="1">
        <v>41426</v>
      </c>
      <c r="Q128" t="s">
        <v>36</v>
      </c>
      <c r="R128" t="s">
        <v>36</v>
      </c>
      <c r="S128" s="1">
        <v>42735.993055555555</v>
      </c>
      <c r="T128" s="1">
        <v>39873</v>
      </c>
      <c r="U128" s="1">
        <v>43054.631944444445</v>
      </c>
      <c r="V128" s="1">
        <v>42473.520833333336</v>
      </c>
      <c r="W128" t="s">
        <v>36</v>
      </c>
      <c r="X128" s="1">
        <v>42193.618055555555</v>
      </c>
      <c r="Y128" t="s">
        <v>36</v>
      </c>
      <c r="Z128" s="1">
        <v>42648.458333333336</v>
      </c>
      <c r="AA128" s="1">
        <v>43054.611111111109</v>
      </c>
      <c r="AB128" t="s">
        <v>36</v>
      </c>
      <c r="AC128" s="1">
        <v>42485.743055555555</v>
      </c>
      <c r="AD128" s="1">
        <v>42649.430555555555</v>
      </c>
      <c r="AE128" t="s">
        <v>36</v>
      </c>
      <c r="AF128" s="1">
        <v>41513.4375</v>
      </c>
      <c r="AG128" t="s">
        <v>36</v>
      </c>
      <c r="AH128" s="1">
        <v>39659.506944444445</v>
      </c>
      <c r="AI128" s="1">
        <v>41365</v>
      </c>
      <c r="AJ128" s="1">
        <v>41426</v>
      </c>
    </row>
    <row r="129" spans="1:36" x14ac:dyDescent="0.35">
      <c r="A129">
        <v>134</v>
      </c>
      <c r="B129" t="s">
        <v>124</v>
      </c>
      <c r="C129" t="s">
        <v>36</v>
      </c>
      <c r="D129" s="1">
        <v>42058.680555555555</v>
      </c>
      <c r="E129" t="s">
        <v>36</v>
      </c>
      <c r="F129" t="s">
        <v>36</v>
      </c>
      <c r="G129" t="s">
        <v>36</v>
      </c>
      <c r="H129" t="s">
        <v>36</v>
      </c>
      <c r="I129" t="s">
        <v>36</v>
      </c>
      <c r="J129" t="s">
        <v>36</v>
      </c>
      <c r="K129" t="s">
        <v>36</v>
      </c>
      <c r="L129" t="s">
        <v>36</v>
      </c>
      <c r="M129" t="s">
        <v>36</v>
      </c>
      <c r="N129" s="1">
        <v>42795</v>
      </c>
      <c r="O129" s="1">
        <v>42376.743055555555</v>
      </c>
      <c r="P129" t="s">
        <v>36</v>
      </c>
      <c r="Q129" t="s">
        <v>36</v>
      </c>
      <c r="R129" t="s">
        <v>36</v>
      </c>
      <c r="S129" t="s">
        <v>36</v>
      </c>
      <c r="T129" t="s">
        <v>36</v>
      </c>
      <c r="U129" t="s">
        <v>36</v>
      </c>
      <c r="V129" t="s">
        <v>36</v>
      </c>
      <c r="W129" t="s">
        <v>36</v>
      </c>
      <c r="X129" s="1">
        <v>42193.618055555555</v>
      </c>
      <c r="Y129" t="s">
        <v>36</v>
      </c>
      <c r="Z129" t="s">
        <v>36</v>
      </c>
      <c r="AA129" t="s">
        <v>36</v>
      </c>
      <c r="AB129" t="s">
        <v>36</v>
      </c>
      <c r="AC129" t="s">
        <v>36</v>
      </c>
      <c r="AD129" t="s">
        <v>36</v>
      </c>
      <c r="AE129" t="s">
        <v>36</v>
      </c>
      <c r="AF129" t="s">
        <v>36</v>
      </c>
      <c r="AG129" t="s">
        <v>36</v>
      </c>
      <c r="AH129" t="s">
        <v>36</v>
      </c>
      <c r="AI129" t="s">
        <v>36</v>
      </c>
      <c r="AJ129" t="s">
        <v>36</v>
      </c>
    </row>
    <row r="130" spans="1:36" x14ac:dyDescent="0.35">
      <c r="A130">
        <v>205</v>
      </c>
      <c r="B130" t="s">
        <v>151</v>
      </c>
      <c r="C130" t="s">
        <v>36</v>
      </c>
      <c r="D130" s="1">
        <v>42058.680555555555</v>
      </c>
      <c r="E130" t="s">
        <v>36</v>
      </c>
      <c r="F130" t="s">
        <v>36</v>
      </c>
      <c r="G130" t="s">
        <v>36</v>
      </c>
      <c r="H130" t="s">
        <v>36</v>
      </c>
      <c r="I130" t="s">
        <v>36</v>
      </c>
      <c r="J130" t="s">
        <v>36</v>
      </c>
      <c r="K130" t="s">
        <v>36</v>
      </c>
      <c r="L130" t="s">
        <v>36</v>
      </c>
      <c r="M130" t="s">
        <v>36</v>
      </c>
      <c r="N130" s="1">
        <v>42795</v>
      </c>
      <c r="O130" s="1">
        <v>42376.743055555555</v>
      </c>
      <c r="P130" t="s">
        <v>36</v>
      </c>
      <c r="Q130" t="s">
        <v>36</v>
      </c>
      <c r="R130" t="s">
        <v>36</v>
      </c>
      <c r="S130" t="s">
        <v>36</v>
      </c>
      <c r="T130" t="s">
        <v>36</v>
      </c>
      <c r="U130" t="s">
        <v>36</v>
      </c>
      <c r="V130" t="s">
        <v>36</v>
      </c>
      <c r="W130" t="s">
        <v>36</v>
      </c>
      <c r="X130" s="1">
        <v>42193.618055555555</v>
      </c>
      <c r="Y130" t="s">
        <v>36</v>
      </c>
      <c r="Z130" t="s">
        <v>36</v>
      </c>
      <c r="AA130" t="s">
        <v>36</v>
      </c>
      <c r="AB130" t="s">
        <v>36</v>
      </c>
      <c r="AC130" t="s">
        <v>36</v>
      </c>
      <c r="AD130" t="s">
        <v>36</v>
      </c>
      <c r="AE130" t="s">
        <v>36</v>
      </c>
      <c r="AF130" t="s">
        <v>36</v>
      </c>
      <c r="AG130" t="s">
        <v>36</v>
      </c>
      <c r="AH130" t="s">
        <v>36</v>
      </c>
      <c r="AI130" t="s">
        <v>36</v>
      </c>
      <c r="AJ130" t="s">
        <v>36</v>
      </c>
    </row>
    <row r="131" spans="1:36" x14ac:dyDescent="0.35">
      <c r="A131">
        <v>152</v>
      </c>
      <c r="B131" t="s">
        <v>125</v>
      </c>
      <c r="C131" t="s">
        <v>36</v>
      </c>
      <c r="D131" s="1">
        <v>42058.680555555555</v>
      </c>
      <c r="E131" t="s">
        <v>36</v>
      </c>
      <c r="F131" t="s">
        <v>36</v>
      </c>
      <c r="G131" s="1">
        <v>41426</v>
      </c>
      <c r="H131" t="s">
        <v>36</v>
      </c>
      <c r="I131" t="s">
        <v>36</v>
      </c>
      <c r="J131" t="s">
        <v>36</v>
      </c>
      <c r="K131" t="s">
        <v>36</v>
      </c>
      <c r="L131" t="s">
        <v>36</v>
      </c>
      <c r="M131" s="1">
        <v>43348.631944444445</v>
      </c>
      <c r="N131" s="1">
        <v>42795</v>
      </c>
      <c r="O131" s="1">
        <v>42376.743055555555</v>
      </c>
      <c r="P131" s="1">
        <v>41426</v>
      </c>
      <c r="Q131" t="s">
        <v>36</v>
      </c>
      <c r="R131" t="s">
        <v>36</v>
      </c>
      <c r="S131" t="s">
        <v>36</v>
      </c>
      <c r="T131" s="1">
        <v>39873</v>
      </c>
      <c r="U131" t="s">
        <v>36</v>
      </c>
      <c r="V131" t="s">
        <v>36</v>
      </c>
      <c r="W131" t="s">
        <v>36</v>
      </c>
      <c r="X131" s="1">
        <v>42193.618055555555</v>
      </c>
      <c r="Y131" t="s">
        <v>36</v>
      </c>
      <c r="Z131" t="s">
        <v>36</v>
      </c>
      <c r="AA131" t="s">
        <v>36</v>
      </c>
      <c r="AB131" t="s">
        <v>36</v>
      </c>
      <c r="AC131" t="s">
        <v>36</v>
      </c>
      <c r="AD131" t="s">
        <v>36</v>
      </c>
      <c r="AE131" t="s">
        <v>36</v>
      </c>
      <c r="AF131" s="1">
        <v>41513.4375</v>
      </c>
      <c r="AG131" s="1">
        <v>43040</v>
      </c>
      <c r="AH131" t="s">
        <v>36</v>
      </c>
      <c r="AI131" s="1">
        <v>41365</v>
      </c>
      <c r="AJ131" s="1">
        <v>41426</v>
      </c>
    </row>
    <row r="132" spans="1:36" x14ac:dyDescent="0.35">
      <c r="A132">
        <v>298</v>
      </c>
      <c r="B132" t="s">
        <v>178</v>
      </c>
      <c r="C132" s="1">
        <v>42528.291666666664</v>
      </c>
      <c r="D132" t="s">
        <v>36</v>
      </c>
      <c r="E132" t="s">
        <v>36</v>
      </c>
      <c r="F132" t="s">
        <v>36</v>
      </c>
      <c r="G132" t="s">
        <v>36</v>
      </c>
      <c r="H132" t="s">
        <v>36</v>
      </c>
      <c r="I132" t="s">
        <v>36</v>
      </c>
      <c r="J132" t="s">
        <v>36</v>
      </c>
      <c r="K132" s="1">
        <v>39600</v>
      </c>
      <c r="L132" t="s">
        <v>36</v>
      </c>
      <c r="M132" t="s">
        <v>36</v>
      </c>
      <c r="N132" t="s">
        <v>36</v>
      </c>
      <c r="O132" t="s">
        <v>36</v>
      </c>
      <c r="P132" t="s">
        <v>36</v>
      </c>
      <c r="Q132" t="s">
        <v>36</v>
      </c>
      <c r="R132" t="s">
        <v>36</v>
      </c>
      <c r="S132" t="s">
        <v>36</v>
      </c>
      <c r="T132" t="s">
        <v>36</v>
      </c>
      <c r="U132" t="s">
        <v>36</v>
      </c>
      <c r="V132" s="1">
        <v>42473.520833333336</v>
      </c>
      <c r="W132" t="s">
        <v>36</v>
      </c>
      <c r="X132" t="s">
        <v>36</v>
      </c>
      <c r="Y132" t="s">
        <v>36</v>
      </c>
      <c r="Z132" s="1">
        <v>42648.458333333336</v>
      </c>
      <c r="AA132" t="s">
        <v>36</v>
      </c>
      <c r="AB132" t="s">
        <v>36</v>
      </c>
      <c r="AC132" s="1">
        <v>42485.743055555555</v>
      </c>
      <c r="AD132" s="1">
        <v>42649.430555555555</v>
      </c>
      <c r="AE132" t="s">
        <v>36</v>
      </c>
      <c r="AF132" t="s">
        <v>36</v>
      </c>
      <c r="AG132" t="s">
        <v>36</v>
      </c>
      <c r="AH132" t="s">
        <v>36</v>
      </c>
      <c r="AI132" t="s">
        <v>36</v>
      </c>
      <c r="AJ132" t="s">
        <v>36</v>
      </c>
    </row>
    <row r="133" spans="1:36" x14ac:dyDescent="0.35">
      <c r="A133">
        <v>190</v>
      </c>
      <c r="B133" t="s">
        <v>139</v>
      </c>
      <c r="C133" t="s">
        <v>36</v>
      </c>
      <c r="D133" s="1">
        <v>42058.680555555555</v>
      </c>
      <c r="E133" t="s">
        <v>36</v>
      </c>
      <c r="F133" t="s">
        <v>36</v>
      </c>
      <c r="G133" t="s">
        <v>36</v>
      </c>
      <c r="H133" t="s">
        <v>36</v>
      </c>
      <c r="I133" t="s">
        <v>36</v>
      </c>
      <c r="J133" t="s">
        <v>36</v>
      </c>
      <c r="K133" t="s">
        <v>36</v>
      </c>
      <c r="L133" t="s">
        <v>36</v>
      </c>
      <c r="M133" t="s">
        <v>36</v>
      </c>
      <c r="N133" s="1">
        <v>42795</v>
      </c>
      <c r="O133" t="s">
        <v>36</v>
      </c>
      <c r="P133" t="s">
        <v>36</v>
      </c>
      <c r="Q133" t="s">
        <v>36</v>
      </c>
      <c r="R133" t="s">
        <v>36</v>
      </c>
      <c r="S133" t="s">
        <v>36</v>
      </c>
      <c r="T133" t="s">
        <v>36</v>
      </c>
      <c r="U133" t="s">
        <v>36</v>
      </c>
      <c r="V133" t="s">
        <v>36</v>
      </c>
      <c r="W133" t="s">
        <v>36</v>
      </c>
      <c r="X133" s="1">
        <v>42193.618055555555</v>
      </c>
      <c r="Y133" t="s">
        <v>36</v>
      </c>
      <c r="Z133" t="s">
        <v>36</v>
      </c>
      <c r="AA133" t="s">
        <v>36</v>
      </c>
      <c r="AB133" t="s">
        <v>36</v>
      </c>
      <c r="AC133" t="s">
        <v>36</v>
      </c>
      <c r="AD133" t="s">
        <v>36</v>
      </c>
      <c r="AE133" t="s">
        <v>36</v>
      </c>
      <c r="AF133" t="s">
        <v>36</v>
      </c>
      <c r="AG133" t="s">
        <v>36</v>
      </c>
      <c r="AH133" t="s">
        <v>36</v>
      </c>
      <c r="AI133" t="s">
        <v>36</v>
      </c>
      <c r="AJ133" t="s">
        <v>36</v>
      </c>
    </row>
    <row r="134" spans="1:36" x14ac:dyDescent="0.35">
      <c r="A134">
        <v>92</v>
      </c>
      <c r="B134" t="s">
        <v>103</v>
      </c>
      <c r="C134" t="s">
        <v>36</v>
      </c>
      <c r="D134" t="s">
        <v>36</v>
      </c>
      <c r="E134" s="1">
        <v>39245.465277777781</v>
      </c>
      <c r="F134" s="1">
        <v>43008.993055555555</v>
      </c>
      <c r="G134" t="s">
        <v>36</v>
      </c>
      <c r="H134" s="1">
        <v>43059.576388888891</v>
      </c>
      <c r="I134" s="1">
        <v>43050.451388888891</v>
      </c>
      <c r="J134" s="1">
        <v>43061.520833333336</v>
      </c>
      <c r="K134" t="s">
        <v>36</v>
      </c>
      <c r="L134" t="s">
        <v>36</v>
      </c>
      <c r="M134" t="s">
        <v>36</v>
      </c>
      <c r="N134" t="s">
        <v>36</v>
      </c>
      <c r="O134" t="s">
        <v>36</v>
      </c>
      <c r="P134" t="s">
        <v>36</v>
      </c>
      <c r="Q134" t="s">
        <v>36</v>
      </c>
      <c r="R134" t="s">
        <v>36</v>
      </c>
      <c r="S134" s="1">
        <v>42735.993055555555</v>
      </c>
      <c r="T134" t="s">
        <v>36</v>
      </c>
      <c r="U134" s="1">
        <v>43054.631944444445</v>
      </c>
      <c r="V134" t="s">
        <v>36</v>
      </c>
      <c r="W134" s="1">
        <v>42477.895833333336</v>
      </c>
      <c r="X134" t="s">
        <v>36</v>
      </c>
      <c r="Y134" t="s">
        <v>36</v>
      </c>
      <c r="Z134" t="s">
        <v>36</v>
      </c>
      <c r="AA134" s="1">
        <v>43054.611111111109</v>
      </c>
      <c r="AB134" s="1">
        <v>41225.597222222219</v>
      </c>
      <c r="AC134" t="s">
        <v>36</v>
      </c>
      <c r="AD134" t="s">
        <v>36</v>
      </c>
      <c r="AE134" t="s">
        <v>36</v>
      </c>
      <c r="AF134" t="s">
        <v>36</v>
      </c>
      <c r="AG134" t="s">
        <v>36</v>
      </c>
      <c r="AH134" s="1">
        <v>39659.506944444445</v>
      </c>
      <c r="AI134" t="s">
        <v>36</v>
      </c>
      <c r="AJ134" t="s">
        <v>36</v>
      </c>
    </row>
    <row r="135" spans="1:36" x14ac:dyDescent="0.35">
      <c r="A135">
        <v>175</v>
      </c>
      <c r="B135" t="s">
        <v>131</v>
      </c>
      <c r="C135" t="s">
        <v>36</v>
      </c>
      <c r="D135" s="1">
        <v>42058.680555555555</v>
      </c>
      <c r="E135" t="s">
        <v>36</v>
      </c>
      <c r="F135" t="s">
        <v>36</v>
      </c>
      <c r="G135" t="s">
        <v>36</v>
      </c>
      <c r="H135" t="s">
        <v>36</v>
      </c>
      <c r="I135" t="s">
        <v>36</v>
      </c>
      <c r="J135" t="s">
        <v>36</v>
      </c>
      <c r="K135" t="s">
        <v>36</v>
      </c>
      <c r="L135" t="s">
        <v>36</v>
      </c>
      <c r="M135" t="s">
        <v>36</v>
      </c>
      <c r="N135" s="1">
        <v>42795</v>
      </c>
      <c r="O135" s="1">
        <v>42662.868055555555</v>
      </c>
      <c r="P135" t="s">
        <v>36</v>
      </c>
      <c r="Q135" t="s">
        <v>36</v>
      </c>
      <c r="R135" t="s">
        <v>36</v>
      </c>
      <c r="S135" t="s">
        <v>36</v>
      </c>
      <c r="T135" t="s">
        <v>36</v>
      </c>
      <c r="U135" t="s">
        <v>36</v>
      </c>
      <c r="V135" t="s">
        <v>36</v>
      </c>
      <c r="W135" t="s">
        <v>36</v>
      </c>
      <c r="X135" s="1">
        <v>42193.618055555555</v>
      </c>
      <c r="Y135" t="s">
        <v>36</v>
      </c>
      <c r="Z135" t="s">
        <v>36</v>
      </c>
      <c r="AA135" t="s">
        <v>36</v>
      </c>
      <c r="AB135" t="s">
        <v>36</v>
      </c>
      <c r="AC135" t="s">
        <v>36</v>
      </c>
      <c r="AD135" t="s">
        <v>36</v>
      </c>
      <c r="AE135" t="s">
        <v>36</v>
      </c>
      <c r="AF135" t="s">
        <v>36</v>
      </c>
      <c r="AG135" t="s">
        <v>36</v>
      </c>
      <c r="AH135" t="s">
        <v>36</v>
      </c>
      <c r="AI135" t="s">
        <v>36</v>
      </c>
      <c r="AJ135" t="s">
        <v>36</v>
      </c>
    </row>
    <row r="136" spans="1:36" x14ac:dyDescent="0.35">
      <c r="A136">
        <v>294</v>
      </c>
      <c r="B136" t="s">
        <v>174</v>
      </c>
      <c r="C136" s="1">
        <v>42528.291666666664</v>
      </c>
      <c r="D136" t="s">
        <v>36</v>
      </c>
      <c r="E136" t="s">
        <v>36</v>
      </c>
      <c r="F136" t="s">
        <v>36</v>
      </c>
      <c r="G136" t="s">
        <v>36</v>
      </c>
      <c r="H136" t="s">
        <v>36</v>
      </c>
      <c r="I136" t="s">
        <v>36</v>
      </c>
      <c r="J136" s="1">
        <v>42995.930555555555</v>
      </c>
      <c r="K136" s="1">
        <v>39600</v>
      </c>
      <c r="L136" s="1">
        <v>42940.347222222219</v>
      </c>
      <c r="M136" t="s">
        <v>36</v>
      </c>
      <c r="N136" t="s">
        <v>36</v>
      </c>
      <c r="O136" t="s">
        <v>36</v>
      </c>
      <c r="P136" t="s">
        <v>36</v>
      </c>
      <c r="Q136" t="s">
        <v>36</v>
      </c>
      <c r="R136" t="s">
        <v>36</v>
      </c>
      <c r="S136" t="s">
        <v>36</v>
      </c>
      <c r="T136" t="s">
        <v>36</v>
      </c>
      <c r="U136" t="s">
        <v>36</v>
      </c>
      <c r="V136" s="1">
        <v>42473.520833333336</v>
      </c>
      <c r="W136" t="s">
        <v>36</v>
      </c>
      <c r="X136" t="s">
        <v>36</v>
      </c>
      <c r="Y136" t="s">
        <v>36</v>
      </c>
      <c r="Z136" s="1">
        <v>42648.458333333336</v>
      </c>
      <c r="AA136" t="s">
        <v>36</v>
      </c>
      <c r="AB136" t="s">
        <v>36</v>
      </c>
      <c r="AC136" s="1">
        <v>42485.743055555555</v>
      </c>
      <c r="AD136" s="1">
        <v>42649.430555555555</v>
      </c>
      <c r="AE136" t="s">
        <v>36</v>
      </c>
      <c r="AF136" t="s">
        <v>36</v>
      </c>
      <c r="AG136" t="s">
        <v>36</v>
      </c>
      <c r="AH136" t="s">
        <v>36</v>
      </c>
      <c r="AI136" t="s">
        <v>36</v>
      </c>
      <c r="AJ136" t="s">
        <v>36</v>
      </c>
    </row>
    <row r="137" spans="1:36" x14ac:dyDescent="0.35">
      <c r="A137">
        <v>103</v>
      </c>
      <c r="B137" t="s">
        <v>111</v>
      </c>
      <c r="C137" t="s">
        <v>36</v>
      </c>
      <c r="D137" s="1">
        <v>42087.777777777781</v>
      </c>
      <c r="E137" t="s">
        <v>36</v>
      </c>
      <c r="F137" t="s">
        <v>36</v>
      </c>
      <c r="G137" s="1">
        <v>42482.388888888891</v>
      </c>
      <c r="H137" t="s">
        <v>36</v>
      </c>
      <c r="I137" t="s">
        <v>36</v>
      </c>
      <c r="J137" s="1">
        <v>42995.930555555555</v>
      </c>
      <c r="K137" t="s">
        <v>36</v>
      </c>
      <c r="L137" s="1">
        <v>42940.347222222219</v>
      </c>
      <c r="M137" t="s">
        <v>36</v>
      </c>
      <c r="N137" t="s">
        <v>36</v>
      </c>
      <c r="O137" s="1">
        <v>42662.868055555555</v>
      </c>
      <c r="P137" s="1">
        <v>42482.381944444445</v>
      </c>
      <c r="Q137" t="s">
        <v>36</v>
      </c>
      <c r="R137" t="s">
        <v>36</v>
      </c>
      <c r="S137" t="s">
        <v>36</v>
      </c>
      <c r="T137" s="1">
        <v>42492.868055555555</v>
      </c>
      <c r="U137" t="s">
        <v>36</v>
      </c>
      <c r="V137" t="s">
        <v>36</v>
      </c>
      <c r="W137" t="s">
        <v>36</v>
      </c>
      <c r="X137" s="1">
        <v>42193.618055555555</v>
      </c>
      <c r="Y137" t="s">
        <v>36</v>
      </c>
      <c r="Z137" t="s">
        <v>36</v>
      </c>
      <c r="AA137" t="s">
        <v>36</v>
      </c>
      <c r="AB137" t="s">
        <v>36</v>
      </c>
      <c r="AC137" t="s">
        <v>36</v>
      </c>
      <c r="AD137" t="s">
        <v>36</v>
      </c>
      <c r="AE137" t="s">
        <v>36</v>
      </c>
      <c r="AF137" s="1">
        <v>42492.493055555555</v>
      </c>
      <c r="AG137" t="s">
        <v>36</v>
      </c>
      <c r="AH137" t="s">
        <v>36</v>
      </c>
      <c r="AI137" s="1">
        <v>42492.895833333336</v>
      </c>
      <c r="AJ137" s="1">
        <v>42496.548611111109</v>
      </c>
    </row>
    <row r="138" spans="1:36" x14ac:dyDescent="0.35">
      <c r="A138">
        <v>3747</v>
      </c>
      <c r="B138" t="s">
        <v>326</v>
      </c>
      <c r="C138" t="s">
        <v>36</v>
      </c>
      <c r="D138" t="s">
        <v>36</v>
      </c>
      <c r="E138" t="s">
        <v>36</v>
      </c>
      <c r="F138" t="s">
        <v>36</v>
      </c>
      <c r="G138" s="1">
        <v>43647.486111111109</v>
      </c>
      <c r="H138" t="s">
        <v>36</v>
      </c>
      <c r="I138" t="s">
        <v>36</v>
      </c>
      <c r="J138" t="s">
        <v>36</v>
      </c>
      <c r="K138" t="s">
        <v>36</v>
      </c>
      <c r="L138" t="s">
        <v>36</v>
      </c>
      <c r="M138" t="s">
        <v>36</v>
      </c>
      <c r="N138" t="s">
        <v>36</v>
      </c>
      <c r="O138" t="s">
        <v>36</v>
      </c>
      <c r="P138" s="1">
        <v>43647.486111111109</v>
      </c>
      <c r="Q138" t="s">
        <v>36</v>
      </c>
      <c r="R138" t="s">
        <v>36</v>
      </c>
      <c r="S138" s="1">
        <v>43466.638888888891</v>
      </c>
      <c r="T138" s="1">
        <v>43647.486111111109</v>
      </c>
      <c r="U138" t="s">
        <v>36</v>
      </c>
      <c r="V138" t="s">
        <v>36</v>
      </c>
      <c r="W138" t="s">
        <v>36</v>
      </c>
      <c r="X138" t="s">
        <v>36</v>
      </c>
      <c r="Y138" t="s">
        <v>36</v>
      </c>
      <c r="Z138" t="s">
        <v>36</v>
      </c>
      <c r="AA138" t="s">
        <v>36</v>
      </c>
      <c r="AB138" t="s">
        <v>36</v>
      </c>
      <c r="AC138" t="s">
        <v>36</v>
      </c>
      <c r="AD138" t="s">
        <v>36</v>
      </c>
      <c r="AE138" t="s">
        <v>36</v>
      </c>
      <c r="AF138" s="1">
        <v>43671.583333333336</v>
      </c>
      <c r="AG138" t="s">
        <v>36</v>
      </c>
      <c r="AH138" t="s">
        <v>36</v>
      </c>
      <c r="AI138" s="1">
        <v>43647.486111111109</v>
      </c>
      <c r="AJ138" s="1">
        <v>43647.486111111109</v>
      </c>
    </row>
    <row r="139" spans="1:36" x14ac:dyDescent="0.35">
      <c r="A139">
        <v>3748</v>
      </c>
      <c r="B139" t="s">
        <v>327</v>
      </c>
      <c r="C139" t="s">
        <v>36</v>
      </c>
      <c r="D139" t="s">
        <v>36</v>
      </c>
      <c r="E139" t="s">
        <v>36</v>
      </c>
      <c r="F139" t="s">
        <v>36</v>
      </c>
      <c r="G139" s="1">
        <v>43647.486111111109</v>
      </c>
      <c r="H139" t="s">
        <v>36</v>
      </c>
      <c r="I139" t="s">
        <v>36</v>
      </c>
      <c r="J139" t="s">
        <v>36</v>
      </c>
      <c r="K139" t="s">
        <v>36</v>
      </c>
      <c r="L139" t="s">
        <v>36</v>
      </c>
      <c r="M139" t="s">
        <v>36</v>
      </c>
      <c r="N139" t="s">
        <v>36</v>
      </c>
      <c r="O139" t="s">
        <v>36</v>
      </c>
      <c r="P139" s="1">
        <v>43647.486111111109</v>
      </c>
      <c r="Q139" t="s">
        <v>36</v>
      </c>
      <c r="R139" t="s">
        <v>36</v>
      </c>
      <c r="S139" s="1">
        <v>43466.638888888891</v>
      </c>
      <c r="T139" s="1">
        <v>43647.486111111109</v>
      </c>
      <c r="U139" t="s">
        <v>36</v>
      </c>
      <c r="V139" t="s">
        <v>36</v>
      </c>
      <c r="W139" t="s">
        <v>36</v>
      </c>
      <c r="X139" t="s">
        <v>36</v>
      </c>
      <c r="Y139" t="s">
        <v>36</v>
      </c>
      <c r="Z139" t="s">
        <v>36</v>
      </c>
      <c r="AA139" t="s">
        <v>36</v>
      </c>
      <c r="AB139" t="s">
        <v>36</v>
      </c>
      <c r="AC139" t="s">
        <v>36</v>
      </c>
      <c r="AD139" t="s">
        <v>36</v>
      </c>
      <c r="AE139" t="s">
        <v>36</v>
      </c>
      <c r="AF139" s="1">
        <v>43671.583333333336</v>
      </c>
      <c r="AG139" t="s">
        <v>36</v>
      </c>
      <c r="AH139" t="s">
        <v>36</v>
      </c>
      <c r="AI139" s="1">
        <v>43647.486111111109</v>
      </c>
      <c r="AJ139" s="1">
        <v>43647.486111111109</v>
      </c>
    </row>
    <row r="140" spans="1:36" x14ac:dyDescent="0.35">
      <c r="A140">
        <v>3749</v>
      </c>
      <c r="B140" t="s">
        <v>328</v>
      </c>
      <c r="C140" t="s">
        <v>36</v>
      </c>
      <c r="D140" t="s">
        <v>36</v>
      </c>
      <c r="E140" t="s">
        <v>36</v>
      </c>
      <c r="F140" t="s">
        <v>36</v>
      </c>
      <c r="G140" s="1">
        <v>43647.486111111109</v>
      </c>
      <c r="H140" t="s">
        <v>36</v>
      </c>
      <c r="I140" t="s">
        <v>36</v>
      </c>
      <c r="J140" t="s">
        <v>36</v>
      </c>
      <c r="K140" t="s">
        <v>36</v>
      </c>
      <c r="L140" t="s">
        <v>36</v>
      </c>
      <c r="M140" t="s">
        <v>36</v>
      </c>
      <c r="N140" t="s">
        <v>36</v>
      </c>
      <c r="O140" t="s">
        <v>36</v>
      </c>
      <c r="P140" s="1">
        <v>43647.486111111109</v>
      </c>
      <c r="Q140" t="s">
        <v>36</v>
      </c>
      <c r="R140" t="s">
        <v>36</v>
      </c>
      <c r="S140" s="1">
        <v>43466.638888888891</v>
      </c>
      <c r="T140" s="1">
        <v>43647.486111111109</v>
      </c>
      <c r="U140" t="s">
        <v>36</v>
      </c>
      <c r="V140" t="s">
        <v>36</v>
      </c>
      <c r="W140" t="s">
        <v>36</v>
      </c>
      <c r="X140" t="s">
        <v>36</v>
      </c>
      <c r="Y140" t="s">
        <v>36</v>
      </c>
      <c r="Z140" t="s">
        <v>36</v>
      </c>
      <c r="AA140" t="s">
        <v>36</v>
      </c>
      <c r="AB140" t="s">
        <v>36</v>
      </c>
      <c r="AC140" t="s">
        <v>36</v>
      </c>
      <c r="AD140" t="s">
        <v>36</v>
      </c>
      <c r="AE140" t="s">
        <v>36</v>
      </c>
      <c r="AF140" s="1">
        <v>43671.583333333336</v>
      </c>
      <c r="AG140" t="s">
        <v>36</v>
      </c>
      <c r="AH140" t="s">
        <v>36</v>
      </c>
      <c r="AI140" s="1">
        <v>43647.486111111109</v>
      </c>
      <c r="AJ140" s="1">
        <v>43647.486111111109</v>
      </c>
    </row>
    <row r="141" spans="1:36" x14ac:dyDescent="0.35">
      <c r="A141">
        <v>101</v>
      </c>
      <c r="B141" t="s">
        <v>109</v>
      </c>
      <c r="C141" t="s">
        <v>36</v>
      </c>
      <c r="D141" s="1">
        <v>42058.680555555555</v>
      </c>
      <c r="E141" t="s">
        <v>36</v>
      </c>
      <c r="F141" t="s">
        <v>36</v>
      </c>
      <c r="G141" s="1">
        <v>41426</v>
      </c>
      <c r="H141" t="s">
        <v>36</v>
      </c>
      <c r="I141" t="s">
        <v>36</v>
      </c>
      <c r="J141" s="1">
        <v>42995.930555555555</v>
      </c>
      <c r="K141" t="s">
        <v>36</v>
      </c>
      <c r="L141" t="s">
        <v>36</v>
      </c>
      <c r="M141" t="s">
        <v>36</v>
      </c>
      <c r="N141" s="1">
        <v>42795</v>
      </c>
      <c r="O141" s="1">
        <v>42376.743055555555</v>
      </c>
      <c r="P141" t="s">
        <v>36</v>
      </c>
      <c r="Q141" t="s">
        <v>36</v>
      </c>
      <c r="R141" t="s">
        <v>36</v>
      </c>
      <c r="S141" t="s">
        <v>36</v>
      </c>
      <c r="T141" s="1">
        <v>39873</v>
      </c>
      <c r="U141" t="s">
        <v>36</v>
      </c>
      <c r="V141" t="s">
        <v>36</v>
      </c>
      <c r="W141" t="s">
        <v>36</v>
      </c>
      <c r="X141" s="1">
        <v>42193.618055555555</v>
      </c>
      <c r="Y141" t="s">
        <v>36</v>
      </c>
      <c r="Z141" t="s">
        <v>36</v>
      </c>
      <c r="AA141" t="s">
        <v>36</v>
      </c>
      <c r="AB141" t="s">
        <v>36</v>
      </c>
      <c r="AC141" t="s">
        <v>36</v>
      </c>
      <c r="AD141" t="s">
        <v>36</v>
      </c>
      <c r="AE141" t="s">
        <v>36</v>
      </c>
      <c r="AF141" s="1">
        <v>41513.4375</v>
      </c>
      <c r="AG141" s="1">
        <v>43040</v>
      </c>
      <c r="AH141" t="s">
        <v>36</v>
      </c>
      <c r="AI141" s="1">
        <v>41365</v>
      </c>
      <c r="AJ141" s="1">
        <v>41426</v>
      </c>
    </row>
    <row r="142" spans="1:36" x14ac:dyDescent="0.35">
      <c r="A142">
        <v>370</v>
      </c>
      <c r="B142" t="s">
        <v>207</v>
      </c>
      <c r="C142" t="s">
        <v>36</v>
      </c>
      <c r="D142" t="s">
        <v>36</v>
      </c>
      <c r="E142" t="s">
        <v>36</v>
      </c>
      <c r="F142" t="s">
        <v>36</v>
      </c>
      <c r="G142" t="s">
        <v>36</v>
      </c>
      <c r="H142" t="s">
        <v>36</v>
      </c>
      <c r="I142" t="s">
        <v>36</v>
      </c>
      <c r="J142" t="s">
        <v>36</v>
      </c>
      <c r="K142" t="s">
        <v>36</v>
      </c>
      <c r="L142" t="s">
        <v>36</v>
      </c>
      <c r="M142" t="s">
        <v>36</v>
      </c>
      <c r="N142" t="s">
        <v>36</v>
      </c>
      <c r="O142" t="s">
        <v>36</v>
      </c>
      <c r="P142" t="s">
        <v>36</v>
      </c>
      <c r="Q142" t="s">
        <v>36</v>
      </c>
      <c r="R142" t="s">
        <v>36</v>
      </c>
      <c r="S142" t="s">
        <v>36</v>
      </c>
      <c r="T142" t="s">
        <v>36</v>
      </c>
      <c r="U142" t="s">
        <v>36</v>
      </c>
      <c r="V142" t="s">
        <v>36</v>
      </c>
      <c r="W142" t="s">
        <v>36</v>
      </c>
      <c r="X142" t="s">
        <v>36</v>
      </c>
      <c r="Y142" t="s">
        <v>36</v>
      </c>
      <c r="Z142" t="s">
        <v>36</v>
      </c>
      <c r="AA142" t="s">
        <v>36</v>
      </c>
      <c r="AB142" t="s">
        <v>36</v>
      </c>
      <c r="AC142" t="s">
        <v>36</v>
      </c>
      <c r="AD142" t="s">
        <v>36</v>
      </c>
      <c r="AE142" t="s">
        <v>36</v>
      </c>
      <c r="AF142" t="s">
        <v>36</v>
      </c>
      <c r="AG142" t="s">
        <v>36</v>
      </c>
      <c r="AH142" t="s">
        <v>36</v>
      </c>
      <c r="AI142" t="s">
        <v>36</v>
      </c>
      <c r="AJ142" t="s">
        <v>36</v>
      </c>
    </row>
    <row r="143" spans="1:36" x14ac:dyDescent="0.35">
      <c r="A143">
        <v>326</v>
      </c>
      <c r="B143" t="s">
        <v>194</v>
      </c>
      <c r="C143" t="s">
        <v>36</v>
      </c>
      <c r="D143" t="s">
        <v>36</v>
      </c>
      <c r="E143" t="s">
        <v>36</v>
      </c>
      <c r="F143" t="s">
        <v>36</v>
      </c>
      <c r="G143" s="1">
        <v>41426</v>
      </c>
      <c r="H143" t="s">
        <v>36</v>
      </c>
      <c r="I143" t="s">
        <v>36</v>
      </c>
      <c r="J143" t="s">
        <v>36</v>
      </c>
      <c r="K143" t="s">
        <v>36</v>
      </c>
      <c r="L143" t="s">
        <v>36</v>
      </c>
      <c r="M143" t="s">
        <v>36</v>
      </c>
      <c r="N143" t="s">
        <v>36</v>
      </c>
      <c r="O143" t="s">
        <v>36</v>
      </c>
      <c r="P143" s="1">
        <v>41426</v>
      </c>
      <c r="Q143" t="s">
        <v>36</v>
      </c>
      <c r="R143" t="s">
        <v>36</v>
      </c>
      <c r="S143" t="s">
        <v>36</v>
      </c>
      <c r="T143" s="1">
        <v>39873</v>
      </c>
      <c r="U143" t="s">
        <v>36</v>
      </c>
      <c r="V143" t="s">
        <v>36</v>
      </c>
      <c r="W143" t="s">
        <v>36</v>
      </c>
      <c r="X143" t="s">
        <v>36</v>
      </c>
      <c r="Y143" t="s">
        <v>36</v>
      </c>
      <c r="Z143" t="s">
        <v>36</v>
      </c>
      <c r="AA143" t="s">
        <v>36</v>
      </c>
      <c r="AB143" t="s">
        <v>36</v>
      </c>
      <c r="AC143" t="s">
        <v>36</v>
      </c>
      <c r="AD143" t="s">
        <v>36</v>
      </c>
      <c r="AE143" t="s">
        <v>36</v>
      </c>
      <c r="AF143" s="1">
        <v>41513.4375</v>
      </c>
      <c r="AG143" s="1">
        <v>43040</v>
      </c>
      <c r="AH143" t="s">
        <v>36</v>
      </c>
      <c r="AI143" s="1">
        <v>41365</v>
      </c>
      <c r="AJ143" s="1">
        <v>41426</v>
      </c>
    </row>
    <row r="144" spans="1:36" x14ac:dyDescent="0.35">
      <c r="A144">
        <v>295</v>
      </c>
      <c r="B144" t="s">
        <v>175</v>
      </c>
      <c r="C144" t="s">
        <v>36</v>
      </c>
      <c r="D144" t="s">
        <v>36</v>
      </c>
      <c r="E144" t="s">
        <v>36</v>
      </c>
      <c r="F144" t="s">
        <v>36</v>
      </c>
      <c r="G144" t="s">
        <v>36</v>
      </c>
      <c r="H144" t="s">
        <v>36</v>
      </c>
      <c r="I144" t="s">
        <v>36</v>
      </c>
      <c r="J144" t="s">
        <v>36</v>
      </c>
      <c r="K144" t="s">
        <v>36</v>
      </c>
      <c r="L144" t="s">
        <v>36</v>
      </c>
      <c r="M144" t="s">
        <v>36</v>
      </c>
      <c r="N144" t="s">
        <v>36</v>
      </c>
      <c r="O144" t="s">
        <v>36</v>
      </c>
      <c r="P144" t="s">
        <v>36</v>
      </c>
      <c r="Q144" t="s">
        <v>36</v>
      </c>
      <c r="R144" t="s">
        <v>36</v>
      </c>
      <c r="S144" t="s">
        <v>36</v>
      </c>
      <c r="T144" t="s">
        <v>36</v>
      </c>
      <c r="U144" t="s">
        <v>36</v>
      </c>
      <c r="V144" t="s">
        <v>36</v>
      </c>
      <c r="W144" t="s">
        <v>36</v>
      </c>
      <c r="X144" t="s">
        <v>36</v>
      </c>
      <c r="Y144" t="s">
        <v>36</v>
      </c>
      <c r="Z144" t="s">
        <v>36</v>
      </c>
      <c r="AA144" t="s">
        <v>36</v>
      </c>
      <c r="AB144" t="s">
        <v>36</v>
      </c>
      <c r="AC144" t="s">
        <v>36</v>
      </c>
      <c r="AD144" t="s">
        <v>36</v>
      </c>
      <c r="AE144" t="s">
        <v>36</v>
      </c>
      <c r="AF144" t="s">
        <v>36</v>
      </c>
      <c r="AG144" t="s">
        <v>36</v>
      </c>
      <c r="AH144" t="s">
        <v>36</v>
      </c>
      <c r="AI144" t="s">
        <v>36</v>
      </c>
      <c r="AJ144" t="s">
        <v>36</v>
      </c>
    </row>
    <row r="145" spans="1:36" x14ac:dyDescent="0.35">
      <c r="A145">
        <v>296</v>
      </c>
      <c r="B145" t="s">
        <v>176</v>
      </c>
      <c r="C145" t="s">
        <v>36</v>
      </c>
      <c r="D145" t="s">
        <v>36</v>
      </c>
      <c r="E145" t="s">
        <v>36</v>
      </c>
      <c r="F145" t="s">
        <v>36</v>
      </c>
      <c r="G145" t="s">
        <v>36</v>
      </c>
      <c r="H145" t="s">
        <v>36</v>
      </c>
      <c r="I145" t="s">
        <v>36</v>
      </c>
      <c r="J145" t="s">
        <v>36</v>
      </c>
      <c r="K145" t="s">
        <v>36</v>
      </c>
      <c r="L145" t="s">
        <v>36</v>
      </c>
      <c r="M145" t="s">
        <v>36</v>
      </c>
      <c r="N145" t="s">
        <v>36</v>
      </c>
      <c r="O145" t="s">
        <v>36</v>
      </c>
      <c r="P145" t="s">
        <v>36</v>
      </c>
      <c r="Q145" t="s">
        <v>36</v>
      </c>
      <c r="R145" t="s">
        <v>36</v>
      </c>
      <c r="S145" t="s">
        <v>36</v>
      </c>
      <c r="T145" t="s">
        <v>36</v>
      </c>
      <c r="U145" t="s">
        <v>36</v>
      </c>
      <c r="V145" t="s">
        <v>36</v>
      </c>
      <c r="W145" t="s">
        <v>36</v>
      </c>
      <c r="X145" t="s">
        <v>36</v>
      </c>
      <c r="Y145" t="s">
        <v>36</v>
      </c>
      <c r="Z145" t="s">
        <v>36</v>
      </c>
      <c r="AA145" t="s">
        <v>36</v>
      </c>
      <c r="AB145" t="s">
        <v>36</v>
      </c>
      <c r="AC145" t="s">
        <v>36</v>
      </c>
      <c r="AD145" t="s">
        <v>36</v>
      </c>
      <c r="AE145" t="s">
        <v>36</v>
      </c>
      <c r="AF145" t="s">
        <v>36</v>
      </c>
      <c r="AG145" t="s">
        <v>36</v>
      </c>
      <c r="AH145" t="s">
        <v>36</v>
      </c>
      <c r="AI145" t="s">
        <v>36</v>
      </c>
      <c r="AJ145" t="s">
        <v>36</v>
      </c>
    </row>
    <row r="146" spans="1:36" x14ac:dyDescent="0.35">
      <c r="A146">
        <v>154</v>
      </c>
      <c r="B146" t="s">
        <v>126</v>
      </c>
      <c r="C146" t="s">
        <v>36</v>
      </c>
      <c r="D146" s="1">
        <v>42058.680555555555</v>
      </c>
      <c r="E146" t="s">
        <v>36</v>
      </c>
      <c r="F146" t="s">
        <v>36</v>
      </c>
      <c r="G146" s="1">
        <v>41426</v>
      </c>
      <c r="H146" t="s">
        <v>36</v>
      </c>
      <c r="I146" t="s">
        <v>36</v>
      </c>
      <c r="J146" t="s">
        <v>36</v>
      </c>
      <c r="K146" t="s">
        <v>36</v>
      </c>
      <c r="L146" t="s">
        <v>36</v>
      </c>
      <c r="M146" t="s">
        <v>36</v>
      </c>
      <c r="N146" s="1">
        <v>42795</v>
      </c>
      <c r="O146" s="1">
        <v>42376.743055555555</v>
      </c>
      <c r="P146" s="1">
        <v>41426</v>
      </c>
      <c r="Q146" t="s">
        <v>36</v>
      </c>
      <c r="R146" t="s">
        <v>36</v>
      </c>
      <c r="S146" t="s">
        <v>36</v>
      </c>
      <c r="T146" s="1">
        <v>39873</v>
      </c>
      <c r="U146" t="s">
        <v>36</v>
      </c>
      <c r="V146" t="s">
        <v>36</v>
      </c>
      <c r="W146" t="s">
        <v>36</v>
      </c>
      <c r="X146" s="1">
        <v>42193.618055555555</v>
      </c>
      <c r="Y146" t="s">
        <v>36</v>
      </c>
      <c r="Z146" t="s">
        <v>36</v>
      </c>
      <c r="AA146" t="s">
        <v>36</v>
      </c>
      <c r="AB146" t="s">
        <v>36</v>
      </c>
      <c r="AC146" t="s">
        <v>36</v>
      </c>
      <c r="AD146" t="s">
        <v>36</v>
      </c>
      <c r="AE146" t="s">
        <v>36</v>
      </c>
      <c r="AF146" s="1">
        <v>41513.4375</v>
      </c>
      <c r="AG146" s="1">
        <v>43040</v>
      </c>
      <c r="AH146" t="s">
        <v>36</v>
      </c>
      <c r="AI146" s="1">
        <v>41365</v>
      </c>
      <c r="AJ146" s="1">
        <v>41426</v>
      </c>
    </row>
    <row r="147" spans="1:36" x14ac:dyDescent="0.35">
      <c r="A147">
        <v>398</v>
      </c>
      <c r="B147" t="s">
        <v>225</v>
      </c>
      <c r="C147" t="s">
        <v>36</v>
      </c>
      <c r="D147" t="s">
        <v>36</v>
      </c>
      <c r="E147" t="s">
        <v>36</v>
      </c>
      <c r="F147" t="s">
        <v>36</v>
      </c>
      <c r="G147" s="1">
        <v>41426</v>
      </c>
      <c r="H147" t="s">
        <v>36</v>
      </c>
      <c r="I147" t="s">
        <v>36</v>
      </c>
      <c r="J147" t="s">
        <v>36</v>
      </c>
      <c r="K147" t="s">
        <v>36</v>
      </c>
      <c r="L147" t="s">
        <v>36</v>
      </c>
      <c r="M147" t="s">
        <v>36</v>
      </c>
      <c r="N147" t="s">
        <v>36</v>
      </c>
      <c r="O147" t="s">
        <v>36</v>
      </c>
      <c r="P147" s="1">
        <v>41426</v>
      </c>
      <c r="Q147" t="s">
        <v>36</v>
      </c>
      <c r="R147" t="s">
        <v>36</v>
      </c>
      <c r="S147" t="s">
        <v>36</v>
      </c>
      <c r="T147" s="1">
        <v>39873</v>
      </c>
      <c r="U147" t="s">
        <v>36</v>
      </c>
      <c r="V147" t="s">
        <v>36</v>
      </c>
      <c r="W147" t="s">
        <v>36</v>
      </c>
      <c r="X147" t="s">
        <v>36</v>
      </c>
      <c r="Y147" t="s">
        <v>36</v>
      </c>
      <c r="Z147" t="s">
        <v>36</v>
      </c>
      <c r="AA147" t="s">
        <v>36</v>
      </c>
      <c r="AB147" t="s">
        <v>36</v>
      </c>
      <c r="AC147" t="s">
        <v>36</v>
      </c>
      <c r="AD147" t="s">
        <v>36</v>
      </c>
      <c r="AE147" t="s">
        <v>36</v>
      </c>
      <c r="AF147" s="1">
        <v>41513.4375</v>
      </c>
      <c r="AG147" s="1">
        <v>43040</v>
      </c>
      <c r="AH147" t="s">
        <v>36</v>
      </c>
      <c r="AI147" s="1">
        <v>41365</v>
      </c>
      <c r="AJ147" s="1">
        <v>41426</v>
      </c>
    </row>
    <row r="148" spans="1:36" x14ac:dyDescent="0.35">
      <c r="A148">
        <v>55</v>
      </c>
      <c r="B148" t="s">
        <v>89</v>
      </c>
      <c r="C148" t="s">
        <v>36</v>
      </c>
      <c r="D148" t="s">
        <v>36</v>
      </c>
      <c r="E148" t="s">
        <v>36</v>
      </c>
      <c r="F148" t="s">
        <v>36</v>
      </c>
      <c r="G148" t="s">
        <v>36</v>
      </c>
      <c r="H148" t="s">
        <v>36</v>
      </c>
      <c r="I148" t="s">
        <v>36</v>
      </c>
      <c r="J148" t="s">
        <v>36</v>
      </c>
      <c r="K148" t="s">
        <v>36</v>
      </c>
      <c r="L148" t="s">
        <v>36</v>
      </c>
      <c r="M148" t="s">
        <v>36</v>
      </c>
      <c r="N148" t="s">
        <v>36</v>
      </c>
      <c r="O148" t="s">
        <v>36</v>
      </c>
      <c r="P148" t="s">
        <v>36</v>
      </c>
      <c r="Q148" s="1">
        <v>42470.777777777781</v>
      </c>
      <c r="R148" t="s">
        <v>36</v>
      </c>
      <c r="S148" t="s">
        <v>36</v>
      </c>
      <c r="T148" t="s">
        <v>36</v>
      </c>
      <c r="U148" t="s">
        <v>36</v>
      </c>
      <c r="V148" t="s">
        <v>36</v>
      </c>
      <c r="W148" t="s">
        <v>36</v>
      </c>
      <c r="X148" t="s">
        <v>36</v>
      </c>
      <c r="Y148" t="s">
        <v>36</v>
      </c>
      <c r="Z148" t="s">
        <v>36</v>
      </c>
      <c r="AA148" t="s">
        <v>36</v>
      </c>
      <c r="AB148" t="s">
        <v>36</v>
      </c>
      <c r="AC148" t="s">
        <v>36</v>
      </c>
      <c r="AD148" t="s">
        <v>36</v>
      </c>
      <c r="AE148" t="s">
        <v>36</v>
      </c>
      <c r="AF148" t="s">
        <v>36</v>
      </c>
      <c r="AG148" t="s">
        <v>36</v>
      </c>
      <c r="AH148" t="s">
        <v>36</v>
      </c>
      <c r="AI148" t="s">
        <v>36</v>
      </c>
      <c r="AJ148" t="s">
        <v>36</v>
      </c>
    </row>
    <row r="149" spans="1:36" x14ac:dyDescent="0.35">
      <c r="A149">
        <v>58</v>
      </c>
      <c r="B149" t="s">
        <v>92</v>
      </c>
      <c r="C149" t="s">
        <v>36</v>
      </c>
      <c r="D149" t="s">
        <v>36</v>
      </c>
      <c r="E149" t="s">
        <v>36</v>
      </c>
      <c r="F149" t="s">
        <v>36</v>
      </c>
      <c r="G149" t="s">
        <v>36</v>
      </c>
      <c r="H149" t="s">
        <v>36</v>
      </c>
      <c r="I149" t="s">
        <v>36</v>
      </c>
      <c r="J149" t="s">
        <v>36</v>
      </c>
      <c r="K149" t="s">
        <v>36</v>
      </c>
      <c r="L149" t="s">
        <v>36</v>
      </c>
      <c r="M149" t="s">
        <v>36</v>
      </c>
      <c r="N149" t="s">
        <v>36</v>
      </c>
      <c r="O149" t="s">
        <v>36</v>
      </c>
      <c r="P149" t="s">
        <v>36</v>
      </c>
      <c r="Q149" s="1">
        <v>42470.777777777781</v>
      </c>
      <c r="R149" t="s">
        <v>36</v>
      </c>
      <c r="S149" t="s">
        <v>36</v>
      </c>
      <c r="T149" t="s">
        <v>36</v>
      </c>
      <c r="U149" t="s">
        <v>36</v>
      </c>
      <c r="V149" t="s">
        <v>36</v>
      </c>
      <c r="W149" t="s">
        <v>36</v>
      </c>
      <c r="X149" t="s">
        <v>36</v>
      </c>
      <c r="Y149" t="s">
        <v>36</v>
      </c>
      <c r="Z149" t="s">
        <v>36</v>
      </c>
      <c r="AA149" t="s">
        <v>36</v>
      </c>
      <c r="AB149" t="s">
        <v>36</v>
      </c>
      <c r="AC149" t="s">
        <v>36</v>
      </c>
      <c r="AD149" t="s">
        <v>36</v>
      </c>
      <c r="AE149" t="s">
        <v>36</v>
      </c>
      <c r="AF149" t="s">
        <v>36</v>
      </c>
      <c r="AG149" t="s">
        <v>36</v>
      </c>
      <c r="AH149" t="s">
        <v>36</v>
      </c>
      <c r="AI149" t="s">
        <v>36</v>
      </c>
      <c r="AJ149" t="s">
        <v>36</v>
      </c>
    </row>
    <row r="150" spans="1:36" x14ac:dyDescent="0.35">
      <c r="A150">
        <v>57</v>
      </c>
      <c r="B150" t="s">
        <v>91</v>
      </c>
      <c r="C150" t="s">
        <v>36</v>
      </c>
      <c r="D150" t="s">
        <v>36</v>
      </c>
      <c r="E150" t="s">
        <v>36</v>
      </c>
      <c r="F150" t="s">
        <v>36</v>
      </c>
      <c r="G150" t="s">
        <v>36</v>
      </c>
      <c r="H150" t="s">
        <v>36</v>
      </c>
      <c r="I150" t="s">
        <v>36</v>
      </c>
      <c r="J150" t="s">
        <v>36</v>
      </c>
      <c r="K150" t="s">
        <v>36</v>
      </c>
      <c r="L150" t="s">
        <v>36</v>
      </c>
      <c r="M150" t="s">
        <v>36</v>
      </c>
      <c r="N150" t="s">
        <v>36</v>
      </c>
      <c r="O150" t="s">
        <v>36</v>
      </c>
      <c r="P150" t="s">
        <v>36</v>
      </c>
      <c r="Q150" s="1">
        <v>42470.777777777781</v>
      </c>
      <c r="R150" t="s">
        <v>36</v>
      </c>
      <c r="S150" t="s">
        <v>36</v>
      </c>
      <c r="T150" t="s">
        <v>36</v>
      </c>
      <c r="U150" t="s">
        <v>36</v>
      </c>
      <c r="V150" t="s">
        <v>36</v>
      </c>
      <c r="W150" t="s">
        <v>36</v>
      </c>
      <c r="X150" t="s">
        <v>36</v>
      </c>
      <c r="Y150" t="s">
        <v>36</v>
      </c>
      <c r="Z150" t="s">
        <v>36</v>
      </c>
      <c r="AA150" t="s">
        <v>36</v>
      </c>
      <c r="AB150" t="s">
        <v>36</v>
      </c>
      <c r="AC150" t="s">
        <v>36</v>
      </c>
      <c r="AD150" t="s">
        <v>36</v>
      </c>
      <c r="AE150" t="s">
        <v>36</v>
      </c>
      <c r="AF150" t="s">
        <v>36</v>
      </c>
      <c r="AG150" t="s">
        <v>36</v>
      </c>
      <c r="AH150" t="s">
        <v>36</v>
      </c>
      <c r="AI150" t="s">
        <v>36</v>
      </c>
      <c r="AJ150" t="s">
        <v>36</v>
      </c>
    </row>
    <row r="151" spans="1:36" x14ac:dyDescent="0.35">
      <c r="A151">
        <v>56</v>
      </c>
      <c r="B151" t="s">
        <v>90</v>
      </c>
      <c r="C151" t="s">
        <v>36</v>
      </c>
      <c r="D151" t="s">
        <v>36</v>
      </c>
      <c r="E151" t="s">
        <v>36</v>
      </c>
      <c r="F151" t="s">
        <v>36</v>
      </c>
      <c r="G151" t="s">
        <v>36</v>
      </c>
      <c r="H151" t="s">
        <v>36</v>
      </c>
      <c r="I151" t="s">
        <v>36</v>
      </c>
      <c r="J151" t="s">
        <v>36</v>
      </c>
      <c r="K151" t="s">
        <v>36</v>
      </c>
      <c r="L151" t="s">
        <v>36</v>
      </c>
      <c r="M151" t="s">
        <v>36</v>
      </c>
      <c r="N151" t="s">
        <v>36</v>
      </c>
      <c r="O151" t="s">
        <v>36</v>
      </c>
      <c r="P151" t="s">
        <v>36</v>
      </c>
      <c r="Q151" s="1">
        <v>42470.777777777781</v>
      </c>
      <c r="R151" t="s">
        <v>36</v>
      </c>
      <c r="S151" t="s">
        <v>36</v>
      </c>
      <c r="T151" t="s">
        <v>36</v>
      </c>
      <c r="U151" t="s">
        <v>36</v>
      </c>
      <c r="V151" t="s">
        <v>36</v>
      </c>
      <c r="W151" t="s">
        <v>36</v>
      </c>
      <c r="X151" t="s">
        <v>36</v>
      </c>
      <c r="Y151" t="s">
        <v>36</v>
      </c>
      <c r="Z151" t="s">
        <v>36</v>
      </c>
      <c r="AA151" t="s">
        <v>36</v>
      </c>
      <c r="AB151" t="s">
        <v>36</v>
      </c>
      <c r="AC151" t="s">
        <v>36</v>
      </c>
      <c r="AD151" t="s">
        <v>36</v>
      </c>
      <c r="AE151" t="s">
        <v>36</v>
      </c>
      <c r="AF151" t="s">
        <v>36</v>
      </c>
      <c r="AG151" t="s">
        <v>36</v>
      </c>
      <c r="AH151" t="s">
        <v>36</v>
      </c>
      <c r="AI151" t="s">
        <v>36</v>
      </c>
      <c r="AJ151" t="s">
        <v>36</v>
      </c>
    </row>
    <row r="152" spans="1:36" x14ac:dyDescent="0.35">
      <c r="A152">
        <v>309</v>
      </c>
      <c r="B152" t="s">
        <v>186</v>
      </c>
      <c r="C152" t="s">
        <v>36</v>
      </c>
      <c r="D152" s="1">
        <v>42058.680555555555</v>
      </c>
      <c r="E152" t="s">
        <v>36</v>
      </c>
      <c r="F152" t="s">
        <v>36</v>
      </c>
      <c r="G152" t="s">
        <v>36</v>
      </c>
      <c r="H152" t="s">
        <v>36</v>
      </c>
      <c r="I152" t="s">
        <v>36</v>
      </c>
      <c r="J152" t="s">
        <v>36</v>
      </c>
      <c r="K152" t="s">
        <v>36</v>
      </c>
      <c r="L152" t="s">
        <v>36</v>
      </c>
      <c r="M152" t="s">
        <v>36</v>
      </c>
      <c r="N152" s="1">
        <v>42795</v>
      </c>
      <c r="O152" s="1">
        <v>42662.868055555555</v>
      </c>
      <c r="P152" t="s">
        <v>36</v>
      </c>
      <c r="Q152" t="s">
        <v>36</v>
      </c>
      <c r="R152" t="s">
        <v>36</v>
      </c>
      <c r="S152" t="s">
        <v>36</v>
      </c>
      <c r="T152" t="s">
        <v>36</v>
      </c>
      <c r="U152" t="s">
        <v>36</v>
      </c>
      <c r="V152" t="s">
        <v>36</v>
      </c>
      <c r="W152" t="s">
        <v>36</v>
      </c>
      <c r="X152" s="1">
        <v>42193.618055555555</v>
      </c>
      <c r="Y152" t="s">
        <v>36</v>
      </c>
      <c r="Z152" t="s">
        <v>36</v>
      </c>
      <c r="AA152" t="s">
        <v>36</v>
      </c>
      <c r="AB152" t="s">
        <v>36</v>
      </c>
      <c r="AC152" t="s">
        <v>36</v>
      </c>
      <c r="AD152" t="s">
        <v>36</v>
      </c>
      <c r="AE152" t="s">
        <v>36</v>
      </c>
      <c r="AF152" t="s">
        <v>36</v>
      </c>
      <c r="AG152" t="s">
        <v>36</v>
      </c>
      <c r="AH152" t="s">
        <v>36</v>
      </c>
      <c r="AI152" t="s">
        <v>36</v>
      </c>
      <c r="AJ152" t="s">
        <v>36</v>
      </c>
    </row>
    <row r="153" spans="1:36" x14ac:dyDescent="0.35">
      <c r="A153">
        <v>517</v>
      </c>
      <c r="B153" t="s">
        <v>293</v>
      </c>
      <c r="C153" t="s">
        <v>36</v>
      </c>
      <c r="D153" t="s">
        <v>36</v>
      </c>
      <c r="E153" t="s">
        <v>36</v>
      </c>
      <c r="F153" t="s">
        <v>36</v>
      </c>
      <c r="G153" t="s">
        <v>36</v>
      </c>
      <c r="H153" t="s">
        <v>36</v>
      </c>
      <c r="I153" t="s">
        <v>36</v>
      </c>
      <c r="J153" t="s">
        <v>36</v>
      </c>
      <c r="K153" t="s">
        <v>36</v>
      </c>
      <c r="L153" t="s">
        <v>36</v>
      </c>
      <c r="M153" t="s">
        <v>36</v>
      </c>
      <c r="N153" t="s">
        <v>36</v>
      </c>
      <c r="O153" t="s">
        <v>36</v>
      </c>
      <c r="P153" t="s">
        <v>36</v>
      </c>
      <c r="Q153" t="s">
        <v>36</v>
      </c>
      <c r="R153" t="s">
        <v>36</v>
      </c>
      <c r="S153" t="s">
        <v>36</v>
      </c>
      <c r="T153" t="s">
        <v>36</v>
      </c>
      <c r="U153" t="s">
        <v>36</v>
      </c>
      <c r="V153" t="s">
        <v>36</v>
      </c>
      <c r="W153" t="s">
        <v>36</v>
      </c>
      <c r="X153" t="s">
        <v>36</v>
      </c>
      <c r="Y153" t="s">
        <v>36</v>
      </c>
      <c r="Z153" t="s">
        <v>36</v>
      </c>
      <c r="AA153" t="s">
        <v>36</v>
      </c>
      <c r="AB153" t="s">
        <v>36</v>
      </c>
      <c r="AC153" t="s">
        <v>36</v>
      </c>
      <c r="AD153" t="s">
        <v>36</v>
      </c>
      <c r="AE153" t="s">
        <v>36</v>
      </c>
      <c r="AF153" t="s">
        <v>36</v>
      </c>
      <c r="AG153" t="s">
        <v>36</v>
      </c>
      <c r="AH153" t="s">
        <v>36</v>
      </c>
      <c r="AI153" t="s">
        <v>36</v>
      </c>
      <c r="AJ153" t="s">
        <v>36</v>
      </c>
    </row>
    <row r="154" spans="1:36" x14ac:dyDescent="0.35">
      <c r="A154">
        <v>1436</v>
      </c>
      <c r="B154" t="s">
        <v>307</v>
      </c>
      <c r="C154" t="s">
        <v>36</v>
      </c>
      <c r="D154" t="s">
        <v>36</v>
      </c>
      <c r="E154" t="s">
        <v>36</v>
      </c>
      <c r="F154" t="s">
        <v>36</v>
      </c>
      <c r="G154" t="s">
        <v>36</v>
      </c>
      <c r="H154" t="s">
        <v>36</v>
      </c>
      <c r="I154" t="s">
        <v>36</v>
      </c>
      <c r="J154" t="s">
        <v>36</v>
      </c>
      <c r="K154" t="s">
        <v>36</v>
      </c>
      <c r="L154" t="s">
        <v>36</v>
      </c>
      <c r="M154" t="s">
        <v>36</v>
      </c>
      <c r="N154" t="s">
        <v>36</v>
      </c>
      <c r="O154" t="s">
        <v>36</v>
      </c>
      <c r="P154" t="s">
        <v>36</v>
      </c>
      <c r="Q154" t="s">
        <v>36</v>
      </c>
      <c r="R154" t="s">
        <v>36</v>
      </c>
      <c r="S154" t="s">
        <v>36</v>
      </c>
      <c r="T154" t="s">
        <v>36</v>
      </c>
      <c r="U154" t="s">
        <v>36</v>
      </c>
      <c r="V154" t="s">
        <v>36</v>
      </c>
      <c r="W154" t="s">
        <v>36</v>
      </c>
      <c r="X154" t="s">
        <v>36</v>
      </c>
      <c r="Y154" t="s">
        <v>36</v>
      </c>
      <c r="Z154" t="s">
        <v>36</v>
      </c>
      <c r="AA154" t="s">
        <v>36</v>
      </c>
      <c r="AB154" t="s">
        <v>36</v>
      </c>
      <c r="AC154" t="s">
        <v>36</v>
      </c>
      <c r="AD154" t="s">
        <v>36</v>
      </c>
      <c r="AE154" t="s">
        <v>36</v>
      </c>
      <c r="AF154" t="s">
        <v>36</v>
      </c>
      <c r="AG154" t="s">
        <v>36</v>
      </c>
      <c r="AH154" t="s">
        <v>36</v>
      </c>
      <c r="AI154" t="s">
        <v>36</v>
      </c>
      <c r="AJ154" t="s">
        <v>36</v>
      </c>
    </row>
    <row r="155" spans="1:36" x14ac:dyDescent="0.35">
      <c r="A155">
        <v>1437</v>
      </c>
      <c r="B155" t="s">
        <v>308</v>
      </c>
      <c r="C155" t="s">
        <v>36</v>
      </c>
      <c r="D155" t="s">
        <v>36</v>
      </c>
      <c r="E155" t="s">
        <v>36</v>
      </c>
      <c r="F155" t="s">
        <v>36</v>
      </c>
      <c r="G155" t="s">
        <v>36</v>
      </c>
      <c r="H155" t="s">
        <v>36</v>
      </c>
      <c r="I155" t="s">
        <v>36</v>
      </c>
      <c r="J155" t="s">
        <v>36</v>
      </c>
      <c r="K155" t="s">
        <v>36</v>
      </c>
      <c r="L155" t="s">
        <v>36</v>
      </c>
      <c r="M155" t="s">
        <v>36</v>
      </c>
      <c r="N155" t="s">
        <v>36</v>
      </c>
      <c r="O155" t="s">
        <v>36</v>
      </c>
      <c r="P155" t="s">
        <v>36</v>
      </c>
      <c r="Q155" t="s">
        <v>36</v>
      </c>
      <c r="R155" t="s">
        <v>36</v>
      </c>
      <c r="S155" t="s">
        <v>36</v>
      </c>
      <c r="T155" t="s">
        <v>36</v>
      </c>
      <c r="U155" t="s">
        <v>36</v>
      </c>
      <c r="V155" t="s">
        <v>36</v>
      </c>
      <c r="W155" t="s">
        <v>36</v>
      </c>
      <c r="X155" t="s">
        <v>36</v>
      </c>
      <c r="Y155" t="s">
        <v>36</v>
      </c>
      <c r="Z155" t="s">
        <v>36</v>
      </c>
      <c r="AA155" t="s">
        <v>36</v>
      </c>
      <c r="AB155" t="s">
        <v>36</v>
      </c>
      <c r="AC155" t="s">
        <v>36</v>
      </c>
      <c r="AD155" t="s">
        <v>36</v>
      </c>
      <c r="AE155" t="s">
        <v>36</v>
      </c>
      <c r="AF155" t="s">
        <v>36</v>
      </c>
      <c r="AG155" t="s">
        <v>36</v>
      </c>
      <c r="AH155" t="s">
        <v>36</v>
      </c>
      <c r="AI155" t="s">
        <v>36</v>
      </c>
      <c r="AJ155" t="s">
        <v>36</v>
      </c>
    </row>
    <row r="156" spans="1:36" x14ac:dyDescent="0.35">
      <c r="A156">
        <v>1438</v>
      </c>
      <c r="B156" t="s">
        <v>309</v>
      </c>
      <c r="C156" t="s">
        <v>36</v>
      </c>
      <c r="D156" t="s">
        <v>36</v>
      </c>
      <c r="E156" t="s">
        <v>36</v>
      </c>
      <c r="F156" t="s">
        <v>36</v>
      </c>
      <c r="G156" t="s">
        <v>36</v>
      </c>
      <c r="H156" t="s">
        <v>36</v>
      </c>
      <c r="I156" t="s">
        <v>36</v>
      </c>
      <c r="J156" t="s">
        <v>36</v>
      </c>
      <c r="K156" t="s">
        <v>36</v>
      </c>
      <c r="L156" t="s">
        <v>36</v>
      </c>
      <c r="M156" t="s">
        <v>36</v>
      </c>
      <c r="N156" t="s">
        <v>36</v>
      </c>
      <c r="O156" t="s">
        <v>36</v>
      </c>
      <c r="P156" t="s">
        <v>36</v>
      </c>
      <c r="Q156" t="s">
        <v>36</v>
      </c>
      <c r="R156" t="s">
        <v>36</v>
      </c>
      <c r="S156" t="s">
        <v>36</v>
      </c>
      <c r="T156" t="s">
        <v>36</v>
      </c>
      <c r="U156" t="s">
        <v>36</v>
      </c>
      <c r="V156" t="s">
        <v>36</v>
      </c>
      <c r="W156" t="s">
        <v>36</v>
      </c>
      <c r="X156" t="s">
        <v>36</v>
      </c>
      <c r="Y156" t="s">
        <v>36</v>
      </c>
      <c r="Z156" t="s">
        <v>36</v>
      </c>
      <c r="AA156" t="s">
        <v>36</v>
      </c>
      <c r="AB156" t="s">
        <v>36</v>
      </c>
      <c r="AC156" t="s">
        <v>36</v>
      </c>
      <c r="AD156" t="s">
        <v>36</v>
      </c>
      <c r="AE156" t="s">
        <v>36</v>
      </c>
      <c r="AF156" t="s">
        <v>36</v>
      </c>
      <c r="AG156" t="s">
        <v>36</v>
      </c>
      <c r="AH156" t="s">
        <v>36</v>
      </c>
      <c r="AI156" t="s">
        <v>36</v>
      </c>
      <c r="AJ156" t="s">
        <v>36</v>
      </c>
    </row>
    <row r="157" spans="1:36" x14ac:dyDescent="0.35">
      <c r="A157">
        <v>516</v>
      </c>
      <c r="B157" t="s">
        <v>292</v>
      </c>
      <c r="C157" t="s">
        <v>36</v>
      </c>
      <c r="D157" t="s">
        <v>36</v>
      </c>
      <c r="E157" t="s">
        <v>36</v>
      </c>
      <c r="F157" t="s">
        <v>36</v>
      </c>
      <c r="G157" t="s">
        <v>36</v>
      </c>
      <c r="H157" t="s">
        <v>36</v>
      </c>
      <c r="I157" t="s">
        <v>36</v>
      </c>
      <c r="J157" t="s">
        <v>36</v>
      </c>
      <c r="K157" t="s">
        <v>36</v>
      </c>
      <c r="L157" t="s">
        <v>36</v>
      </c>
      <c r="M157" t="s">
        <v>36</v>
      </c>
      <c r="N157" t="s">
        <v>36</v>
      </c>
      <c r="O157" t="s">
        <v>36</v>
      </c>
      <c r="P157" t="s">
        <v>36</v>
      </c>
      <c r="Q157" t="s">
        <v>36</v>
      </c>
      <c r="R157" t="s">
        <v>36</v>
      </c>
      <c r="S157" t="s">
        <v>36</v>
      </c>
      <c r="T157" t="s">
        <v>36</v>
      </c>
      <c r="U157" t="s">
        <v>36</v>
      </c>
      <c r="V157" t="s">
        <v>36</v>
      </c>
      <c r="W157" t="s">
        <v>36</v>
      </c>
      <c r="X157" t="s">
        <v>36</v>
      </c>
      <c r="Y157" t="s">
        <v>36</v>
      </c>
      <c r="Z157" t="s">
        <v>36</v>
      </c>
      <c r="AA157" t="s">
        <v>36</v>
      </c>
      <c r="AB157" t="s">
        <v>36</v>
      </c>
      <c r="AC157" t="s">
        <v>36</v>
      </c>
      <c r="AD157" t="s">
        <v>36</v>
      </c>
      <c r="AE157" t="s">
        <v>36</v>
      </c>
      <c r="AF157" t="s">
        <v>36</v>
      </c>
      <c r="AG157" t="s">
        <v>36</v>
      </c>
      <c r="AH157" t="s">
        <v>36</v>
      </c>
      <c r="AI157" t="s">
        <v>36</v>
      </c>
      <c r="AJ157" t="s">
        <v>36</v>
      </c>
    </row>
    <row r="158" spans="1:36" x14ac:dyDescent="0.35">
      <c r="A158">
        <v>1433</v>
      </c>
      <c r="B158" t="s">
        <v>304</v>
      </c>
      <c r="C158" t="s">
        <v>36</v>
      </c>
      <c r="D158" t="s">
        <v>36</v>
      </c>
      <c r="E158" t="s">
        <v>36</v>
      </c>
      <c r="F158" t="s">
        <v>36</v>
      </c>
      <c r="G158" t="s">
        <v>36</v>
      </c>
      <c r="H158" t="s">
        <v>36</v>
      </c>
      <c r="I158" t="s">
        <v>36</v>
      </c>
      <c r="J158" t="s">
        <v>36</v>
      </c>
      <c r="K158" t="s">
        <v>36</v>
      </c>
      <c r="L158" t="s">
        <v>36</v>
      </c>
      <c r="M158" t="s">
        <v>36</v>
      </c>
      <c r="N158" t="s">
        <v>36</v>
      </c>
      <c r="O158" t="s">
        <v>36</v>
      </c>
      <c r="P158" t="s">
        <v>36</v>
      </c>
      <c r="Q158" t="s">
        <v>36</v>
      </c>
      <c r="R158" t="s">
        <v>36</v>
      </c>
      <c r="S158" t="s">
        <v>36</v>
      </c>
      <c r="T158" t="s">
        <v>36</v>
      </c>
      <c r="U158" t="s">
        <v>36</v>
      </c>
      <c r="V158" t="s">
        <v>36</v>
      </c>
      <c r="W158" t="s">
        <v>36</v>
      </c>
      <c r="X158" t="s">
        <v>36</v>
      </c>
      <c r="Y158" t="s">
        <v>36</v>
      </c>
      <c r="Z158" t="s">
        <v>36</v>
      </c>
      <c r="AA158" t="s">
        <v>36</v>
      </c>
      <c r="AB158" t="s">
        <v>36</v>
      </c>
      <c r="AC158" t="s">
        <v>36</v>
      </c>
      <c r="AD158" t="s">
        <v>36</v>
      </c>
      <c r="AE158" t="s">
        <v>36</v>
      </c>
      <c r="AF158" t="s">
        <v>36</v>
      </c>
      <c r="AG158" t="s">
        <v>36</v>
      </c>
      <c r="AH158" t="s">
        <v>36</v>
      </c>
      <c r="AI158" t="s">
        <v>36</v>
      </c>
      <c r="AJ158" t="s">
        <v>36</v>
      </c>
    </row>
    <row r="159" spans="1:36" x14ac:dyDescent="0.35">
      <c r="A159">
        <v>1434</v>
      </c>
      <c r="B159" t="s">
        <v>305</v>
      </c>
      <c r="C159" t="s">
        <v>36</v>
      </c>
      <c r="D159" t="s">
        <v>36</v>
      </c>
      <c r="E159" t="s">
        <v>36</v>
      </c>
      <c r="F159" t="s">
        <v>36</v>
      </c>
      <c r="G159" t="s">
        <v>36</v>
      </c>
      <c r="H159" t="s">
        <v>36</v>
      </c>
      <c r="I159" t="s">
        <v>36</v>
      </c>
      <c r="J159" t="s">
        <v>36</v>
      </c>
      <c r="K159" t="s">
        <v>36</v>
      </c>
      <c r="L159" t="s">
        <v>36</v>
      </c>
      <c r="M159" t="s">
        <v>36</v>
      </c>
      <c r="N159" t="s">
        <v>36</v>
      </c>
      <c r="O159" t="s">
        <v>36</v>
      </c>
      <c r="P159" t="s">
        <v>36</v>
      </c>
      <c r="Q159" t="s">
        <v>36</v>
      </c>
      <c r="R159" t="s">
        <v>36</v>
      </c>
      <c r="S159" t="s">
        <v>36</v>
      </c>
      <c r="T159" t="s">
        <v>36</v>
      </c>
      <c r="U159" t="s">
        <v>36</v>
      </c>
      <c r="V159" t="s">
        <v>36</v>
      </c>
      <c r="W159" t="s">
        <v>36</v>
      </c>
      <c r="X159" t="s">
        <v>36</v>
      </c>
      <c r="Y159" t="s">
        <v>36</v>
      </c>
      <c r="Z159" t="s">
        <v>36</v>
      </c>
      <c r="AA159" t="s">
        <v>36</v>
      </c>
      <c r="AB159" t="s">
        <v>36</v>
      </c>
      <c r="AC159" t="s">
        <v>36</v>
      </c>
      <c r="AD159" t="s">
        <v>36</v>
      </c>
      <c r="AE159" t="s">
        <v>36</v>
      </c>
      <c r="AF159" t="s">
        <v>36</v>
      </c>
      <c r="AG159" t="s">
        <v>36</v>
      </c>
      <c r="AH159" t="s">
        <v>36</v>
      </c>
      <c r="AI159" t="s">
        <v>36</v>
      </c>
      <c r="AJ159" t="s">
        <v>36</v>
      </c>
    </row>
    <row r="160" spans="1:36" x14ac:dyDescent="0.35">
      <c r="A160">
        <v>1435</v>
      </c>
      <c r="B160" t="s">
        <v>306</v>
      </c>
      <c r="C160" t="s">
        <v>36</v>
      </c>
      <c r="D160" t="s">
        <v>36</v>
      </c>
      <c r="E160" t="s">
        <v>36</v>
      </c>
      <c r="F160" t="s">
        <v>36</v>
      </c>
      <c r="G160" t="s">
        <v>36</v>
      </c>
      <c r="H160" t="s">
        <v>36</v>
      </c>
      <c r="I160" t="s">
        <v>36</v>
      </c>
      <c r="J160" t="s">
        <v>36</v>
      </c>
      <c r="K160" t="s">
        <v>36</v>
      </c>
      <c r="L160" t="s">
        <v>36</v>
      </c>
      <c r="M160" t="s">
        <v>36</v>
      </c>
      <c r="N160" t="s">
        <v>36</v>
      </c>
      <c r="O160" t="s">
        <v>36</v>
      </c>
      <c r="P160" t="s">
        <v>36</v>
      </c>
      <c r="Q160" t="s">
        <v>36</v>
      </c>
      <c r="R160" t="s">
        <v>36</v>
      </c>
      <c r="S160" t="s">
        <v>36</v>
      </c>
      <c r="T160" t="s">
        <v>36</v>
      </c>
      <c r="U160" t="s">
        <v>36</v>
      </c>
      <c r="V160" t="s">
        <v>36</v>
      </c>
      <c r="W160" t="s">
        <v>36</v>
      </c>
      <c r="X160" t="s">
        <v>36</v>
      </c>
      <c r="Y160" t="s">
        <v>36</v>
      </c>
      <c r="Z160" t="s">
        <v>36</v>
      </c>
      <c r="AA160" t="s">
        <v>36</v>
      </c>
      <c r="AB160" t="s">
        <v>36</v>
      </c>
      <c r="AC160" t="s">
        <v>36</v>
      </c>
      <c r="AD160" t="s">
        <v>36</v>
      </c>
      <c r="AE160" t="s">
        <v>36</v>
      </c>
      <c r="AF160" t="s">
        <v>36</v>
      </c>
      <c r="AG160" t="s">
        <v>36</v>
      </c>
      <c r="AH160" t="s">
        <v>36</v>
      </c>
      <c r="AI160" t="s">
        <v>36</v>
      </c>
      <c r="AJ160" t="s">
        <v>36</v>
      </c>
    </row>
    <row r="161" spans="1:36" x14ac:dyDescent="0.35">
      <c r="A161">
        <v>538</v>
      </c>
      <c r="B161" t="s">
        <v>294</v>
      </c>
      <c r="C161" t="s">
        <v>36</v>
      </c>
      <c r="D161" t="s">
        <v>36</v>
      </c>
      <c r="E161" t="s">
        <v>36</v>
      </c>
      <c r="F161" t="s">
        <v>36</v>
      </c>
      <c r="G161" t="s">
        <v>36</v>
      </c>
      <c r="H161" t="s">
        <v>36</v>
      </c>
      <c r="I161" t="s">
        <v>36</v>
      </c>
      <c r="J161" t="s">
        <v>36</v>
      </c>
      <c r="K161" t="s">
        <v>36</v>
      </c>
      <c r="L161" t="s">
        <v>36</v>
      </c>
      <c r="M161" t="s">
        <v>36</v>
      </c>
      <c r="N161" t="s">
        <v>36</v>
      </c>
      <c r="O161" t="s">
        <v>36</v>
      </c>
      <c r="P161" t="s">
        <v>36</v>
      </c>
      <c r="Q161" t="s">
        <v>36</v>
      </c>
      <c r="R161" t="s">
        <v>36</v>
      </c>
      <c r="S161" t="s">
        <v>36</v>
      </c>
      <c r="T161" t="s">
        <v>36</v>
      </c>
      <c r="U161" t="s">
        <v>36</v>
      </c>
      <c r="V161" t="s">
        <v>36</v>
      </c>
      <c r="W161" t="s">
        <v>36</v>
      </c>
      <c r="X161" t="s">
        <v>36</v>
      </c>
      <c r="Y161" t="s">
        <v>36</v>
      </c>
      <c r="Z161" t="s">
        <v>36</v>
      </c>
      <c r="AA161" t="s">
        <v>36</v>
      </c>
      <c r="AB161" t="s">
        <v>36</v>
      </c>
      <c r="AC161" t="s">
        <v>36</v>
      </c>
      <c r="AD161" t="s">
        <v>36</v>
      </c>
      <c r="AE161" t="s">
        <v>36</v>
      </c>
      <c r="AF161" t="s">
        <v>36</v>
      </c>
      <c r="AG161" t="s">
        <v>36</v>
      </c>
      <c r="AH161" t="s">
        <v>36</v>
      </c>
      <c r="AI161" t="s">
        <v>36</v>
      </c>
      <c r="AJ161" t="s">
        <v>36</v>
      </c>
    </row>
    <row r="162" spans="1:36" x14ac:dyDescent="0.35">
      <c r="A162">
        <v>1445</v>
      </c>
      <c r="B162" t="s">
        <v>313</v>
      </c>
      <c r="C162" t="s">
        <v>36</v>
      </c>
      <c r="D162" t="s">
        <v>36</v>
      </c>
      <c r="E162" t="s">
        <v>36</v>
      </c>
      <c r="F162" t="s">
        <v>36</v>
      </c>
      <c r="G162" t="s">
        <v>36</v>
      </c>
      <c r="H162" t="s">
        <v>36</v>
      </c>
      <c r="I162" t="s">
        <v>36</v>
      </c>
      <c r="J162" t="s">
        <v>36</v>
      </c>
      <c r="K162" t="s">
        <v>36</v>
      </c>
      <c r="L162" t="s">
        <v>36</v>
      </c>
      <c r="M162" t="s">
        <v>36</v>
      </c>
      <c r="N162" t="s">
        <v>36</v>
      </c>
      <c r="O162" t="s">
        <v>36</v>
      </c>
      <c r="P162" t="s">
        <v>36</v>
      </c>
      <c r="Q162" t="s">
        <v>36</v>
      </c>
      <c r="R162" t="s">
        <v>36</v>
      </c>
      <c r="S162" t="s">
        <v>36</v>
      </c>
      <c r="T162" t="s">
        <v>36</v>
      </c>
      <c r="U162" t="s">
        <v>36</v>
      </c>
      <c r="V162" t="s">
        <v>36</v>
      </c>
      <c r="W162" t="s">
        <v>36</v>
      </c>
      <c r="X162" t="s">
        <v>36</v>
      </c>
      <c r="Y162" t="s">
        <v>36</v>
      </c>
      <c r="Z162" t="s">
        <v>36</v>
      </c>
      <c r="AA162" t="s">
        <v>36</v>
      </c>
      <c r="AB162" t="s">
        <v>36</v>
      </c>
      <c r="AC162" t="s">
        <v>36</v>
      </c>
      <c r="AD162" t="s">
        <v>36</v>
      </c>
      <c r="AE162" t="s">
        <v>36</v>
      </c>
      <c r="AF162" t="s">
        <v>36</v>
      </c>
      <c r="AG162" t="s">
        <v>36</v>
      </c>
      <c r="AH162" t="s">
        <v>36</v>
      </c>
      <c r="AI162" t="s">
        <v>36</v>
      </c>
      <c r="AJ162" t="s">
        <v>36</v>
      </c>
    </row>
    <row r="163" spans="1:36" x14ac:dyDescent="0.35">
      <c r="A163">
        <v>1446</v>
      </c>
      <c r="B163" t="s">
        <v>314</v>
      </c>
      <c r="C163" t="s">
        <v>36</v>
      </c>
      <c r="D163" t="s">
        <v>36</v>
      </c>
      <c r="E163" t="s">
        <v>36</v>
      </c>
      <c r="F163" t="s">
        <v>36</v>
      </c>
      <c r="G163" t="s">
        <v>36</v>
      </c>
      <c r="H163" t="s">
        <v>36</v>
      </c>
      <c r="I163" t="s">
        <v>36</v>
      </c>
      <c r="J163" t="s">
        <v>36</v>
      </c>
      <c r="K163" t="s">
        <v>36</v>
      </c>
      <c r="L163" t="s">
        <v>36</v>
      </c>
      <c r="M163" t="s">
        <v>36</v>
      </c>
      <c r="N163" t="s">
        <v>36</v>
      </c>
      <c r="O163" t="s">
        <v>36</v>
      </c>
      <c r="P163" t="s">
        <v>36</v>
      </c>
      <c r="Q163" t="s">
        <v>36</v>
      </c>
      <c r="R163" t="s">
        <v>36</v>
      </c>
      <c r="S163" t="s">
        <v>36</v>
      </c>
      <c r="T163" t="s">
        <v>36</v>
      </c>
      <c r="U163" t="s">
        <v>36</v>
      </c>
      <c r="V163" t="s">
        <v>36</v>
      </c>
      <c r="W163" t="s">
        <v>36</v>
      </c>
      <c r="X163" t="s">
        <v>36</v>
      </c>
      <c r="Y163" t="s">
        <v>36</v>
      </c>
      <c r="Z163" t="s">
        <v>36</v>
      </c>
      <c r="AA163" t="s">
        <v>36</v>
      </c>
      <c r="AB163" t="s">
        <v>36</v>
      </c>
      <c r="AC163" t="s">
        <v>36</v>
      </c>
      <c r="AD163" t="s">
        <v>36</v>
      </c>
      <c r="AE163" t="s">
        <v>36</v>
      </c>
      <c r="AF163" t="s">
        <v>36</v>
      </c>
      <c r="AG163" t="s">
        <v>36</v>
      </c>
      <c r="AH163" t="s">
        <v>36</v>
      </c>
      <c r="AI163" t="s">
        <v>36</v>
      </c>
      <c r="AJ163" t="s">
        <v>36</v>
      </c>
    </row>
    <row r="164" spans="1:36" x14ac:dyDescent="0.35">
      <c r="A164">
        <v>1447</v>
      </c>
      <c r="B164" t="s">
        <v>315</v>
      </c>
      <c r="C164" t="s">
        <v>36</v>
      </c>
      <c r="D164" t="s">
        <v>36</v>
      </c>
      <c r="E164" t="s">
        <v>36</v>
      </c>
      <c r="F164" t="s">
        <v>36</v>
      </c>
      <c r="G164" t="s">
        <v>36</v>
      </c>
      <c r="H164" t="s">
        <v>36</v>
      </c>
      <c r="I164" t="s">
        <v>36</v>
      </c>
      <c r="J164" t="s">
        <v>36</v>
      </c>
      <c r="K164" t="s">
        <v>36</v>
      </c>
      <c r="L164" t="s">
        <v>36</v>
      </c>
      <c r="M164" t="s">
        <v>36</v>
      </c>
      <c r="N164" t="s">
        <v>36</v>
      </c>
      <c r="O164" t="s">
        <v>36</v>
      </c>
      <c r="P164" t="s">
        <v>36</v>
      </c>
      <c r="Q164" t="s">
        <v>36</v>
      </c>
      <c r="R164" t="s">
        <v>36</v>
      </c>
      <c r="S164" t="s">
        <v>36</v>
      </c>
      <c r="T164" t="s">
        <v>36</v>
      </c>
      <c r="U164" t="s">
        <v>36</v>
      </c>
      <c r="V164" t="s">
        <v>36</v>
      </c>
      <c r="W164" t="s">
        <v>36</v>
      </c>
      <c r="X164" t="s">
        <v>36</v>
      </c>
      <c r="Y164" t="s">
        <v>36</v>
      </c>
      <c r="Z164" t="s">
        <v>36</v>
      </c>
      <c r="AA164" t="s">
        <v>36</v>
      </c>
      <c r="AB164" t="s">
        <v>36</v>
      </c>
      <c r="AC164" t="s">
        <v>36</v>
      </c>
      <c r="AD164" t="s">
        <v>36</v>
      </c>
      <c r="AE164" t="s">
        <v>36</v>
      </c>
      <c r="AF164" t="s">
        <v>36</v>
      </c>
      <c r="AG164" t="s">
        <v>36</v>
      </c>
      <c r="AH164" t="s">
        <v>36</v>
      </c>
      <c r="AI164" t="s">
        <v>36</v>
      </c>
      <c r="AJ164" t="s">
        <v>36</v>
      </c>
    </row>
    <row r="165" spans="1:36" x14ac:dyDescent="0.35">
      <c r="A165">
        <v>513</v>
      </c>
      <c r="B165" t="s">
        <v>291</v>
      </c>
      <c r="C165" t="s">
        <v>36</v>
      </c>
      <c r="D165" t="s">
        <v>36</v>
      </c>
      <c r="E165" t="s">
        <v>36</v>
      </c>
      <c r="F165" t="s">
        <v>36</v>
      </c>
      <c r="G165" t="s">
        <v>36</v>
      </c>
      <c r="H165" t="s">
        <v>36</v>
      </c>
      <c r="I165" t="s">
        <v>36</v>
      </c>
      <c r="J165" t="s">
        <v>36</v>
      </c>
      <c r="K165" t="s">
        <v>36</v>
      </c>
      <c r="L165" t="s">
        <v>36</v>
      </c>
      <c r="M165" t="s">
        <v>36</v>
      </c>
      <c r="N165" t="s">
        <v>36</v>
      </c>
      <c r="O165" t="s">
        <v>36</v>
      </c>
      <c r="P165" t="s">
        <v>36</v>
      </c>
      <c r="Q165" t="s">
        <v>36</v>
      </c>
      <c r="R165" t="s">
        <v>36</v>
      </c>
      <c r="S165" t="s">
        <v>36</v>
      </c>
      <c r="T165" t="s">
        <v>36</v>
      </c>
      <c r="U165" t="s">
        <v>36</v>
      </c>
      <c r="V165" t="s">
        <v>36</v>
      </c>
      <c r="W165" t="s">
        <v>36</v>
      </c>
      <c r="X165" t="s">
        <v>36</v>
      </c>
      <c r="Y165" t="s">
        <v>36</v>
      </c>
      <c r="Z165" t="s">
        <v>36</v>
      </c>
      <c r="AA165" t="s">
        <v>36</v>
      </c>
      <c r="AB165" t="s">
        <v>36</v>
      </c>
      <c r="AC165" t="s">
        <v>36</v>
      </c>
      <c r="AD165" t="s">
        <v>36</v>
      </c>
      <c r="AE165" t="s">
        <v>36</v>
      </c>
      <c r="AF165" t="s">
        <v>36</v>
      </c>
      <c r="AG165" t="s">
        <v>36</v>
      </c>
      <c r="AH165" t="s">
        <v>36</v>
      </c>
      <c r="AI165" t="s">
        <v>36</v>
      </c>
      <c r="AJ165" t="s">
        <v>36</v>
      </c>
    </row>
    <row r="166" spans="1:36" x14ac:dyDescent="0.35">
      <c r="A166">
        <v>1439</v>
      </c>
      <c r="B166" t="s">
        <v>310</v>
      </c>
      <c r="C166" t="s">
        <v>36</v>
      </c>
      <c r="D166" t="s">
        <v>36</v>
      </c>
      <c r="E166" t="s">
        <v>36</v>
      </c>
      <c r="F166" t="s">
        <v>36</v>
      </c>
      <c r="G166" t="s">
        <v>36</v>
      </c>
      <c r="H166" t="s">
        <v>36</v>
      </c>
      <c r="I166" t="s">
        <v>36</v>
      </c>
      <c r="J166" t="s">
        <v>36</v>
      </c>
      <c r="K166" t="s">
        <v>36</v>
      </c>
      <c r="L166" t="s">
        <v>36</v>
      </c>
      <c r="M166" t="s">
        <v>36</v>
      </c>
      <c r="N166" t="s">
        <v>36</v>
      </c>
      <c r="O166" t="s">
        <v>36</v>
      </c>
      <c r="P166" t="s">
        <v>36</v>
      </c>
      <c r="Q166" t="s">
        <v>36</v>
      </c>
      <c r="R166" t="s">
        <v>36</v>
      </c>
      <c r="S166" t="s">
        <v>36</v>
      </c>
      <c r="T166" t="s">
        <v>36</v>
      </c>
      <c r="U166" t="s">
        <v>36</v>
      </c>
      <c r="V166" t="s">
        <v>36</v>
      </c>
      <c r="W166" t="s">
        <v>36</v>
      </c>
      <c r="X166" t="s">
        <v>36</v>
      </c>
      <c r="Y166" t="s">
        <v>36</v>
      </c>
      <c r="Z166" t="s">
        <v>36</v>
      </c>
      <c r="AA166" t="s">
        <v>36</v>
      </c>
      <c r="AB166" t="s">
        <v>36</v>
      </c>
      <c r="AC166" t="s">
        <v>36</v>
      </c>
      <c r="AD166" t="s">
        <v>36</v>
      </c>
      <c r="AE166" t="s">
        <v>36</v>
      </c>
      <c r="AF166" t="s">
        <v>36</v>
      </c>
      <c r="AG166" t="s">
        <v>36</v>
      </c>
      <c r="AH166" t="s">
        <v>36</v>
      </c>
      <c r="AI166" t="s">
        <v>36</v>
      </c>
      <c r="AJ166" t="s">
        <v>36</v>
      </c>
    </row>
    <row r="167" spans="1:36" x14ac:dyDescent="0.35">
      <c r="A167">
        <v>1440</v>
      </c>
      <c r="B167" t="s">
        <v>311</v>
      </c>
      <c r="C167" t="s">
        <v>36</v>
      </c>
      <c r="D167" t="s">
        <v>36</v>
      </c>
      <c r="E167" t="s">
        <v>36</v>
      </c>
      <c r="F167" t="s">
        <v>36</v>
      </c>
      <c r="G167" t="s">
        <v>36</v>
      </c>
      <c r="H167" t="s">
        <v>36</v>
      </c>
      <c r="I167" t="s">
        <v>36</v>
      </c>
      <c r="J167" t="s">
        <v>36</v>
      </c>
      <c r="K167" t="s">
        <v>36</v>
      </c>
      <c r="L167" t="s">
        <v>36</v>
      </c>
      <c r="M167" t="s">
        <v>36</v>
      </c>
      <c r="N167" t="s">
        <v>36</v>
      </c>
      <c r="O167" t="s">
        <v>36</v>
      </c>
      <c r="P167" t="s">
        <v>36</v>
      </c>
      <c r="Q167" t="s">
        <v>36</v>
      </c>
      <c r="R167" t="s">
        <v>36</v>
      </c>
      <c r="S167" t="s">
        <v>36</v>
      </c>
      <c r="T167" t="s">
        <v>36</v>
      </c>
      <c r="U167" t="s">
        <v>36</v>
      </c>
      <c r="V167" t="s">
        <v>36</v>
      </c>
      <c r="W167" t="s">
        <v>36</v>
      </c>
      <c r="X167" t="s">
        <v>36</v>
      </c>
      <c r="Y167" t="s">
        <v>36</v>
      </c>
      <c r="Z167" t="s">
        <v>36</v>
      </c>
      <c r="AA167" t="s">
        <v>36</v>
      </c>
      <c r="AB167" t="s">
        <v>36</v>
      </c>
      <c r="AC167" t="s">
        <v>36</v>
      </c>
      <c r="AD167" t="s">
        <v>36</v>
      </c>
      <c r="AE167" t="s">
        <v>36</v>
      </c>
      <c r="AF167" t="s">
        <v>36</v>
      </c>
      <c r="AG167" t="s">
        <v>36</v>
      </c>
      <c r="AH167" t="s">
        <v>36</v>
      </c>
      <c r="AI167" t="s">
        <v>36</v>
      </c>
      <c r="AJ167" t="s">
        <v>36</v>
      </c>
    </row>
    <row r="168" spans="1:36" x14ac:dyDescent="0.35">
      <c r="A168">
        <v>1441</v>
      </c>
      <c r="B168" t="s">
        <v>312</v>
      </c>
      <c r="C168" t="s">
        <v>36</v>
      </c>
      <c r="D168" t="s">
        <v>36</v>
      </c>
      <c r="E168" t="s">
        <v>36</v>
      </c>
      <c r="F168" t="s">
        <v>36</v>
      </c>
      <c r="G168" t="s">
        <v>36</v>
      </c>
      <c r="H168" t="s">
        <v>36</v>
      </c>
      <c r="I168" t="s">
        <v>36</v>
      </c>
      <c r="J168" t="s">
        <v>36</v>
      </c>
      <c r="K168" t="s">
        <v>36</v>
      </c>
      <c r="L168" t="s">
        <v>36</v>
      </c>
      <c r="M168" t="s">
        <v>36</v>
      </c>
      <c r="N168" t="s">
        <v>36</v>
      </c>
      <c r="O168" t="s">
        <v>36</v>
      </c>
      <c r="P168" t="s">
        <v>36</v>
      </c>
      <c r="Q168" t="s">
        <v>36</v>
      </c>
      <c r="R168" t="s">
        <v>36</v>
      </c>
      <c r="S168" t="s">
        <v>36</v>
      </c>
      <c r="T168" t="s">
        <v>36</v>
      </c>
      <c r="U168" t="s">
        <v>36</v>
      </c>
      <c r="V168" t="s">
        <v>36</v>
      </c>
      <c r="W168" t="s">
        <v>36</v>
      </c>
      <c r="X168" t="s">
        <v>36</v>
      </c>
      <c r="Y168" t="s">
        <v>36</v>
      </c>
      <c r="Z168" t="s">
        <v>36</v>
      </c>
      <c r="AA168" t="s">
        <v>36</v>
      </c>
      <c r="AB168" t="s">
        <v>36</v>
      </c>
      <c r="AC168" t="s">
        <v>36</v>
      </c>
      <c r="AD168" t="s">
        <v>36</v>
      </c>
      <c r="AE168" t="s">
        <v>36</v>
      </c>
      <c r="AF168" t="s">
        <v>36</v>
      </c>
      <c r="AG168" t="s">
        <v>36</v>
      </c>
      <c r="AH168" t="s">
        <v>36</v>
      </c>
      <c r="AI168" t="s">
        <v>36</v>
      </c>
      <c r="AJ168" t="s">
        <v>36</v>
      </c>
    </row>
    <row r="169" spans="1:36" x14ac:dyDescent="0.35">
      <c r="A169">
        <v>509</v>
      </c>
      <c r="B169" t="s">
        <v>290</v>
      </c>
      <c r="C169" t="s">
        <v>36</v>
      </c>
      <c r="D169" t="s">
        <v>36</v>
      </c>
      <c r="E169" t="s">
        <v>36</v>
      </c>
      <c r="F169" t="s">
        <v>36</v>
      </c>
      <c r="G169" t="s">
        <v>36</v>
      </c>
      <c r="H169" t="s">
        <v>36</v>
      </c>
      <c r="I169" t="s">
        <v>36</v>
      </c>
      <c r="J169" t="s">
        <v>36</v>
      </c>
      <c r="K169" t="s">
        <v>36</v>
      </c>
      <c r="L169" t="s">
        <v>36</v>
      </c>
      <c r="M169" t="s">
        <v>36</v>
      </c>
      <c r="N169" t="s">
        <v>36</v>
      </c>
      <c r="O169" t="s">
        <v>36</v>
      </c>
      <c r="P169" t="s">
        <v>36</v>
      </c>
      <c r="Q169" t="s">
        <v>36</v>
      </c>
      <c r="R169" t="s">
        <v>36</v>
      </c>
      <c r="S169" t="s">
        <v>36</v>
      </c>
      <c r="T169" t="s">
        <v>36</v>
      </c>
      <c r="U169" t="s">
        <v>36</v>
      </c>
      <c r="V169" t="s">
        <v>36</v>
      </c>
      <c r="W169" t="s">
        <v>36</v>
      </c>
      <c r="X169" t="s">
        <v>36</v>
      </c>
      <c r="Y169" t="s">
        <v>36</v>
      </c>
      <c r="Z169" t="s">
        <v>36</v>
      </c>
      <c r="AA169" t="s">
        <v>36</v>
      </c>
      <c r="AB169" t="s">
        <v>36</v>
      </c>
      <c r="AC169" t="s">
        <v>36</v>
      </c>
      <c r="AD169" t="s">
        <v>36</v>
      </c>
      <c r="AE169" t="s">
        <v>36</v>
      </c>
      <c r="AF169" t="s">
        <v>36</v>
      </c>
      <c r="AG169" t="s">
        <v>36</v>
      </c>
      <c r="AH169" t="s">
        <v>36</v>
      </c>
      <c r="AI169" t="s">
        <v>36</v>
      </c>
      <c r="AJ169" t="s">
        <v>36</v>
      </c>
    </row>
    <row r="170" spans="1:36" x14ac:dyDescent="0.35">
      <c r="A170">
        <v>1427</v>
      </c>
      <c r="B170" t="s">
        <v>301</v>
      </c>
      <c r="C170" t="s">
        <v>36</v>
      </c>
      <c r="D170" t="s">
        <v>36</v>
      </c>
      <c r="E170" t="s">
        <v>36</v>
      </c>
      <c r="F170" t="s">
        <v>36</v>
      </c>
      <c r="G170" t="s">
        <v>36</v>
      </c>
      <c r="H170" t="s">
        <v>36</v>
      </c>
      <c r="I170" t="s">
        <v>36</v>
      </c>
      <c r="J170" t="s">
        <v>36</v>
      </c>
      <c r="K170" t="s">
        <v>36</v>
      </c>
      <c r="L170" t="s">
        <v>36</v>
      </c>
      <c r="M170" t="s">
        <v>36</v>
      </c>
      <c r="N170" t="s">
        <v>36</v>
      </c>
      <c r="O170" t="s">
        <v>36</v>
      </c>
      <c r="P170" t="s">
        <v>36</v>
      </c>
      <c r="Q170" t="s">
        <v>36</v>
      </c>
      <c r="R170" t="s">
        <v>36</v>
      </c>
      <c r="S170" t="s">
        <v>36</v>
      </c>
      <c r="T170" t="s">
        <v>36</v>
      </c>
      <c r="U170" t="s">
        <v>36</v>
      </c>
      <c r="V170" t="s">
        <v>36</v>
      </c>
      <c r="W170" t="s">
        <v>36</v>
      </c>
      <c r="X170" t="s">
        <v>36</v>
      </c>
      <c r="Y170" t="s">
        <v>36</v>
      </c>
      <c r="Z170" t="s">
        <v>36</v>
      </c>
      <c r="AA170" t="s">
        <v>36</v>
      </c>
      <c r="AB170" t="s">
        <v>36</v>
      </c>
      <c r="AC170" t="s">
        <v>36</v>
      </c>
      <c r="AD170" t="s">
        <v>36</v>
      </c>
      <c r="AE170" t="s">
        <v>36</v>
      </c>
      <c r="AF170" t="s">
        <v>36</v>
      </c>
      <c r="AG170" t="s">
        <v>36</v>
      </c>
      <c r="AH170" t="s">
        <v>36</v>
      </c>
      <c r="AI170" t="s">
        <v>36</v>
      </c>
      <c r="AJ170" t="s">
        <v>36</v>
      </c>
    </row>
    <row r="171" spans="1:36" x14ac:dyDescent="0.35">
      <c r="A171">
        <v>1428</v>
      </c>
      <c r="B171" t="s">
        <v>302</v>
      </c>
      <c r="C171" t="s">
        <v>36</v>
      </c>
      <c r="D171" t="s">
        <v>36</v>
      </c>
      <c r="E171" t="s">
        <v>36</v>
      </c>
      <c r="F171" t="s">
        <v>36</v>
      </c>
      <c r="G171" t="s">
        <v>36</v>
      </c>
      <c r="H171" t="s">
        <v>36</v>
      </c>
      <c r="I171" t="s">
        <v>36</v>
      </c>
      <c r="J171" t="s">
        <v>36</v>
      </c>
      <c r="K171" t="s">
        <v>36</v>
      </c>
      <c r="L171" t="s">
        <v>36</v>
      </c>
      <c r="M171" t="s">
        <v>36</v>
      </c>
      <c r="N171" t="s">
        <v>36</v>
      </c>
      <c r="O171" t="s">
        <v>36</v>
      </c>
      <c r="P171" t="s">
        <v>36</v>
      </c>
      <c r="Q171" t="s">
        <v>36</v>
      </c>
      <c r="R171" t="s">
        <v>36</v>
      </c>
      <c r="S171" t="s">
        <v>36</v>
      </c>
      <c r="T171" t="s">
        <v>36</v>
      </c>
      <c r="U171" t="s">
        <v>36</v>
      </c>
      <c r="V171" t="s">
        <v>36</v>
      </c>
      <c r="W171" t="s">
        <v>36</v>
      </c>
      <c r="X171" t="s">
        <v>36</v>
      </c>
      <c r="Y171" t="s">
        <v>36</v>
      </c>
      <c r="Z171" t="s">
        <v>36</v>
      </c>
      <c r="AA171" t="s">
        <v>36</v>
      </c>
      <c r="AB171" t="s">
        <v>36</v>
      </c>
      <c r="AC171" t="s">
        <v>36</v>
      </c>
      <c r="AD171" t="s">
        <v>36</v>
      </c>
      <c r="AE171" t="s">
        <v>36</v>
      </c>
      <c r="AF171" t="s">
        <v>36</v>
      </c>
      <c r="AG171" t="s">
        <v>36</v>
      </c>
      <c r="AH171" t="s">
        <v>36</v>
      </c>
      <c r="AI171" t="s">
        <v>36</v>
      </c>
      <c r="AJ171" t="s">
        <v>36</v>
      </c>
    </row>
    <row r="172" spans="1:36" x14ac:dyDescent="0.35">
      <c r="A172">
        <v>1429</v>
      </c>
      <c r="B172" t="s">
        <v>303</v>
      </c>
      <c r="C172" t="s">
        <v>36</v>
      </c>
      <c r="D172" t="s">
        <v>36</v>
      </c>
      <c r="E172" t="s">
        <v>36</v>
      </c>
      <c r="F172" t="s">
        <v>36</v>
      </c>
      <c r="G172" t="s">
        <v>36</v>
      </c>
      <c r="H172" t="s">
        <v>36</v>
      </c>
      <c r="I172" t="s">
        <v>36</v>
      </c>
      <c r="J172" t="s">
        <v>36</v>
      </c>
      <c r="K172" t="s">
        <v>36</v>
      </c>
      <c r="L172" t="s">
        <v>36</v>
      </c>
      <c r="M172" t="s">
        <v>36</v>
      </c>
      <c r="N172" t="s">
        <v>36</v>
      </c>
      <c r="O172" t="s">
        <v>36</v>
      </c>
      <c r="P172" t="s">
        <v>36</v>
      </c>
      <c r="Q172" t="s">
        <v>36</v>
      </c>
      <c r="R172" t="s">
        <v>36</v>
      </c>
      <c r="S172" t="s">
        <v>36</v>
      </c>
      <c r="T172" t="s">
        <v>36</v>
      </c>
      <c r="U172" t="s">
        <v>36</v>
      </c>
      <c r="V172" t="s">
        <v>36</v>
      </c>
      <c r="W172" t="s">
        <v>36</v>
      </c>
      <c r="X172" t="s">
        <v>36</v>
      </c>
      <c r="Y172" t="s">
        <v>36</v>
      </c>
      <c r="Z172" t="s">
        <v>36</v>
      </c>
      <c r="AA172" t="s">
        <v>36</v>
      </c>
      <c r="AB172" t="s">
        <v>36</v>
      </c>
      <c r="AC172" t="s">
        <v>36</v>
      </c>
      <c r="AD172" t="s">
        <v>36</v>
      </c>
      <c r="AE172" t="s">
        <v>36</v>
      </c>
      <c r="AF172" t="s">
        <v>36</v>
      </c>
      <c r="AG172" t="s">
        <v>36</v>
      </c>
      <c r="AH172" t="s">
        <v>36</v>
      </c>
      <c r="AI172" t="s">
        <v>36</v>
      </c>
      <c r="AJ172" t="s">
        <v>36</v>
      </c>
    </row>
    <row r="173" spans="1:36" x14ac:dyDescent="0.35">
      <c r="A173">
        <v>413</v>
      </c>
      <c r="B173" t="s">
        <v>239</v>
      </c>
      <c r="C173" t="s">
        <v>36</v>
      </c>
      <c r="D173" t="s">
        <v>36</v>
      </c>
      <c r="E173" t="s">
        <v>36</v>
      </c>
      <c r="F173" t="s">
        <v>36</v>
      </c>
      <c r="G173" s="1">
        <v>41426</v>
      </c>
      <c r="H173" t="s">
        <v>36</v>
      </c>
      <c r="I173" t="s">
        <v>36</v>
      </c>
      <c r="J173" t="s">
        <v>36</v>
      </c>
      <c r="K173" t="s">
        <v>36</v>
      </c>
      <c r="L173" t="s">
        <v>36</v>
      </c>
      <c r="M173" t="s">
        <v>36</v>
      </c>
      <c r="N173" t="s">
        <v>36</v>
      </c>
      <c r="O173" t="s">
        <v>36</v>
      </c>
      <c r="P173" s="1">
        <v>41426</v>
      </c>
      <c r="Q173" t="s">
        <v>36</v>
      </c>
      <c r="R173" t="s">
        <v>36</v>
      </c>
      <c r="S173" t="s">
        <v>36</v>
      </c>
      <c r="T173" s="1">
        <v>39873</v>
      </c>
      <c r="U173" t="s">
        <v>36</v>
      </c>
      <c r="V173" t="s">
        <v>36</v>
      </c>
      <c r="W173" t="s">
        <v>36</v>
      </c>
      <c r="X173" t="s">
        <v>36</v>
      </c>
      <c r="Y173" t="s">
        <v>36</v>
      </c>
      <c r="Z173" t="s">
        <v>36</v>
      </c>
      <c r="AA173" t="s">
        <v>36</v>
      </c>
      <c r="AB173" t="s">
        <v>36</v>
      </c>
      <c r="AC173" t="s">
        <v>36</v>
      </c>
      <c r="AD173" t="s">
        <v>36</v>
      </c>
      <c r="AE173" t="s">
        <v>36</v>
      </c>
      <c r="AF173" s="1">
        <v>41513.4375</v>
      </c>
      <c r="AG173" t="s">
        <v>36</v>
      </c>
      <c r="AH173" t="s">
        <v>36</v>
      </c>
      <c r="AI173" s="1">
        <v>41365</v>
      </c>
      <c r="AJ173" s="1">
        <v>41426</v>
      </c>
    </row>
    <row r="174" spans="1:36" x14ac:dyDescent="0.35">
      <c r="A174">
        <v>414</v>
      </c>
      <c r="B174" t="s">
        <v>240</v>
      </c>
      <c r="C174" t="s">
        <v>36</v>
      </c>
      <c r="D174" t="s">
        <v>36</v>
      </c>
      <c r="E174" t="s">
        <v>36</v>
      </c>
      <c r="F174" t="s">
        <v>36</v>
      </c>
      <c r="G174" s="1">
        <v>41426</v>
      </c>
      <c r="H174" t="s">
        <v>36</v>
      </c>
      <c r="I174" t="s">
        <v>36</v>
      </c>
      <c r="J174" t="s">
        <v>36</v>
      </c>
      <c r="K174" t="s">
        <v>36</v>
      </c>
      <c r="L174" t="s">
        <v>36</v>
      </c>
      <c r="M174" t="s">
        <v>36</v>
      </c>
      <c r="N174" t="s">
        <v>36</v>
      </c>
      <c r="O174" t="s">
        <v>36</v>
      </c>
      <c r="P174" s="1">
        <v>41426</v>
      </c>
      <c r="Q174" t="s">
        <v>36</v>
      </c>
      <c r="R174" t="s">
        <v>36</v>
      </c>
      <c r="S174" t="s">
        <v>36</v>
      </c>
      <c r="T174" s="1">
        <v>39873</v>
      </c>
      <c r="U174" t="s">
        <v>36</v>
      </c>
      <c r="V174" t="s">
        <v>36</v>
      </c>
      <c r="W174" t="s">
        <v>36</v>
      </c>
      <c r="X174" t="s">
        <v>36</v>
      </c>
      <c r="Y174" t="s">
        <v>36</v>
      </c>
      <c r="Z174" t="s">
        <v>36</v>
      </c>
      <c r="AA174" t="s">
        <v>36</v>
      </c>
      <c r="AB174" t="s">
        <v>36</v>
      </c>
      <c r="AC174" t="s">
        <v>36</v>
      </c>
      <c r="AD174" t="s">
        <v>36</v>
      </c>
      <c r="AE174" t="s">
        <v>36</v>
      </c>
      <c r="AF174" s="1">
        <v>41513.4375</v>
      </c>
      <c r="AG174" t="s">
        <v>36</v>
      </c>
      <c r="AH174" t="s">
        <v>36</v>
      </c>
      <c r="AI174" s="1">
        <v>41365</v>
      </c>
      <c r="AJ174" s="1">
        <v>41426</v>
      </c>
    </row>
    <row r="175" spans="1:36" x14ac:dyDescent="0.35">
      <c r="A175">
        <v>415</v>
      </c>
      <c r="B175" t="s">
        <v>241</v>
      </c>
      <c r="C175" t="s">
        <v>36</v>
      </c>
      <c r="D175" t="s">
        <v>36</v>
      </c>
      <c r="E175" t="s">
        <v>36</v>
      </c>
      <c r="F175" t="s">
        <v>36</v>
      </c>
      <c r="G175" s="1">
        <v>41426</v>
      </c>
      <c r="H175" t="s">
        <v>36</v>
      </c>
      <c r="I175" t="s">
        <v>36</v>
      </c>
      <c r="J175" t="s">
        <v>36</v>
      </c>
      <c r="K175" t="s">
        <v>36</v>
      </c>
      <c r="L175" t="s">
        <v>36</v>
      </c>
      <c r="M175" t="s">
        <v>36</v>
      </c>
      <c r="N175" t="s">
        <v>36</v>
      </c>
      <c r="O175" t="s">
        <v>36</v>
      </c>
      <c r="P175" s="1">
        <v>41426</v>
      </c>
      <c r="Q175" t="s">
        <v>36</v>
      </c>
      <c r="R175" t="s">
        <v>36</v>
      </c>
      <c r="S175" t="s">
        <v>36</v>
      </c>
      <c r="T175" s="1">
        <v>39873</v>
      </c>
      <c r="U175" t="s">
        <v>36</v>
      </c>
      <c r="V175" t="s">
        <v>36</v>
      </c>
      <c r="W175" t="s">
        <v>36</v>
      </c>
      <c r="X175" t="s">
        <v>36</v>
      </c>
      <c r="Y175" t="s">
        <v>36</v>
      </c>
      <c r="Z175" t="s">
        <v>36</v>
      </c>
      <c r="AA175" t="s">
        <v>36</v>
      </c>
      <c r="AB175" t="s">
        <v>36</v>
      </c>
      <c r="AC175" t="s">
        <v>36</v>
      </c>
      <c r="AD175" t="s">
        <v>36</v>
      </c>
      <c r="AE175" t="s">
        <v>36</v>
      </c>
      <c r="AF175" s="1">
        <v>41513.4375</v>
      </c>
      <c r="AG175" t="s">
        <v>36</v>
      </c>
      <c r="AH175" t="s">
        <v>36</v>
      </c>
      <c r="AI175" s="1">
        <v>41365</v>
      </c>
      <c r="AJ175" s="1">
        <v>41426</v>
      </c>
    </row>
    <row r="176" spans="1:36" x14ac:dyDescent="0.35">
      <c r="A176">
        <v>410</v>
      </c>
      <c r="B176" t="s">
        <v>236</v>
      </c>
      <c r="C176" t="s">
        <v>36</v>
      </c>
      <c r="D176" t="s">
        <v>36</v>
      </c>
      <c r="E176" t="s">
        <v>36</v>
      </c>
      <c r="F176" t="s">
        <v>36</v>
      </c>
      <c r="G176" s="1">
        <v>41426</v>
      </c>
      <c r="H176" t="s">
        <v>36</v>
      </c>
      <c r="I176" t="s">
        <v>36</v>
      </c>
      <c r="J176" t="s">
        <v>36</v>
      </c>
      <c r="K176" t="s">
        <v>36</v>
      </c>
      <c r="L176" t="s">
        <v>36</v>
      </c>
      <c r="M176" t="s">
        <v>36</v>
      </c>
      <c r="N176" t="s">
        <v>36</v>
      </c>
      <c r="O176" t="s">
        <v>36</v>
      </c>
      <c r="P176" s="1">
        <v>41426</v>
      </c>
      <c r="Q176" t="s">
        <v>36</v>
      </c>
      <c r="R176" t="s">
        <v>36</v>
      </c>
      <c r="S176" t="s">
        <v>36</v>
      </c>
      <c r="T176" s="1">
        <v>39873</v>
      </c>
      <c r="U176" t="s">
        <v>36</v>
      </c>
      <c r="V176" t="s">
        <v>36</v>
      </c>
      <c r="W176" t="s">
        <v>36</v>
      </c>
      <c r="X176" t="s">
        <v>36</v>
      </c>
      <c r="Y176" t="s">
        <v>36</v>
      </c>
      <c r="Z176" t="s">
        <v>36</v>
      </c>
      <c r="AA176" t="s">
        <v>36</v>
      </c>
      <c r="AB176" t="s">
        <v>36</v>
      </c>
      <c r="AC176" t="s">
        <v>36</v>
      </c>
      <c r="AD176" t="s">
        <v>36</v>
      </c>
      <c r="AE176" t="s">
        <v>36</v>
      </c>
      <c r="AF176" s="1">
        <v>41513.4375</v>
      </c>
      <c r="AG176" t="s">
        <v>36</v>
      </c>
      <c r="AH176" t="s">
        <v>36</v>
      </c>
      <c r="AI176" s="1">
        <v>41365</v>
      </c>
      <c r="AJ176" s="1">
        <v>41426</v>
      </c>
    </row>
    <row r="177" spans="1:36" x14ac:dyDescent="0.35">
      <c r="A177">
        <v>411</v>
      </c>
      <c r="B177" t="s">
        <v>237</v>
      </c>
      <c r="C177" t="s">
        <v>36</v>
      </c>
      <c r="D177" t="s">
        <v>36</v>
      </c>
      <c r="E177" t="s">
        <v>36</v>
      </c>
      <c r="F177" t="s">
        <v>36</v>
      </c>
      <c r="G177" s="1">
        <v>41426</v>
      </c>
      <c r="H177" t="s">
        <v>36</v>
      </c>
      <c r="I177" t="s">
        <v>36</v>
      </c>
      <c r="J177" t="s">
        <v>36</v>
      </c>
      <c r="K177" t="s">
        <v>36</v>
      </c>
      <c r="L177" t="s">
        <v>36</v>
      </c>
      <c r="M177" t="s">
        <v>36</v>
      </c>
      <c r="N177" t="s">
        <v>36</v>
      </c>
      <c r="O177" t="s">
        <v>36</v>
      </c>
      <c r="P177" s="1">
        <v>41426</v>
      </c>
      <c r="Q177" t="s">
        <v>36</v>
      </c>
      <c r="R177" t="s">
        <v>36</v>
      </c>
      <c r="S177" t="s">
        <v>36</v>
      </c>
      <c r="T177" s="1">
        <v>39873</v>
      </c>
      <c r="U177" t="s">
        <v>36</v>
      </c>
      <c r="V177" t="s">
        <v>36</v>
      </c>
      <c r="W177" t="s">
        <v>36</v>
      </c>
      <c r="X177" t="s">
        <v>36</v>
      </c>
      <c r="Y177" t="s">
        <v>36</v>
      </c>
      <c r="Z177" t="s">
        <v>36</v>
      </c>
      <c r="AA177" t="s">
        <v>36</v>
      </c>
      <c r="AB177" t="s">
        <v>36</v>
      </c>
      <c r="AC177" t="s">
        <v>36</v>
      </c>
      <c r="AD177" t="s">
        <v>36</v>
      </c>
      <c r="AE177" t="s">
        <v>36</v>
      </c>
      <c r="AF177" s="1">
        <v>41513.4375</v>
      </c>
      <c r="AG177" t="s">
        <v>36</v>
      </c>
      <c r="AH177" t="s">
        <v>36</v>
      </c>
      <c r="AI177" s="1">
        <v>41365</v>
      </c>
      <c r="AJ177" s="1">
        <v>41426</v>
      </c>
    </row>
    <row r="178" spans="1:36" x14ac:dyDescent="0.35">
      <c r="A178">
        <v>412</v>
      </c>
      <c r="B178" t="s">
        <v>238</v>
      </c>
      <c r="C178" t="s">
        <v>36</v>
      </c>
      <c r="D178" t="s">
        <v>36</v>
      </c>
      <c r="E178" t="s">
        <v>36</v>
      </c>
      <c r="F178" t="s">
        <v>36</v>
      </c>
      <c r="G178" s="1">
        <v>41426</v>
      </c>
      <c r="H178" t="s">
        <v>36</v>
      </c>
      <c r="I178" t="s">
        <v>36</v>
      </c>
      <c r="J178" t="s">
        <v>36</v>
      </c>
      <c r="K178" t="s">
        <v>36</v>
      </c>
      <c r="L178" t="s">
        <v>36</v>
      </c>
      <c r="M178" t="s">
        <v>36</v>
      </c>
      <c r="N178" t="s">
        <v>36</v>
      </c>
      <c r="O178" t="s">
        <v>36</v>
      </c>
      <c r="P178" s="1">
        <v>41426</v>
      </c>
      <c r="Q178" t="s">
        <v>36</v>
      </c>
      <c r="R178" t="s">
        <v>36</v>
      </c>
      <c r="S178" t="s">
        <v>36</v>
      </c>
      <c r="T178" s="1">
        <v>39873</v>
      </c>
      <c r="U178" t="s">
        <v>36</v>
      </c>
      <c r="V178" t="s">
        <v>36</v>
      </c>
      <c r="W178" t="s">
        <v>36</v>
      </c>
      <c r="X178" t="s">
        <v>36</v>
      </c>
      <c r="Y178" t="s">
        <v>36</v>
      </c>
      <c r="Z178" t="s">
        <v>36</v>
      </c>
      <c r="AA178" t="s">
        <v>36</v>
      </c>
      <c r="AB178" t="s">
        <v>36</v>
      </c>
      <c r="AC178" t="s">
        <v>36</v>
      </c>
      <c r="AD178" t="s">
        <v>36</v>
      </c>
      <c r="AE178" t="s">
        <v>36</v>
      </c>
      <c r="AF178" s="1">
        <v>41513.4375</v>
      </c>
      <c r="AG178" t="s">
        <v>36</v>
      </c>
      <c r="AH178" t="s">
        <v>36</v>
      </c>
      <c r="AI178" s="1">
        <v>41365</v>
      </c>
      <c r="AJ178" s="1">
        <v>41426</v>
      </c>
    </row>
    <row r="179" spans="1:36" x14ac:dyDescent="0.35">
      <c r="A179">
        <v>24</v>
      </c>
      <c r="B179" t="s">
        <v>59</v>
      </c>
      <c r="C179" t="s">
        <v>36</v>
      </c>
      <c r="D179" t="s">
        <v>36</v>
      </c>
      <c r="E179" t="s">
        <v>36</v>
      </c>
      <c r="F179" t="s">
        <v>36</v>
      </c>
      <c r="G179" t="s">
        <v>36</v>
      </c>
      <c r="H179" t="s">
        <v>36</v>
      </c>
      <c r="I179" t="s">
        <v>36</v>
      </c>
      <c r="J179" t="s">
        <v>36</v>
      </c>
      <c r="K179" t="s">
        <v>36</v>
      </c>
      <c r="L179" t="s">
        <v>36</v>
      </c>
      <c r="M179" t="s">
        <v>36</v>
      </c>
      <c r="N179" t="s">
        <v>36</v>
      </c>
      <c r="O179" t="s">
        <v>36</v>
      </c>
      <c r="P179" t="s">
        <v>36</v>
      </c>
      <c r="Q179" s="1">
        <v>40911.534722222219</v>
      </c>
      <c r="R179" t="s">
        <v>36</v>
      </c>
      <c r="S179" t="s">
        <v>36</v>
      </c>
      <c r="T179" t="s">
        <v>36</v>
      </c>
      <c r="U179" t="s">
        <v>36</v>
      </c>
      <c r="V179" t="s">
        <v>36</v>
      </c>
      <c r="W179" t="s">
        <v>36</v>
      </c>
      <c r="X179" t="s">
        <v>36</v>
      </c>
      <c r="Y179" t="s">
        <v>36</v>
      </c>
      <c r="Z179" t="s">
        <v>36</v>
      </c>
      <c r="AA179" t="s">
        <v>36</v>
      </c>
      <c r="AB179" t="s">
        <v>36</v>
      </c>
      <c r="AC179" t="s">
        <v>36</v>
      </c>
      <c r="AD179" t="s">
        <v>36</v>
      </c>
      <c r="AE179" t="s">
        <v>36</v>
      </c>
      <c r="AF179" t="s">
        <v>36</v>
      </c>
      <c r="AG179" t="s">
        <v>36</v>
      </c>
      <c r="AH179" t="s">
        <v>36</v>
      </c>
      <c r="AI179" t="s">
        <v>36</v>
      </c>
      <c r="AJ179" t="s">
        <v>36</v>
      </c>
    </row>
    <row r="180" spans="1:36" x14ac:dyDescent="0.35">
      <c r="A180">
        <v>26</v>
      </c>
      <c r="B180" t="s">
        <v>61</v>
      </c>
      <c r="C180" t="s">
        <v>36</v>
      </c>
      <c r="D180" t="s">
        <v>36</v>
      </c>
      <c r="E180" t="s">
        <v>36</v>
      </c>
      <c r="F180" t="s">
        <v>36</v>
      </c>
      <c r="G180" t="s">
        <v>36</v>
      </c>
      <c r="H180" t="s">
        <v>36</v>
      </c>
      <c r="I180" t="s">
        <v>36</v>
      </c>
      <c r="J180" t="s">
        <v>36</v>
      </c>
      <c r="K180" t="s">
        <v>36</v>
      </c>
      <c r="L180" t="s">
        <v>36</v>
      </c>
      <c r="M180" t="s">
        <v>36</v>
      </c>
      <c r="N180" t="s">
        <v>36</v>
      </c>
      <c r="O180" t="s">
        <v>36</v>
      </c>
      <c r="P180" t="s">
        <v>36</v>
      </c>
      <c r="Q180" s="1">
        <v>40911.534722222219</v>
      </c>
      <c r="R180" t="s">
        <v>36</v>
      </c>
      <c r="S180" t="s">
        <v>36</v>
      </c>
      <c r="T180" t="s">
        <v>36</v>
      </c>
      <c r="U180" t="s">
        <v>36</v>
      </c>
      <c r="V180" t="s">
        <v>36</v>
      </c>
      <c r="W180" t="s">
        <v>36</v>
      </c>
      <c r="X180" t="s">
        <v>36</v>
      </c>
      <c r="Y180" t="s">
        <v>36</v>
      </c>
      <c r="Z180" t="s">
        <v>36</v>
      </c>
      <c r="AA180" t="s">
        <v>36</v>
      </c>
      <c r="AB180" t="s">
        <v>36</v>
      </c>
      <c r="AC180" t="s">
        <v>36</v>
      </c>
      <c r="AD180" t="s">
        <v>36</v>
      </c>
      <c r="AE180" t="s">
        <v>36</v>
      </c>
      <c r="AF180" t="s">
        <v>36</v>
      </c>
      <c r="AG180" t="s">
        <v>36</v>
      </c>
      <c r="AH180" t="s">
        <v>36</v>
      </c>
      <c r="AI180" t="s">
        <v>36</v>
      </c>
      <c r="AJ180" t="s">
        <v>36</v>
      </c>
    </row>
    <row r="181" spans="1:36" x14ac:dyDescent="0.35">
      <c r="A181">
        <v>3</v>
      </c>
      <c r="B181" t="s">
        <v>38</v>
      </c>
      <c r="C181" s="1">
        <v>42528.291666666664</v>
      </c>
      <c r="D181" s="1">
        <v>42058.680555555555</v>
      </c>
      <c r="E181" s="1">
        <v>39245.465277777781</v>
      </c>
      <c r="F181" s="1">
        <v>42735.993055555555</v>
      </c>
      <c r="G181" s="1">
        <v>41426</v>
      </c>
      <c r="H181" s="1">
        <v>43059.576388888891</v>
      </c>
      <c r="I181" s="1">
        <v>43050.451388888891</v>
      </c>
      <c r="J181" s="1">
        <v>42995.930555555555</v>
      </c>
      <c r="K181" s="1">
        <v>39600</v>
      </c>
      <c r="L181" s="1">
        <v>42940.347222222219</v>
      </c>
      <c r="M181" s="1">
        <v>43348.625</v>
      </c>
      <c r="N181" s="1">
        <v>42795</v>
      </c>
      <c r="O181" s="1">
        <v>42376.743055555555</v>
      </c>
      <c r="P181" t="s">
        <v>36</v>
      </c>
      <c r="Q181" s="1">
        <v>40215.493055555555</v>
      </c>
      <c r="R181" s="1">
        <v>43329.319444444445</v>
      </c>
      <c r="S181" s="1">
        <v>42735.993055555555</v>
      </c>
      <c r="T181" s="1">
        <v>39873</v>
      </c>
      <c r="U181" s="1">
        <v>43054.631944444445</v>
      </c>
      <c r="V181" s="1">
        <v>42473.520833333336</v>
      </c>
      <c r="W181" s="1">
        <v>39599.958333333336</v>
      </c>
      <c r="X181" s="1">
        <v>42193.618055555555</v>
      </c>
      <c r="Y181" t="s">
        <v>36</v>
      </c>
      <c r="Z181" s="1">
        <v>42648.458333333336</v>
      </c>
      <c r="AA181" s="1">
        <v>43054.611111111109</v>
      </c>
      <c r="AB181" s="1">
        <v>41225.597222222219</v>
      </c>
      <c r="AC181" s="1">
        <v>42485.743055555555</v>
      </c>
      <c r="AD181" s="1">
        <v>42649.430555555555</v>
      </c>
      <c r="AE181" t="s">
        <v>36</v>
      </c>
      <c r="AF181" s="1">
        <v>41513.4375</v>
      </c>
      <c r="AG181" s="1">
        <v>43040</v>
      </c>
      <c r="AH181" s="1">
        <v>39659.506944444445</v>
      </c>
      <c r="AI181" s="1">
        <v>41365</v>
      </c>
      <c r="AJ181" s="1">
        <v>41426</v>
      </c>
    </row>
    <row r="182" spans="1:36" x14ac:dyDescent="0.35">
      <c r="A182">
        <v>73</v>
      </c>
      <c r="B182" t="s">
        <v>286</v>
      </c>
      <c r="C182" s="1">
        <v>42528.291666666664</v>
      </c>
      <c r="D182" t="s">
        <v>36</v>
      </c>
      <c r="E182" s="1">
        <v>43526.347222222219</v>
      </c>
      <c r="F182" s="1">
        <v>43526.319444444445</v>
      </c>
      <c r="G182" t="s">
        <v>36</v>
      </c>
      <c r="H182" s="1">
        <v>43626.604166666664</v>
      </c>
      <c r="I182" s="1">
        <v>43617.604166666664</v>
      </c>
      <c r="J182" t="s">
        <v>36</v>
      </c>
      <c r="K182" s="1">
        <v>42475.736111111109</v>
      </c>
      <c r="L182" t="s">
        <v>36</v>
      </c>
      <c r="M182" s="1">
        <v>43348.625</v>
      </c>
      <c r="N182" t="s">
        <v>36</v>
      </c>
      <c r="O182" t="s">
        <v>36</v>
      </c>
      <c r="P182" t="s">
        <v>36</v>
      </c>
      <c r="Q182" t="s">
        <v>36</v>
      </c>
      <c r="R182" s="1">
        <v>43329.319444444445</v>
      </c>
      <c r="S182" s="1">
        <v>43467.236111111109</v>
      </c>
      <c r="T182" t="s">
        <v>36</v>
      </c>
      <c r="U182" s="1">
        <v>43618.270833333336</v>
      </c>
      <c r="V182" s="1">
        <v>42473.520833333336</v>
      </c>
      <c r="W182" s="1">
        <v>42477.895833333336</v>
      </c>
      <c r="X182" t="s">
        <v>36</v>
      </c>
      <c r="Y182" t="s">
        <v>36</v>
      </c>
      <c r="Z182" s="1">
        <v>42648.458333333336</v>
      </c>
      <c r="AA182" s="1">
        <v>43618.263888888891</v>
      </c>
      <c r="AB182" s="1">
        <v>42486.548611111109</v>
      </c>
      <c r="AC182" s="1">
        <v>42485.743055555555</v>
      </c>
      <c r="AD182" s="1">
        <v>42649.430555555555</v>
      </c>
      <c r="AE182" t="s">
        <v>36</v>
      </c>
      <c r="AF182" t="s">
        <v>36</v>
      </c>
      <c r="AG182" t="s">
        <v>36</v>
      </c>
      <c r="AH182" s="1">
        <v>43556.604166666664</v>
      </c>
      <c r="AI182" t="s">
        <v>36</v>
      </c>
      <c r="AJ182" t="s">
        <v>36</v>
      </c>
    </row>
    <row r="183" spans="1:36" x14ac:dyDescent="0.35">
      <c r="A183">
        <v>72</v>
      </c>
      <c r="B183" t="s">
        <v>285</v>
      </c>
      <c r="C183" s="1">
        <v>42528.291666666664</v>
      </c>
      <c r="D183" t="s">
        <v>36</v>
      </c>
      <c r="E183" s="1">
        <v>43526.347222222219</v>
      </c>
      <c r="F183" s="1">
        <v>43526.319444444445</v>
      </c>
      <c r="G183" t="s">
        <v>36</v>
      </c>
      <c r="H183" s="1">
        <v>43626.604166666664</v>
      </c>
      <c r="I183" s="1">
        <v>43617.604166666664</v>
      </c>
      <c r="J183" t="s">
        <v>36</v>
      </c>
      <c r="K183" s="1">
        <v>42475.736111111109</v>
      </c>
      <c r="L183" t="s">
        <v>36</v>
      </c>
      <c r="M183" s="1">
        <v>43348.625</v>
      </c>
      <c r="N183" t="s">
        <v>36</v>
      </c>
      <c r="O183" t="s">
        <v>36</v>
      </c>
      <c r="P183" t="s">
        <v>36</v>
      </c>
      <c r="Q183" t="s">
        <v>36</v>
      </c>
      <c r="R183" s="1">
        <v>43329.319444444445</v>
      </c>
      <c r="S183" s="1">
        <v>43467.236111111109</v>
      </c>
      <c r="T183" t="s">
        <v>36</v>
      </c>
      <c r="U183" s="1">
        <v>43618.270833333336</v>
      </c>
      <c r="V183" s="1">
        <v>42473.520833333336</v>
      </c>
      <c r="W183" s="1">
        <v>42477.895833333336</v>
      </c>
      <c r="X183" t="s">
        <v>36</v>
      </c>
      <c r="Y183" t="s">
        <v>36</v>
      </c>
      <c r="Z183" s="1">
        <v>42648.458333333336</v>
      </c>
      <c r="AA183" s="1">
        <v>43618.263888888891</v>
      </c>
      <c r="AB183" s="1">
        <v>42486.548611111109</v>
      </c>
      <c r="AC183" s="1">
        <v>42485.743055555555</v>
      </c>
      <c r="AD183" s="1">
        <v>42649.430555555555</v>
      </c>
      <c r="AE183" t="s">
        <v>36</v>
      </c>
      <c r="AF183" t="s">
        <v>36</v>
      </c>
      <c r="AG183" t="s">
        <v>36</v>
      </c>
      <c r="AH183" s="1">
        <v>43556.604166666664</v>
      </c>
      <c r="AI183" t="s">
        <v>36</v>
      </c>
      <c r="AJ183" t="s">
        <v>36</v>
      </c>
    </row>
    <row r="184" spans="1:36" x14ac:dyDescent="0.35">
      <c r="A184">
        <v>71</v>
      </c>
      <c r="B184" t="s">
        <v>284</v>
      </c>
      <c r="C184" s="1">
        <v>42528.291666666664</v>
      </c>
      <c r="D184" t="s">
        <v>36</v>
      </c>
      <c r="E184" s="1">
        <v>43526.347222222219</v>
      </c>
      <c r="F184" s="1">
        <v>43526.319444444445</v>
      </c>
      <c r="G184" t="s">
        <v>36</v>
      </c>
      <c r="H184" s="1">
        <v>43626.604166666664</v>
      </c>
      <c r="I184" s="1">
        <v>43617.604166666664</v>
      </c>
      <c r="J184" t="s">
        <v>36</v>
      </c>
      <c r="K184" s="1">
        <v>42475.736111111109</v>
      </c>
      <c r="L184" t="s">
        <v>36</v>
      </c>
      <c r="M184" s="1">
        <v>43348.625</v>
      </c>
      <c r="N184" t="s">
        <v>36</v>
      </c>
      <c r="O184" t="s">
        <v>36</v>
      </c>
      <c r="P184" t="s">
        <v>36</v>
      </c>
      <c r="Q184" t="s">
        <v>36</v>
      </c>
      <c r="R184" s="1">
        <v>43329.319444444445</v>
      </c>
      <c r="S184" s="1">
        <v>43467.236111111109</v>
      </c>
      <c r="T184" t="s">
        <v>36</v>
      </c>
      <c r="U184" s="1">
        <v>43618.270833333336</v>
      </c>
      <c r="V184" s="1">
        <v>42473.520833333336</v>
      </c>
      <c r="W184" s="1">
        <v>42477.895833333336</v>
      </c>
      <c r="X184" t="s">
        <v>36</v>
      </c>
      <c r="Y184" t="s">
        <v>36</v>
      </c>
      <c r="Z184" s="1">
        <v>42648.458333333336</v>
      </c>
      <c r="AA184" s="1">
        <v>43618.263888888891</v>
      </c>
      <c r="AB184" s="1">
        <v>42486.548611111109</v>
      </c>
      <c r="AC184" s="1">
        <v>42485.743055555555</v>
      </c>
      <c r="AD184" s="1">
        <v>42649.430555555555</v>
      </c>
      <c r="AE184" t="s">
        <v>36</v>
      </c>
      <c r="AF184" t="s">
        <v>36</v>
      </c>
      <c r="AG184" t="s">
        <v>36</v>
      </c>
      <c r="AH184" s="1">
        <v>43556.604166666664</v>
      </c>
      <c r="AI184" t="s">
        <v>36</v>
      </c>
      <c r="AJ184" t="s">
        <v>36</v>
      </c>
    </row>
    <row r="185" spans="1:36" x14ac:dyDescent="0.35">
      <c r="A185">
        <v>25</v>
      </c>
      <c r="B185" t="s">
        <v>60</v>
      </c>
      <c r="C185" s="1">
        <v>42528.291666666664</v>
      </c>
      <c r="D185" s="1">
        <v>42058.680555555555</v>
      </c>
      <c r="E185" t="s">
        <v>36</v>
      </c>
      <c r="F185" t="s">
        <v>36</v>
      </c>
      <c r="G185" s="1">
        <v>41426</v>
      </c>
      <c r="H185" t="s">
        <v>36</v>
      </c>
      <c r="I185" t="s">
        <v>36</v>
      </c>
      <c r="J185" t="s">
        <v>36</v>
      </c>
      <c r="K185" s="1">
        <v>39600</v>
      </c>
      <c r="L185" t="s">
        <v>36</v>
      </c>
      <c r="M185" s="1">
        <v>43348.625</v>
      </c>
      <c r="N185" s="1">
        <v>42795</v>
      </c>
      <c r="O185" s="1">
        <v>42376.743055555555</v>
      </c>
      <c r="P185" t="s">
        <v>36</v>
      </c>
      <c r="Q185" s="1">
        <v>40911.534722222219</v>
      </c>
      <c r="R185" t="s">
        <v>36</v>
      </c>
      <c r="S185" t="s">
        <v>36</v>
      </c>
      <c r="T185" s="1">
        <v>39873</v>
      </c>
      <c r="U185" t="s">
        <v>36</v>
      </c>
      <c r="V185" s="1">
        <v>42473.520833333336</v>
      </c>
      <c r="W185" t="s">
        <v>36</v>
      </c>
      <c r="X185" s="1">
        <v>42193.618055555555</v>
      </c>
      <c r="Y185" t="s">
        <v>36</v>
      </c>
      <c r="Z185" s="1">
        <v>42648.458333333336</v>
      </c>
      <c r="AA185" t="s">
        <v>36</v>
      </c>
      <c r="AB185" t="s">
        <v>36</v>
      </c>
      <c r="AC185" s="1">
        <v>42485.743055555555</v>
      </c>
      <c r="AD185" s="1">
        <v>42649.430555555555</v>
      </c>
      <c r="AE185" t="s">
        <v>36</v>
      </c>
      <c r="AF185" s="1">
        <v>41513.4375</v>
      </c>
      <c r="AG185" s="1">
        <v>43040</v>
      </c>
      <c r="AH185" t="s">
        <v>36</v>
      </c>
      <c r="AI185" s="1">
        <v>41365</v>
      </c>
      <c r="AJ185" s="1">
        <v>41426</v>
      </c>
    </row>
    <row r="186" spans="1:36" x14ac:dyDescent="0.35">
      <c r="A186">
        <v>328</v>
      </c>
      <c r="B186" t="s">
        <v>196</v>
      </c>
      <c r="C186" t="s">
        <v>36</v>
      </c>
      <c r="D186" t="s">
        <v>36</v>
      </c>
      <c r="E186" t="s">
        <v>36</v>
      </c>
      <c r="F186" t="s">
        <v>36</v>
      </c>
      <c r="G186" s="1">
        <v>41426</v>
      </c>
      <c r="H186" t="s">
        <v>36</v>
      </c>
      <c r="I186" t="s">
        <v>36</v>
      </c>
      <c r="J186" t="s">
        <v>36</v>
      </c>
      <c r="K186" t="s">
        <v>36</v>
      </c>
      <c r="L186" t="s">
        <v>36</v>
      </c>
      <c r="M186" t="s">
        <v>36</v>
      </c>
      <c r="N186" t="s">
        <v>36</v>
      </c>
      <c r="O186" t="s">
        <v>36</v>
      </c>
      <c r="P186" s="1">
        <v>41426</v>
      </c>
      <c r="Q186" t="s">
        <v>36</v>
      </c>
      <c r="R186" t="s">
        <v>36</v>
      </c>
      <c r="S186" t="s">
        <v>36</v>
      </c>
      <c r="T186" s="1">
        <v>39873</v>
      </c>
      <c r="U186" t="s">
        <v>36</v>
      </c>
      <c r="V186" t="s">
        <v>36</v>
      </c>
      <c r="W186" t="s">
        <v>36</v>
      </c>
      <c r="X186" t="s">
        <v>36</v>
      </c>
      <c r="Y186" t="s">
        <v>36</v>
      </c>
      <c r="Z186" t="s">
        <v>36</v>
      </c>
      <c r="AA186" t="s">
        <v>36</v>
      </c>
      <c r="AB186" t="s">
        <v>36</v>
      </c>
      <c r="AC186" t="s">
        <v>36</v>
      </c>
      <c r="AD186" t="s">
        <v>36</v>
      </c>
      <c r="AE186" t="s">
        <v>36</v>
      </c>
      <c r="AF186" s="1">
        <v>41513.4375</v>
      </c>
      <c r="AG186" s="1">
        <v>43040</v>
      </c>
      <c r="AH186" t="s">
        <v>36</v>
      </c>
      <c r="AI186" s="1">
        <v>41365</v>
      </c>
      <c r="AJ186" s="1">
        <v>41426</v>
      </c>
    </row>
    <row r="187" spans="1:36" x14ac:dyDescent="0.35">
      <c r="A187">
        <v>322</v>
      </c>
      <c r="B187" t="s">
        <v>190</v>
      </c>
      <c r="C187" t="s">
        <v>36</v>
      </c>
      <c r="D187" t="s">
        <v>36</v>
      </c>
      <c r="E187" t="s">
        <v>36</v>
      </c>
      <c r="F187" t="s">
        <v>36</v>
      </c>
      <c r="G187" s="1">
        <v>41426</v>
      </c>
      <c r="H187" t="s">
        <v>36</v>
      </c>
      <c r="I187" t="s">
        <v>36</v>
      </c>
      <c r="J187" t="s">
        <v>36</v>
      </c>
      <c r="K187" t="s">
        <v>36</v>
      </c>
      <c r="L187" t="s">
        <v>36</v>
      </c>
      <c r="M187" t="s">
        <v>36</v>
      </c>
      <c r="N187" t="s">
        <v>36</v>
      </c>
      <c r="O187" t="s">
        <v>36</v>
      </c>
      <c r="P187" t="s">
        <v>36</v>
      </c>
      <c r="Q187" t="s">
        <v>36</v>
      </c>
      <c r="R187" t="s">
        <v>36</v>
      </c>
      <c r="S187" t="s">
        <v>36</v>
      </c>
      <c r="T187" s="1">
        <v>39873</v>
      </c>
      <c r="U187" t="s">
        <v>36</v>
      </c>
      <c r="V187" t="s">
        <v>36</v>
      </c>
      <c r="W187" t="s">
        <v>36</v>
      </c>
      <c r="X187" t="s">
        <v>36</v>
      </c>
      <c r="Y187" t="s">
        <v>36</v>
      </c>
      <c r="Z187" t="s">
        <v>36</v>
      </c>
      <c r="AA187" t="s">
        <v>36</v>
      </c>
      <c r="AB187" t="s">
        <v>36</v>
      </c>
      <c r="AC187" t="s">
        <v>36</v>
      </c>
      <c r="AD187" t="s">
        <v>36</v>
      </c>
      <c r="AE187" t="s">
        <v>36</v>
      </c>
      <c r="AF187" s="1">
        <v>41513.4375</v>
      </c>
      <c r="AG187" s="1">
        <v>43040</v>
      </c>
      <c r="AH187" t="s">
        <v>36</v>
      </c>
      <c r="AI187" s="1">
        <v>41365</v>
      </c>
      <c r="AJ187" s="1">
        <v>41426</v>
      </c>
    </row>
    <row r="188" spans="1:36" x14ac:dyDescent="0.35">
      <c r="A188">
        <v>278</v>
      </c>
      <c r="B188" t="s">
        <v>166</v>
      </c>
      <c r="C188" s="1">
        <v>42544.520833333336</v>
      </c>
      <c r="D188" s="1">
        <v>42486.298611111109</v>
      </c>
      <c r="E188" t="s">
        <v>36</v>
      </c>
      <c r="F188" t="s">
        <v>36</v>
      </c>
      <c r="G188" t="s">
        <v>36</v>
      </c>
      <c r="H188" t="s">
        <v>36</v>
      </c>
      <c r="I188" t="s">
        <v>36</v>
      </c>
      <c r="J188" t="s">
        <v>36</v>
      </c>
      <c r="K188" s="1">
        <v>42475.736111111109</v>
      </c>
      <c r="L188" t="s">
        <v>36</v>
      </c>
      <c r="M188" t="s">
        <v>36</v>
      </c>
      <c r="N188" t="s">
        <v>36</v>
      </c>
      <c r="O188" s="1">
        <v>42376.743055555555</v>
      </c>
      <c r="P188" t="s">
        <v>36</v>
      </c>
      <c r="Q188" t="s">
        <v>36</v>
      </c>
      <c r="R188" t="s">
        <v>36</v>
      </c>
      <c r="S188" t="s">
        <v>36</v>
      </c>
      <c r="T188" t="s">
        <v>36</v>
      </c>
      <c r="U188" t="s">
        <v>36</v>
      </c>
      <c r="V188" s="1">
        <v>42473.520833333336</v>
      </c>
      <c r="W188" t="s">
        <v>36</v>
      </c>
      <c r="X188" s="1">
        <v>42499.215277777781</v>
      </c>
      <c r="Y188" t="s">
        <v>36</v>
      </c>
      <c r="Z188" s="1">
        <v>42648.458333333336</v>
      </c>
      <c r="AA188" t="s">
        <v>36</v>
      </c>
      <c r="AB188" t="s">
        <v>36</v>
      </c>
      <c r="AC188" s="1">
        <v>42485.743055555555</v>
      </c>
      <c r="AD188" s="1">
        <v>42649.430555555555</v>
      </c>
      <c r="AE188" t="s">
        <v>36</v>
      </c>
      <c r="AF188" t="s">
        <v>36</v>
      </c>
      <c r="AG188" t="s">
        <v>36</v>
      </c>
      <c r="AH188" t="s">
        <v>36</v>
      </c>
      <c r="AI188" t="s">
        <v>36</v>
      </c>
      <c r="AJ188" t="s">
        <v>36</v>
      </c>
    </row>
    <row r="189" spans="1:36" x14ac:dyDescent="0.35">
      <c r="A189">
        <v>308</v>
      </c>
      <c r="B189" t="s">
        <v>185</v>
      </c>
      <c r="C189" t="s">
        <v>36</v>
      </c>
      <c r="D189" s="1">
        <v>42486.298611111109</v>
      </c>
      <c r="E189" t="s">
        <v>36</v>
      </c>
      <c r="F189" t="s">
        <v>36</v>
      </c>
      <c r="G189" t="s">
        <v>36</v>
      </c>
      <c r="H189" t="s">
        <v>36</v>
      </c>
      <c r="I189" t="s">
        <v>36</v>
      </c>
      <c r="J189" t="s">
        <v>36</v>
      </c>
      <c r="K189" t="s">
        <v>36</v>
      </c>
      <c r="L189" t="s">
        <v>36</v>
      </c>
      <c r="M189" t="s">
        <v>36</v>
      </c>
      <c r="N189" t="s">
        <v>36</v>
      </c>
      <c r="O189" t="s">
        <v>36</v>
      </c>
      <c r="P189" t="s">
        <v>36</v>
      </c>
      <c r="Q189" t="s">
        <v>36</v>
      </c>
      <c r="R189" t="s">
        <v>36</v>
      </c>
      <c r="S189" t="s">
        <v>36</v>
      </c>
      <c r="T189" t="s">
        <v>36</v>
      </c>
      <c r="U189" t="s">
        <v>36</v>
      </c>
      <c r="V189" t="s">
        <v>36</v>
      </c>
      <c r="W189" t="s">
        <v>36</v>
      </c>
      <c r="X189" s="1">
        <v>42499.215277777781</v>
      </c>
      <c r="Y189" t="s">
        <v>36</v>
      </c>
      <c r="Z189" t="s">
        <v>36</v>
      </c>
      <c r="AA189" t="s">
        <v>36</v>
      </c>
      <c r="AB189" t="s">
        <v>36</v>
      </c>
      <c r="AC189" t="s">
        <v>36</v>
      </c>
      <c r="AD189" t="s">
        <v>36</v>
      </c>
      <c r="AE189" t="s">
        <v>36</v>
      </c>
      <c r="AF189" t="s">
        <v>36</v>
      </c>
      <c r="AG189" t="s">
        <v>36</v>
      </c>
      <c r="AH189" t="s">
        <v>36</v>
      </c>
      <c r="AI189" t="s">
        <v>36</v>
      </c>
      <c r="AJ189" t="s">
        <v>36</v>
      </c>
    </row>
    <row r="190" spans="1:36" x14ac:dyDescent="0.35">
      <c r="A190">
        <v>52</v>
      </c>
      <c r="B190" t="s">
        <v>87</v>
      </c>
      <c r="C190" t="s">
        <v>36</v>
      </c>
      <c r="D190" s="1">
        <v>42058.680555555555</v>
      </c>
      <c r="E190" t="s">
        <v>36</v>
      </c>
      <c r="F190" t="s">
        <v>36</v>
      </c>
      <c r="G190" s="1">
        <v>41426</v>
      </c>
      <c r="H190" t="s">
        <v>36</v>
      </c>
      <c r="I190" t="s">
        <v>36</v>
      </c>
      <c r="J190" t="s">
        <v>36</v>
      </c>
      <c r="K190" t="s">
        <v>36</v>
      </c>
      <c r="L190" t="s">
        <v>36</v>
      </c>
      <c r="M190" s="1">
        <v>43348.631944444445</v>
      </c>
      <c r="N190" s="1">
        <v>42795</v>
      </c>
      <c r="O190" s="1">
        <v>42376.743055555555</v>
      </c>
      <c r="P190" s="1">
        <v>41426</v>
      </c>
      <c r="Q190" s="1">
        <v>40215.493055555555</v>
      </c>
      <c r="R190" t="s">
        <v>36</v>
      </c>
      <c r="S190" t="s">
        <v>36</v>
      </c>
      <c r="T190" s="1">
        <v>39873</v>
      </c>
      <c r="U190" t="s">
        <v>36</v>
      </c>
      <c r="V190" t="s">
        <v>36</v>
      </c>
      <c r="W190" t="s">
        <v>36</v>
      </c>
      <c r="X190" s="1">
        <v>42193.618055555555</v>
      </c>
      <c r="Y190" t="s">
        <v>36</v>
      </c>
      <c r="Z190" t="s">
        <v>36</v>
      </c>
      <c r="AA190" t="s">
        <v>36</v>
      </c>
      <c r="AB190" t="s">
        <v>36</v>
      </c>
      <c r="AC190" t="s">
        <v>36</v>
      </c>
      <c r="AD190" t="s">
        <v>36</v>
      </c>
      <c r="AE190" t="s">
        <v>36</v>
      </c>
      <c r="AF190" s="1">
        <v>41513.4375</v>
      </c>
      <c r="AG190" s="1">
        <v>43040</v>
      </c>
      <c r="AH190" t="s">
        <v>36</v>
      </c>
      <c r="AI190" s="1">
        <v>41365</v>
      </c>
      <c r="AJ190" s="1">
        <v>41426</v>
      </c>
    </row>
    <row r="191" spans="1:36" x14ac:dyDescent="0.35">
      <c r="A191">
        <v>403</v>
      </c>
      <c r="B191" t="s">
        <v>230</v>
      </c>
      <c r="C191" t="s">
        <v>36</v>
      </c>
      <c r="D191" t="s">
        <v>36</v>
      </c>
      <c r="E191" t="s">
        <v>36</v>
      </c>
      <c r="F191" t="s">
        <v>36</v>
      </c>
      <c r="G191" s="1">
        <v>41426</v>
      </c>
      <c r="H191" t="s">
        <v>36</v>
      </c>
      <c r="I191" t="s">
        <v>36</v>
      </c>
      <c r="J191" t="s">
        <v>36</v>
      </c>
      <c r="K191" t="s">
        <v>36</v>
      </c>
      <c r="L191" t="s">
        <v>36</v>
      </c>
      <c r="M191" t="s">
        <v>36</v>
      </c>
      <c r="N191" t="s">
        <v>36</v>
      </c>
      <c r="O191" t="s">
        <v>36</v>
      </c>
      <c r="P191" s="1">
        <v>41426</v>
      </c>
      <c r="Q191" t="s">
        <v>36</v>
      </c>
      <c r="R191" t="s">
        <v>36</v>
      </c>
      <c r="S191" t="s">
        <v>36</v>
      </c>
      <c r="T191" s="1">
        <v>39873</v>
      </c>
      <c r="U191" t="s">
        <v>36</v>
      </c>
      <c r="V191" t="s">
        <v>36</v>
      </c>
      <c r="W191" t="s">
        <v>36</v>
      </c>
      <c r="X191" t="s">
        <v>36</v>
      </c>
      <c r="Y191" t="s">
        <v>36</v>
      </c>
      <c r="Z191" t="s">
        <v>36</v>
      </c>
      <c r="AA191" t="s">
        <v>36</v>
      </c>
      <c r="AB191" t="s">
        <v>36</v>
      </c>
      <c r="AC191" t="s">
        <v>36</v>
      </c>
      <c r="AD191" t="s">
        <v>36</v>
      </c>
      <c r="AE191" t="s">
        <v>36</v>
      </c>
      <c r="AF191" s="1">
        <v>41513.4375</v>
      </c>
      <c r="AG191" s="1">
        <v>43040</v>
      </c>
      <c r="AH191" t="s">
        <v>36</v>
      </c>
      <c r="AI191" s="1">
        <v>41365</v>
      </c>
      <c r="AJ191" s="1">
        <v>41426</v>
      </c>
    </row>
    <row r="192" spans="1:36" x14ac:dyDescent="0.35">
      <c r="A192">
        <v>402</v>
      </c>
      <c r="B192" t="s">
        <v>229</v>
      </c>
      <c r="C192" t="s">
        <v>36</v>
      </c>
      <c r="D192" t="s">
        <v>36</v>
      </c>
      <c r="E192" t="s">
        <v>36</v>
      </c>
      <c r="F192" t="s">
        <v>36</v>
      </c>
      <c r="G192" s="1">
        <v>41426</v>
      </c>
      <c r="H192" t="s">
        <v>36</v>
      </c>
      <c r="I192" t="s">
        <v>36</v>
      </c>
      <c r="J192" t="s">
        <v>36</v>
      </c>
      <c r="K192" t="s">
        <v>36</v>
      </c>
      <c r="L192" t="s">
        <v>36</v>
      </c>
      <c r="M192" t="s">
        <v>36</v>
      </c>
      <c r="N192" t="s">
        <v>36</v>
      </c>
      <c r="O192" t="s">
        <v>36</v>
      </c>
      <c r="P192" s="1">
        <v>41426</v>
      </c>
      <c r="Q192" t="s">
        <v>36</v>
      </c>
      <c r="R192" t="s">
        <v>36</v>
      </c>
      <c r="S192" t="s">
        <v>36</v>
      </c>
      <c r="T192" s="1">
        <v>39873</v>
      </c>
      <c r="U192" t="s">
        <v>36</v>
      </c>
      <c r="V192" t="s">
        <v>36</v>
      </c>
      <c r="W192" t="s">
        <v>36</v>
      </c>
      <c r="X192" t="s">
        <v>36</v>
      </c>
      <c r="Y192" t="s">
        <v>36</v>
      </c>
      <c r="Z192" t="s">
        <v>36</v>
      </c>
      <c r="AA192" t="s">
        <v>36</v>
      </c>
      <c r="AB192" t="s">
        <v>36</v>
      </c>
      <c r="AC192" t="s">
        <v>36</v>
      </c>
      <c r="AD192" t="s">
        <v>36</v>
      </c>
      <c r="AE192" t="s">
        <v>36</v>
      </c>
      <c r="AF192" s="1">
        <v>41513.4375</v>
      </c>
      <c r="AG192" s="1">
        <v>43040</v>
      </c>
      <c r="AH192" t="s">
        <v>36</v>
      </c>
      <c r="AI192" s="1">
        <v>41365</v>
      </c>
      <c r="AJ192" s="1">
        <v>41426</v>
      </c>
    </row>
    <row r="193" spans="1:36" x14ac:dyDescent="0.35">
      <c r="A193">
        <v>400</v>
      </c>
      <c r="B193" t="s">
        <v>227</v>
      </c>
      <c r="C193" t="s">
        <v>36</v>
      </c>
      <c r="D193" t="s">
        <v>36</v>
      </c>
      <c r="E193" t="s">
        <v>36</v>
      </c>
      <c r="F193" t="s">
        <v>36</v>
      </c>
      <c r="G193" s="1">
        <v>41426</v>
      </c>
      <c r="H193" t="s">
        <v>36</v>
      </c>
      <c r="I193" t="s">
        <v>36</v>
      </c>
      <c r="J193" t="s">
        <v>36</v>
      </c>
      <c r="K193" t="s">
        <v>36</v>
      </c>
      <c r="L193" t="s">
        <v>36</v>
      </c>
      <c r="M193" t="s">
        <v>36</v>
      </c>
      <c r="N193" t="s">
        <v>36</v>
      </c>
      <c r="O193" t="s">
        <v>36</v>
      </c>
      <c r="P193" s="1">
        <v>41426</v>
      </c>
      <c r="Q193" t="s">
        <v>36</v>
      </c>
      <c r="R193" t="s">
        <v>36</v>
      </c>
      <c r="S193" t="s">
        <v>36</v>
      </c>
      <c r="T193" s="1">
        <v>39873</v>
      </c>
      <c r="U193" t="s">
        <v>36</v>
      </c>
      <c r="V193" t="s">
        <v>36</v>
      </c>
      <c r="W193" t="s">
        <v>36</v>
      </c>
      <c r="X193" t="s">
        <v>36</v>
      </c>
      <c r="Y193" t="s">
        <v>36</v>
      </c>
      <c r="Z193" t="s">
        <v>36</v>
      </c>
      <c r="AA193" t="s">
        <v>36</v>
      </c>
      <c r="AB193" t="s">
        <v>36</v>
      </c>
      <c r="AC193" t="s">
        <v>36</v>
      </c>
      <c r="AD193" t="s">
        <v>36</v>
      </c>
      <c r="AE193" t="s">
        <v>36</v>
      </c>
      <c r="AF193" s="1">
        <v>41513.4375</v>
      </c>
      <c r="AG193" s="1">
        <v>43040</v>
      </c>
      <c r="AH193" t="s">
        <v>36</v>
      </c>
      <c r="AI193" s="1">
        <v>41365</v>
      </c>
      <c r="AJ193" s="1">
        <v>41426</v>
      </c>
    </row>
    <row r="194" spans="1:36" x14ac:dyDescent="0.35">
      <c r="A194">
        <v>401</v>
      </c>
      <c r="B194" t="s">
        <v>228</v>
      </c>
      <c r="C194" t="s">
        <v>36</v>
      </c>
      <c r="D194" t="s">
        <v>36</v>
      </c>
      <c r="E194" t="s">
        <v>36</v>
      </c>
      <c r="F194" t="s">
        <v>36</v>
      </c>
      <c r="G194" s="1">
        <v>41426</v>
      </c>
      <c r="H194" t="s">
        <v>36</v>
      </c>
      <c r="I194" t="s">
        <v>36</v>
      </c>
      <c r="J194" t="s">
        <v>36</v>
      </c>
      <c r="K194" t="s">
        <v>36</v>
      </c>
      <c r="L194" t="s">
        <v>36</v>
      </c>
      <c r="M194" t="s">
        <v>36</v>
      </c>
      <c r="N194" t="s">
        <v>36</v>
      </c>
      <c r="O194" t="s">
        <v>36</v>
      </c>
      <c r="P194" s="1">
        <v>41426</v>
      </c>
      <c r="Q194" t="s">
        <v>36</v>
      </c>
      <c r="R194" t="s">
        <v>36</v>
      </c>
      <c r="S194" t="s">
        <v>36</v>
      </c>
      <c r="T194" s="1">
        <v>39873</v>
      </c>
      <c r="U194" t="s">
        <v>36</v>
      </c>
      <c r="V194" t="s">
        <v>36</v>
      </c>
      <c r="W194" t="s">
        <v>36</v>
      </c>
      <c r="X194" t="s">
        <v>36</v>
      </c>
      <c r="Y194" t="s">
        <v>36</v>
      </c>
      <c r="Z194" t="s">
        <v>36</v>
      </c>
      <c r="AA194" t="s">
        <v>36</v>
      </c>
      <c r="AB194" t="s">
        <v>36</v>
      </c>
      <c r="AC194" t="s">
        <v>36</v>
      </c>
      <c r="AD194" t="s">
        <v>36</v>
      </c>
      <c r="AE194" t="s">
        <v>36</v>
      </c>
      <c r="AF194" s="1">
        <v>41513.4375</v>
      </c>
      <c r="AG194" s="1">
        <v>43040</v>
      </c>
      <c r="AH194" t="s">
        <v>36</v>
      </c>
      <c r="AI194" s="1">
        <v>41365</v>
      </c>
      <c r="AJ194" s="1">
        <v>41426</v>
      </c>
    </row>
    <row r="195" spans="1:36" x14ac:dyDescent="0.35">
      <c r="A195">
        <v>1676</v>
      </c>
      <c r="B195" t="s">
        <v>274</v>
      </c>
      <c r="C195" t="s">
        <v>36</v>
      </c>
      <c r="D195" t="s">
        <v>36</v>
      </c>
      <c r="E195" t="s">
        <v>36</v>
      </c>
      <c r="F195" t="s">
        <v>36</v>
      </c>
      <c r="G195" t="s">
        <v>36</v>
      </c>
      <c r="H195" t="s">
        <v>36</v>
      </c>
      <c r="I195" t="s">
        <v>36</v>
      </c>
      <c r="J195" t="s">
        <v>36</v>
      </c>
      <c r="K195" t="s">
        <v>36</v>
      </c>
      <c r="L195" t="s">
        <v>36</v>
      </c>
      <c r="M195" t="s">
        <v>36</v>
      </c>
      <c r="N195" t="s">
        <v>36</v>
      </c>
      <c r="O195" t="s">
        <v>36</v>
      </c>
      <c r="P195" t="s">
        <v>36</v>
      </c>
      <c r="Q195" t="s">
        <v>36</v>
      </c>
      <c r="R195" t="s">
        <v>36</v>
      </c>
      <c r="S195" t="s">
        <v>36</v>
      </c>
      <c r="T195" t="s">
        <v>36</v>
      </c>
      <c r="U195" t="s">
        <v>36</v>
      </c>
      <c r="V195" t="s">
        <v>36</v>
      </c>
      <c r="W195" t="s">
        <v>36</v>
      </c>
      <c r="X195" t="s">
        <v>36</v>
      </c>
      <c r="Y195" t="s">
        <v>36</v>
      </c>
      <c r="Z195" t="s">
        <v>36</v>
      </c>
      <c r="AA195" t="s">
        <v>36</v>
      </c>
      <c r="AB195" t="s">
        <v>36</v>
      </c>
      <c r="AC195" t="s">
        <v>36</v>
      </c>
      <c r="AD195" t="s">
        <v>36</v>
      </c>
      <c r="AE195" t="s">
        <v>36</v>
      </c>
      <c r="AF195" t="s">
        <v>36</v>
      </c>
      <c r="AG195" t="s">
        <v>36</v>
      </c>
      <c r="AH195" t="s">
        <v>36</v>
      </c>
      <c r="AI195" t="s">
        <v>36</v>
      </c>
      <c r="AJ195" t="s">
        <v>36</v>
      </c>
    </row>
    <row r="196" spans="1:36" x14ac:dyDescent="0.35">
      <c r="A196">
        <v>126</v>
      </c>
      <c r="B196" t="s">
        <v>117</v>
      </c>
      <c r="C196" t="s">
        <v>36</v>
      </c>
      <c r="D196" s="1">
        <v>42486.298611111109</v>
      </c>
      <c r="E196" t="s">
        <v>36</v>
      </c>
      <c r="F196" t="s">
        <v>36</v>
      </c>
      <c r="G196" t="s">
        <v>36</v>
      </c>
      <c r="H196" t="s">
        <v>36</v>
      </c>
      <c r="I196" t="s">
        <v>36</v>
      </c>
      <c r="J196" t="s">
        <v>36</v>
      </c>
      <c r="K196" t="s">
        <v>36</v>
      </c>
      <c r="L196" t="s">
        <v>36</v>
      </c>
      <c r="M196" t="s">
        <v>36</v>
      </c>
      <c r="N196" t="s">
        <v>36</v>
      </c>
      <c r="O196" s="1">
        <v>42376.743055555555</v>
      </c>
      <c r="P196" t="s">
        <v>36</v>
      </c>
      <c r="Q196" t="s">
        <v>36</v>
      </c>
      <c r="R196" t="s">
        <v>36</v>
      </c>
      <c r="S196" t="s">
        <v>36</v>
      </c>
      <c r="T196" t="s">
        <v>36</v>
      </c>
      <c r="U196" t="s">
        <v>36</v>
      </c>
      <c r="V196" t="s">
        <v>36</v>
      </c>
      <c r="W196" t="s">
        <v>36</v>
      </c>
      <c r="X196" t="s">
        <v>36</v>
      </c>
      <c r="Y196" t="s">
        <v>36</v>
      </c>
      <c r="Z196" t="s">
        <v>36</v>
      </c>
      <c r="AA196" t="s">
        <v>36</v>
      </c>
      <c r="AB196" t="s">
        <v>36</v>
      </c>
      <c r="AC196" t="s">
        <v>36</v>
      </c>
      <c r="AD196" t="s">
        <v>36</v>
      </c>
      <c r="AE196" t="s">
        <v>36</v>
      </c>
      <c r="AF196" t="s">
        <v>36</v>
      </c>
      <c r="AG196" t="s">
        <v>36</v>
      </c>
      <c r="AH196" t="s">
        <v>36</v>
      </c>
      <c r="AI196" t="s">
        <v>36</v>
      </c>
      <c r="AJ196" t="s">
        <v>36</v>
      </c>
    </row>
    <row r="197" spans="1:36" x14ac:dyDescent="0.35">
      <c r="A197">
        <v>127</v>
      </c>
      <c r="B197" t="s">
        <v>118</v>
      </c>
      <c r="C197" t="s">
        <v>36</v>
      </c>
      <c r="D197" s="1">
        <v>42486.298611111109</v>
      </c>
      <c r="E197" t="s">
        <v>36</v>
      </c>
      <c r="F197" t="s">
        <v>36</v>
      </c>
      <c r="G197" t="s">
        <v>36</v>
      </c>
      <c r="H197" t="s">
        <v>36</v>
      </c>
      <c r="I197" t="s">
        <v>36</v>
      </c>
      <c r="J197" t="s">
        <v>36</v>
      </c>
      <c r="K197" t="s">
        <v>36</v>
      </c>
      <c r="L197" t="s">
        <v>36</v>
      </c>
      <c r="M197" t="s">
        <v>36</v>
      </c>
      <c r="N197" t="s">
        <v>36</v>
      </c>
      <c r="O197" s="1">
        <v>42376.743055555555</v>
      </c>
      <c r="P197" t="s">
        <v>36</v>
      </c>
      <c r="Q197" t="s">
        <v>36</v>
      </c>
      <c r="R197" t="s">
        <v>36</v>
      </c>
      <c r="S197" t="s">
        <v>36</v>
      </c>
      <c r="T197" t="s">
        <v>36</v>
      </c>
      <c r="U197" t="s">
        <v>36</v>
      </c>
      <c r="V197" t="s">
        <v>36</v>
      </c>
      <c r="W197" t="s">
        <v>36</v>
      </c>
      <c r="X197" t="s">
        <v>36</v>
      </c>
      <c r="Y197" t="s">
        <v>36</v>
      </c>
      <c r="Z197" t="s">
        <v>36</v>
      </c>
      <c r="AA197" t="s">
        <v>36</v>
      </c>
      <c r="AB197" t="s">
        <v>36</v>
      </c>
      <c r="AC197" t="s">
        <v>36</v>
      </c>
      <c r="AD197" t="s">
        <v>36</v>
      </c>
      <c r="AE197" t="s">
        <v>36</v>
      </c>
      <c r="AF197" t="s">
        <v>36</v>
      </c>
      <c r="AG197" t="s">
        <v>36</v>
      </c>
      <c r="AH197" t="s">
        <v>36</v>
      </c>
      <c r="AI197" t="s">
        <v>36</v>
      </c>
      <c r="AJ197" t="s">
        <v>36</v>
      </c>
    </row>
    <row r="198" spans="1:36" x14ac:dyDescent="0.35">
      <c r="A198">
        <v>128</v>
      </c>
      <c r="B198" t="s">
        <v>119</v>
      </c>
      <c r="C198" t="s">
        <v>36</v>
      </c>
      <c r="D198" s="1">
        <v>42486.298611111109</v>
      </c>
      <c r="E198" t="s">
        <v>36</v>
      </c>
      <c r="F198" t="s">
        <v>36</v>
      </c>
      <c r="G198" t="s">
        <v>36</v>
      </c>
      <c r="H198" t="s">
        <v>36</v>
      </c>
      <c r="I198" t="s">
        <v>36</v>
      </c>
      <c r="J198" t="s">
        <v>36</v>
      </c>
      <c r="K198" t="s">
        <v>36</v>
      </c>
      <c r="L198" t="s">
        <v>36</v>
      </c>
      <c r="M198" t="s">
        <v>36</v>
      </c>
      <c r="N198" t="s">
        <v>36</v>
      </c>
      <c r="O198" s="1">
        <v>42376.743055555555</v>
      </c>
      <c r="P198" t="s">
        <v>36</v>
      </c>
      <c r="Q198" t="s">
        <v>36</v>
      </c>
      <c r="R198" t="s">
        <v>36</v>
      </c>
      <c r="S198" t="s">
        <v>36</v>
      </c>
      <c r="T198" t="s">
        <v>36</v>
      </c>
      <c r="U198" t="s">
        <v>36</v>
      </c>
      <c r="V198" t="s">
        <v>36</v>
      </c>
      <c r="W198" t="s">
        <v>36</v>
      </c>
      <c r="X198" t="s">
        <v>36</v>
      </c>
      <c r="Y198" t="s">
        <v>36</v>
      </c>
      <c r="Z198" t="s">
        <v>36</v>
      </c>
      <c r="AA198" t="s">
        <v>36</v>
      </c>
      <c r="AB198" t="s">
        <v>36</v>
      </c>
      <c r="AC198" t="s">
        <v>36</v>
      </c>
      <c r="AD198" t="s">
        <v>36</v>
      </c>
      <c r="AE198" t="s">
        <v>36</v>
      </c>
      <c r="AF198" t="s">
        <v>36</v>
      </c>
      <c r="AG198" t="s">
        <v>36</v>
      </c>
      <c r="AH198" t="s">
        <v>36</v>
      </c>
      <c r="AI198" t="s">
        <v>36</v>
      </c>
      <c r="AJ198" t="s">
        <v>36</v>
      </c>
    </row>
    <row r="199" spans="1:36" x14ac:dyDescent="0.35">
      <c r="A199">
        <v>452</v>
      </c>
      <c r="B199" t="s">
        <v>249</v>
      </c>
      <c r="C199" t="s">
        <v>36</v>
      </c>
      <c r="D199" t="s">
        <v>36</v>
      </c>
      <c r="E199" t="s">
        <v>36</v>
      </c>
      <c r="F199" t="s">
        <v>36</v>
      </c>
      <c r="G199" s="1">
        <v>41426</v>
      </c>
      <c r="H199" t="s">
        <v>36</v>
      </c>
      <c r="I199" t="s">
        <v>36</v>
      </c>
      <c r="J199" t="s">
        <v>36</v>
      </c>
      <c r="K199" t="s">
        <v>36</v>
      </c>
      <c r="L199" t="s">
        <v>36</v>
      </c>
      <c r="M199" t="s">
        <v>36</v>
      </c>
      <c r="N199" t="s">
        <v>36</v>
      </c>
      <c r="O199" t="s">
        <v>36</v>
      </c>
      <c r="P199" t="s">
        <v>36</v>
      </c>
      <c r="Q199" t="s">
        <v>36</v>
      </c>
      <c r="R199" t="s">
        <v>36</v>
      </c>
      <c r="S199" t="s">
        <v>36</v>
      </c>
      <c r="T199" s="1">
        <v>39873</v>
      </c>
      <c r="U199" t="s">
        <v>36</v>
      </c>
      <c r="V199" t="s">
        <v>36</v>
      </c>
      <c r="W199" t="s">
        <v>36</v>
      </c>
      <c r="X199" t="s">
        <v>36</v>
      </c>
      <c r="Y199" t="s">
        <v>36</v>
      </c>
      <c r="Z199" t="s">
        <v>36</v>
      </c>
      <c r="AA199" t="s">
        <v>36</v>
      </c>
      <c r="AB199" t="s">
        <v>36</v>
      </c>
      <c r="AC199" t="s">
        <v>36</v>
      </c>
      <c r="AD199" t="s">
        <v>36</v>
      </c>
      <c r="AE199" t="s">
        <v>36</v>
      </c>
      <c r="AF199" s="1">
        <v>41513.4375</v>
      </c>
      <c r="AG199" t="s">
        <v>36</v>
      </c>
      <c r="AH199" t="s">
        <v>36</v>
      </c>
      <c r="AI199" s="1">
        <v>41365</v>
      </c>
      <c r="AJ199" s="1">
        <v>41426</v>
      </c>
    </row>
    <row r="200" spans="1:36" x14ac:dyDescent="0.35">
      <c r="A200">
        <v>453</v>
      </c>
      <c r="B200" t="s">
        <v>250</v>
      </c>
      <c r="C200" t="s">
        <v>36</v>
      </c>
      <c r="D200" t="s">
        <v>36</v>
      </c>
      <c r="E200" t="s">
        <v>36</v>
      </c>
      <c r="F200" t="s">
        <v>36</v>
      </c>
      <c r="G200" s="1">
        <v>41426</v>
      </c>
      <c r="H200" t="s">
        <v>36</v>
      </c>
      <c r="I200" t="s">
        <v>36</v>
      </c>
      <c r="J200" t="s">
        <v>36</v>
      </c>
      <c r="K200" t="s">
        <v>36</v>
      </c>
      <c r="L200" t="s">
        <v>36</v>
      </c>
      <c r="M200" t="s">
        <v>36</v>
      </c>
      <c r="N200" t="s">
        <v>36</v>
      </c>
      <c r="O200" t="s">
        <v>36</v>
      </c>
      <c r="P200" t="s">
        <v>36</v>
      </c>
      <c r="Q200" t="s">
        <v>36</v>
      </c>
      <c r="R200" t="s">
        <v>36</v>
      </c>
      <c r="S200" t="s">
        <v>36</v>
      </c>
      <c r="T200" s="1">
        <v>39873</v>
      </c>
      <c r="U200" t="s">
        <v>36</v>
      </c>
      <c r="V200" t="s">
        <v>36</v>
      </c>
      <c r="W200" t="s">
        <v>36</v>
      </c>
      <c r="X200" t="s">
        <v>36</v>
      </c>
      <c r="Y200" t="s">
        <v>36</v>
      </c>
      <c r="Z200" t="s">
        <v>36</v>
      </c>
      <c r="AA200" t="s">
        <v>36</v>
      </c>
      <c r="AB200" t="s">
        <v>36</v>
      </c>
      <c r="AC200" t="s">
        <v>36</v>
      </c>
      <c r="AD200" t="s">
        <v>36</v>
      </c>
      <c r="AE200" t="s">
        <v>36</v>
      </c>
      <c r="AF200" s="1">
        <v>41513.4375</v>
      </c>
      <c r="AG200" t="s">
        <v>36</v>
      </c>
      <c r="AH200" t="s">
        <v>36</v>
      </c>
      <c r="AI200" s="1">
        <v>41365</v>
      </c>
      <c r="AJ200" s="1">
        <v>41426</v>
      </c>
    </row>
    <row r="201" spans="1:36" x14ac:dyDescent="0.35">
      <c r="A201">
        <v>454</v>
      </c>
      <c r="B201" t="s">
        <v>251</v>
      </c>
      <c r="C201" t="s">
        <v>36</v>
      </c>
      <c r="D201" t="s">
        <v>36</v>
      </c>
      <c r="E201" t="s">
        <v>36</v>
      </c>
      <c r="F201" t="s">
        <v>36</v>
      </c>
      <c r="G201" s="1">
        <v>41426</v>
      </c>
      <c r="H201" t="s">
        <v>36</v>
      </c>
      <c r="I201" t="s">
        <v>36</v>
      </c>
      <c r="J201" t="s">
        <v>36</v>
      </c>
      <c r="K201" t="s">
        <v>36</v>
      </c>
      <c r="L201" t="s">
        <v>36</v>
      </c>
      <c r="M201" t="s">
        <v>36</v>
      </c>
      <c r="N201" t="s">
        <v>36</v>
      </c>
      <c r="O201" t="s">
        <v>36</v>
      </c>
      <c r="P201" s="1">
        <v>41426</v>
      </c>
      <c r="Q201" t="s">
        <v>36</v>
      </c>
      <c r="R201" t="s">
        <v>36</v>
      </c>
      <c r="S201" t="s">
        <v>36</v>
      </c>
      <c r="T201" s="1">
        <v>39873</v>
      </c>
      <c r="U201" t="s">
        <v>36</v>
      </c>
      <c r="V201" t="s">
        <v>36</v>
      </c>
      <c r="W201" t="s">
        <v>36</v>
      </c>
      <c r="X201" t="s">
        <v>36</v>
      </c>
      <c r="Y201" t="s">
        <v>36</v>
      </c>
      <c r="Z201" t="s">
        <v>36</v>
      </c>
      <c r="AA201" t="s">
        <v>36</v>
      </c>
      <c r="AB201" t="s">
        <v>36</v>
      </c>
      <c r="AC201" t="s">
        <v>36</v>
      </c>
      <c r="AD201" t="s">
        <v>36</v>
      </c>
      <c r="AE201" t="s">
        <v>36</v>
      </c>
      <c r="AF201" s="1">
        <v>41513.4375</v>
      </c>
      <c r="AG201" t="s">
        <v>36</v>
      </c>
      <c r="AH201" t="s">
        <v>36</v>
      </c>
      <c r="AI201" s="1">
        <v>41365</v>
      </c>
      <c r="AJ201" s="1">
        <v>41426</v>
      </c>
    </row>
    <row r="202" spans="1:36" x14ac:dyDescent="0.35">
      <c r="A202">
        <v>3779</v>
      </c>
      <c r="B202" t="s">
        <v>279</v>
      </c>
      <c r="C202" t="s">
        <v>36</v>
      </c>
      <c r="D202" t="s">
        <v>36</v>
      </c>
      <c r="E202" t="s">
        <v>36</v>
      </c>
      <c r="F202" t="s">
        <v>36</v>
      </c>
      <c r="G202" t="s">
        <v>36</v>
      </c>
      <c r="H202" t="s">
        <v>36</v>
      </c>
      <c r="I202" t="s">
        <v>36</v>
      </c>
      <c r="J202" t="s">
        <v>36</v>
      </c>
      <c r="K202" t="s">
        <v>36</v>
      </c>
      <c r="L202" t="s">
        <v>36</v>
      </c>
      <c r="M202" t="s">
        <v>36</v>
      </c>
      <c r="N202" t="s">
        <v>36</v>
      </c>
      <c r="O202" t="s">
        <v>36</v>
      </c>
      <c r="P202" t="s">
        <v>36</v>
      </c>
      <c r="Q202" t="s">
        <v>36</v>
      </c>
      <c r="R202" t="s">
        <v>36</v>
      </c>
      <c r="S202" s="1">
        <v>43466.631944444445</v>
      </c>
      <c r="T202" t="s">
        <v>36</v>
      </c>
      <c r="U202" t="s">
        <v>36</v>
      </c>
      <c r="V202" t="s">
        <v>36</v>
      </c>
      <c r="W202" t="s">
        <v>36</v>
      </c>
      <c r="X202" t="s">
        <v>36</v>
      </c>
      <c r="Y202" t="s">
        <v>36</v>
      </c>
      <c r="Z202" t="s">
        <v>36</v>
      </c>
      <c r="AA202" t="s">
        <v>36</v>
      </c>
      <c r="AB202" t="s">
        <v>36</v>
      </c>
      <c r="AC202" t="s">
        <v>36</v>
      </c>
      <c r="AD202" t="s">
        <v>36</v>
      </c>
      <c r="AE202" t="s">
        <v>36</v>
      </c>
      <c r="AF202" t="s">
        <v>36</v>
      </c>
      <c r="AG202" t="s">
        <v>36</v>
      </c>
      <c r="AH202" t="s">
        <v>36</v>
      </c>
      <c r="AI202" t="s">
        <v>36</v>
      </c>
      <c r="AJ202" t="s">
        <v>36</v>
      </c>
    </row>
    <row r="203" spans="1:36" x14ac:dyDescent="0.35">
      <c r="A203">
        <v>3781</v>
      </c>
      <c r="B203" t="s">
        <v>330</v>
      </c>
      <c r="C203" t="s">
        <v>36</v>
      </c>
      <c r="D203" t="s">
        <v>36</v>
      </c>
      <c r="E203" t="s">
        <v>36</v>
      </c>
      <c r="F203" t="s">
        <v>36</v>
      </c>
      <c r="G203" t="s">
        <v>36</v>
      </c>
      <c r="H203" t="s">
        <v>36</v>
      </c>
      <c r="I203" t="s">
        <v>36</v>
      </c>
      <c r="J203" t="s">
        <v>36</v>
      </c>
      <c r="K203" t="s">
        <v>36</v>
      </c>
      <c r="L203" t="s">
        <v>36</v>
      </c>
      <c r="M203" t="s">
        <v>36</v>
      </c>
      <c r="N203" t="s">
        <v>36</v>
      </c>
      <c r="O203" t="s">
        <v>36</v>
      </c>
      <c r="P203" t="s">
        <v>36</v>
      </c>
      <c r="Q203" t="s">
        <v>36</v>
      </c>
      <c r="R203" t="s">
        <v>36</v>
      </c>
      <c r="S203" s="1">
        <v>43466.631944444445</v>
      </c>
      <c r="T203" t="s">
        <v>36</v>
      </c>
      <c r="U203" t="s">
        <v>36</v>
      </c>
      <c r="V203" t="s">
        <v>36</v>
      </c>
      <c r="W203" t="s">
        <v>36</v>
      </c>
      <c r="X203" t="s">
        <v>36</v>
      </c>
      <c r="Y203" t="s">
        <v>36</v>
      </c>
      <c r="Z203" t="s">
        <v>36</v>
      </c>
      <c r="AA203" t="s">
        <v>36</v>
      </c>
      <c r="AB203" t="s">
        <v>36</v>
      </c>
      <c r="AC203" t="s">
        <v>36</v>
      </c>
      <c r="AD203" t="s">
        <v>36</v>
      </c>
      <c r="AE203" t="s">
        <v>36</v>
      </c>
      <c r="AF203" t="s">
        <v>36</v>
      </c>
      <c r="AG203" t="s">
        <v>36</v>
      </c>
      <c r="AH203" t="s">
        <v>36</v>
      </c>
      <c r="AI203" t="s">
        <v>36</v>
      </c>
      <c r="AJ203" t="s">
        <v>36</v>
      </c>
    </row>
    <row r="204" spans="1:36" x14ac:dyDescent="0.35">
      <c r="A204">
        <v>3780</v>
      </c>
      <c r="B204" t="s">
        <v>329</v>
      </c>
      <c r="C204" t="s">
        <v>36</v>
      </c>
      <c r="D204" t="s">
        <v>36</v>
      </c>
      <c r="E204" t="s">
        <v>36</v>
      </c>
      <c r="F204" t="s">
        <v>36</v>
      </c>
      <c r="G204" t="s">
        <v>36</v>
      </c>
      <c r="H204" t="s">
        <v>36</v>
      </c>
      <c r="I204" t="s">
        <v>36</v>
      </c>
      <c r="J204" t="s">
        <v>36</v>
      </c>
      <c r="K204" t="s">
        <v>36</v>
      </c>
      <c r="L204" t="s">
        <v>36</v>
      </c>
      <c r="M204" t="s">
        <v>36</v>
      </c>
      <c r="N204" t="s">
        <v>36</v>
      </c>
      <c r="O204" t="s">
        <v>36</v>
      </c>
      <c r="P204" t="s">
        <v>36</v>
      </c>
      <c r="Q204" t="s">
        <v>36</v>
      </c>
      <c r="R204" t="s">
        <v>36</v>
      </c>
      <c r="S204" s="1">
        <v>43466.631944444445</v>
      </c>
      <c r="T204" t="s">
        <v>36</v>
      </c>
      <c r="U204" t="s">
        <v>36</v>
      </c>
      <c r="V204" t="s">
        <v>36</v>
      </c>
      <c r="W204" t="s">
        <v>36</v>
      </c>
      <c r="X204" t="s">
        <v>36</v>
      </c>
      <c r="Y204" t="s">
        <v>36</v>
      </c>
      <c r="Z204" t="s">
        <v>36</v>
      </c>
      <c r="AA204" t="s">
        <v>36</v>
      </c>
      <c r="AB204" t="s">
        <v>36</v>
      </c>
      <c r="AC204" t="s">
        <v>36</v>
      </c>
      <c r="AD204" t="s">
        <v>36</v>
      </c>
      <c r="AE204" t="s">
        <v>36</v>
      </c>
      <c r="AF204" t="s">
        <v>36</v>
      </c>
      <c r="AG204" t="s">
        <v>36</v>
      </c>
      <c r="AH204" t="s">
        <v>36</v>
      </c>
      <c r="AI204" t="s">
        <v>36</v>
      </c>
      <c r="AJ204" t="s">
        <v>36</v>
      </c>
    </row>
    <row r="205" spans="1:36" x14ac:dyDescent="0.35">
      <c r="A205">
        <v>3782</v>
      </c>
      <c r="B205" t="s">
        <v>331</v>
      </c>
      <c r="C205" t="s">
        <v>36</v>
      </c>
      <c r="D205" t="s">
        <v>36</v>
      </c>
      <c r="E205" t="s">
        <v>36</v>
      </c>
      <c r="F205" t="s">
        <v>36</v>
      </c>
      <c r="G205" t="s">
        <v>36</v>
      </c>
      <c r="H205" t="s">
        <v>36</v>
      </c>
      <c r="I205" t="s">
        <v>36</v>
      </c>
      <c r="J205" t="s">
        <v>36</v>
      </c>
      <c r="K205" t="s">
        <v>36</v>
      </c>
      <c r="L205" t="s">
        <v>36</v>
      </c>
      <c r="M205" t="s">
        <v>36</v>
      </c>
      <c r="N205" t="s">
        <v>36</v>
      </c>
      <c r="O205" t="s">
        <v>36</v>
      </c>
      <c r="P205" t="s">
        <v>36</v>
      </c>
      <c r="Q205" t="s">
        <v>36</v>
      </c>
      <c r="R205" t="s">
        <v>36</v>
      </c>
      <c r="S205" s="1">
        <v>43466.631944444445</v>
      </c>
      <c r="T205" t="s">
        <v>36</v>
      </c>
      <c r="U205" t="s">
        <v>36</v>
      </c>
      <c r="V205" t="s">
        <v>36</v>
      </c>
      <c r="W205" t="s">
        <v>36</v>
      </c>
      <c r="X205" t="s">
        <v>36</v>
      </c>
      <c r="Y205" t="s">
        <v>36</v>
      </c>
      <c r="Z205" t="s">
        <v>36</v>
      </c>
      <c r="AA205" t="s">
        <v>36</v>
      </c>
      <c r="AB205" t="s">
        <v>36</v>
      </c>
      <c r="AC205" t="s">
        <v>36</v>
      </c>
      <c r="AD205" t="s">
        <v>36</v>
      </c>
      <c r="AE205" t="s">
        <v>36</v>
      </c>
      <c r="AF205" t="s">
        <v>36</v>
      </c>
      <c r="AG205" t="s">
        <v>36</v>
      </c>
      <c r="AH205" t="s">
        <v>36</v>
      </c>
      <c r="AI205" t="s">
        <v>36</v>
      </c>
      <c r="AJ205" t="s">
        <v>36</v>
      </c>
    </row>
    <row r="206" spans="1:36" x14ac:dyDescent="0.35">
      <c r="A206">
        <v>810</v>
      </c>
      <c r="B206" t="s">
        <v>271</v>
      </c>
      <c r="C206" t="s">
        <v>36</v>
      </c>
      <c r="D206" t="s">
        <v>36</v>
      </c>
      <c r="E206" t="s">
        <v>36</v>
      </c>
      <c r="F206" t="s">
        <v>36</v>
      </c>
      <c r="G206" t="s">
        <v>36</v>
      </c>
      <c r="H206" t="s">
        <v>36</v>
      </c>
      <c r="I206" t="s">
        <v>36</v>
      </c>
      <c r="J206" t="s">
        <v>36</v>
      </c>
      <c r="K206" t="s">
        <v>36</v>
      </c>
      <c r="L206" t="s">
        <v>36</v>
      </c>
      <c r="M206" t="s">
        <v>36</v>
      </c>
      <c r="N206" t="s">
        <v>36</v>
      </c>
      <c r="O206" t="s">
        <v>36</v>
      </c>
      <c r="P206" t="s">
        <v>36</v>
      </c>
      <c r="Q206" t="s">
        <v>36</v>
      </c>
      <c r="R206" s="1">
        <v>43329.319444444445</v>
      </c>
      <c r="S206" t="s">
        <v>36</v>
      </c>
      <c r="T206" t="s">
        <v>36</v>
      </c>
      <c r="U206" t="s">
        <v>36</v>
      </c>
      <c r="V206" t="s">
        <v>36</v>
      </c>
      <c r="W206" t="s">
        <v>36</v>
      </c>
      <c r="X206" t="s">
        <v>36</v>
      </c>
      <c r="Y206" t="s">
        <v>36</v>
      </c>
      <c r="Z206" t="s">
        <v>36</v>
      </c>
      <c r="AA206" t="s">
        <v>36</v>
      </c>
      <c r="AB206" t="s">
        <v>36</v>
      </c>
      <c r="AC206" t="s">
        <v>36</v>
      </c>
      <c r="AD206" t="s">
        <v>36</v>
      </c>
      <c r="AE206" t="s">
        <v>36</v>
      </c>
      <c r="AF206" t="s">
        <v>36</v>
      </c>
      <c r="AG206" t="s">
        <v>36</v>
      </c>
      <c r="AH206" t="s">
        <v>36</v>
      </c>
      <c r="AI206" t="s">
        <v>36</v>
      </c>
      <c r="AJ206" t="s">
        <v>36</v>
      </c>
    </row>
    <row r="207" spans="1:36" x14ac:dyDescent="0.35">
      <c r="A207">
        <v>5</v>
      </c>
      <c r="B207" t="s">
        <v>40</v>
      </c>
      <c r="C207" s="1">
        <v>42528.291666666664</v>
      </c>
      <c r="D207" s="1">
        <v>42058.680555555555</v>
      </c>
      <c r="E207" s="1">
        <v>39245.465277777781</v>
      </c>
      <c r="F207" s="1">
        <v>42735.993055555555</v>
      </c>
      <c r="G207" s="1">
        <v>41426</v>
      </c>
      <c r="H207" s="1">
        <v>43059.576388888891</v>
      </c>
      <c r="I207" s="1">
        <v>43050.451388888891</v>
      </c>
      <c r="J207" s="1">
        <v>42995.930555555555</v>
      </c>
      <c r="K207" s="1">
        <v>39600</v>
      </c>
      <c r="L207" s="1">
        <v>42940.347222222219</v>
      </c>
      <c r="M207" s="1">
        <v>43009</v>
      </c>
      <c r="N207" s="1">
        <v>42795</v>
      </c>
      <c r="O207" s="1">
        <v>42376.743055555555</v>
      </c>
      <c r="P207" t="s">
        <v>36</v>
      </c>
      <c r="Q207" s="1">
        <v>40215.493055555555</v>
      </c>
      <c r="R207" s="1">
        <v>43329.319444444445</v>
      </c>
      <c r="S207" s="1">
        <v>42735.993055555555</v>
      </c>
      <c r="T207" s="1">
        <v>39873</v>
      </c>
      <c r="U207" s="1">
        <v>43054.631944444445</v>
      </c>
      <c r="V207" s="1">
        <v>42473.520833333336</v>
      </c>
      <c r="W207" s="1">
        <v>39599.958333333336</v>
      </c>
      <c r="X207" s="1">
        <v>42193.618055555555</v>
      </c>
      <c r="Y207" s="1">
        <v>43396.4375</v>
      </c>
      <c r="Z207" s="1">
        <v>42648.458333333336</v>
      </c>
      <c r="AA207" s="1">
        <v>43054.611111111109</v>
      </c>
      <c r="AB207" s="1">
        <v>41225.597222222219</v>
      </c>
      <c r="AC207" s="1">
        <v>42485.743055555555</v>
      </c>
      <c r="AD207" s="1">
        <v>42649.430555555555</v>
      </c>
      <c r="AE207" s="1">
        <v>43397.458333333336</v>
      </c>
      <c r="AF207" s="1">
        <v>41513.4375</v>
      </c>
      <c r="AG207" s="1">
        <v>43040</v>
      </c>
      <c r="AH207" s="1">
        <v>39659.506944444445</v>
      </c>
      <c r="AI207" s="1">
        <v>41365</v>
      </c>
      <c r="AJ207" s="1">
        <v>41426</v>
      </c>
    </row>
    <row r="208" spans="1:36" x14ac:dyDescent="0.35">
      <c r="A208">
        <v>6</v>
      </c>
      <c r="B208" t="s">
        <v>41</v>
      </c>
      <c r="C208" s="1">
        <v>42528.291666666664</v>
      </c>
      <c r="D208" s="1">
        <v>42058.680555555555</v>
      </c>
      <c r="E208" t="s">
        <v>36</v>
      </c>
      <c r="F208" t="s">
        <v>36</v>
      </c>
      <c r="G208" s="1">
        <v>41426</v>
      </c>
      <c r="H208" t="s">
        <v>36</v>
      </c>
      <c r="I208" t="s">
        <v>36</v>
      </c>
      <c r="J208" t="s">
        <v>36</v>
      </c>
      <c r="K208" s="1">
        <v>42475.736111111109</v>
      </c>
      <c r="L208" t="s">
        <v>36</v>
      </c>
      <c r="M208" s="1">
        <v>43348.625</v>
      </c>
      <c r="N208" s="1">
        <v>42795</v>
      </c>
      <c r="O208" s="1">
        <v>42376.743055555555</v>
      </c>
      <c r="P208" t="s">
        <v>36</v>
      </c>
      <c r="Q208" s="1">
        <v>42472.722222222219</v>
      </c>
      <c r="R208" s="1">
        <v>43329.319444444445</v>
      </c>
      <c r="S208" t="s">
        <v>36</v>
      </c>
      <c r="T208" s="1">
        <v>39873</v>
      </c>
      <c r="U208" t="s">
        <v>36</v>
      </c>
      <c r="V208" s="1">
        <v>42473.520833333336</v>
      </c>
      <c r="W208" t="s">
        <v>36</v>
      </c>
      <c r="X208" s="1">
        <v>42193.618055555555</v>
      </c>
      <c r="Y208" t="s">
        <v>36</v>
      </c>
      <c r="Z208" s="1">
        <v>42648.458333333336</v>
      </c>
      <c r="AA208" t="s">
        <v>36</v>
      </c>
      <c r="AB208" t="s">
        <v>36</v>
      </c>
      <c r="AC208" s="1">
        <v>42485.743055555555</v>
      </c>
      <c r="AD208" s="1">
        <v>42649.430555555555</v>
      </c>
      <c r="AE208" t="s">
        <v>36</v>
      </c>
      <c r="AF208" s="1">
        <v>41513.4375</v>
      </c>
      <c r="AG208" s="1">
        <v>43040</v>
      </c>
      <c r="AH208" t="s">
        <v>36</v>
      </c>
      <c r="AI208" s="1">
        <v>41365</v>
      </c>
      <c r="AJ208" s="1">
        <v>41426</v>
      </c>
    </row>
    <row r="209" spans="1:36" x14ac:dyDescent="0.35">
      <c r="A209">
        <v>3938</v>
      </c>
      <c r="B209" t="s">
        <v>280</v>
      </c>
      <c r="C209" t="s">
        <v>36</v>
      </c>
      <c r="D209" t="s">
        <v>36</v>
      </c>
      <c r="E209" t="s">
        <v>36</v>
      </c>
      <c r="F209" t="s">
        <v>36</v>
      </c>
      <c r="G209" t="s">
        <v>36</v>
      </c>
      <c r="H209" t="s">
        <v>36</v>
      </c>
      <c r="I209" t="s">
        <v>36</v>
      </c>
      <c r="J209" t="s">
        <v>36</v>
      </c>
      <c r="K209" t="s">
        <v>36</v>
      </c>
      <c r="L209" t="s">
        <v>36</v>
      </c>
      <c r="M209" t="s">
        <v>36</v>
      </c>
      <c r="N209" t="s">
        <v>36</v>
      </c>
      <c r="O209" t="s">
        <v>36</v>
      </c>
      <c r="P209" t="s">
        <v>36</v>
      </c>
      <c r="Q209" t="s">
        <v>36</v>
      </c>
      <c r="R209" t="s">
        <v>36</v>
      </c>
      <c r="S209" t="s">
        <v>36</v>
      </c>
      <c r="T209" t="s">
        <v>36</v>
      </c>
      <c r="U209" t="s">
        <v>36</v>
      </c>
      <c r="V209" t="s">
        <v>36</v>
      </c>
      <c r="W209" t="s">
        <v>36</v>
      </c>
      <c r="X209" t="s">
        <v>36</v>
      </c>
      <c r="Y209" t="s">
        <v>36</v>
      </c>
      <c r="Z209" t="s">
        <v>36</v>
      </c>
      <c r="AA209" t="s">
        <v>36</v>
      </c>
      <c r="AB209" t="s">
        <v>36</v>
      </c>
      <c r="AC209" t="s">
        <v>36</v>
      </c>
      <c r="AD209" t="s">
        <v>36</v>
      </c>
      <c r="AE209" t="s">
        <v>36</v>
      </c>
      <c r="AF209" t="s">
        <v>36</v>
      </c>
      <c r="AG209" t="s">
        <v>36</v>
      </c>
      <c r="AH209" t="s">
        <v>36</v>
      </c>
      <c r="AI209" t="s">
        <v>36</v>
      </c>
      <c r="AJ209" t="s">
        <v>36</v>
      </c>
    </row>
    <row r="210" spans="1:36" x14ac:dyDescent="0.35">
      <c r="A210">
        <v>342</v>
      </c>
      <c r="B210" t="s">
        <v>206</v>
      </c>
      <c r="C210" t="s">
        <v>36</v>
      </c>
      <c r="D210" t="s">
        <v>36</v>
      </c>
      <c r="E210" t="s">
        <v>36</v>
      </c>
      <c r="F210" t="s">
        <v>36</v>
      </c>
      <c r="G210" t="s">
        <v>36</v>
      </c>
      <c r="H210" t="s">
        <v>36</v>
      </c>
      <c r="I210" t="s">
        <v>36</v>
      </c>
      <c r="J210" t="s">
        <v>36</v>
      </c>
      <c r="K210" t="s">
        <v>36</v>
      </c>
      <c r="L210" t="s">
        <v>36</v>
      </c>
      <c r="M210" t="s">
        <v>36</v>
      </c>
      <c r="N210" t="s">
        <v>36</v>
      </c>
      <c r="O210" t="s">
        <v>36</v>
      </c>
      <c r="P210" t="s">
        <v>36</v>
      </c>
      <c r="Q210" t="s">
        <v>36</v>
      </c>
      <c r="R210" t="s">
        <v>36</v>
      </c>
      <c r="S210" t="s">
        <v>36</v>
      </c>
      <c r="T210" t="s">
        <v>36</v>
      </c>
      <c r="U210" t="s">
        <v>36</v>
      </c>
      <c r="V210" t="s">
        <v>36</v>
      </c>
      <c r="W210" t="s">
        <v>36</v>
      </c>
      <c r="X210" t="s">
        <v>36</v>
      </c>
      <c r="Y210" t="s">
        <v>36</v>
      </c>
      <c r="Z210" t="s">
        <v>36</v>
      </c>
      <c r="AA210" t="s">
        <v>36</v>
      </c>
      <c r="AB210" t="s">
        <v>36</v>
      </c>
      <c r="AC210" t="s">
        <v>36</v>
      </c>
      <c r="AD210" t="s">
        <v>36</v>
      </c>
      <c r="AE210" t="s">
        <v>36</v>
      </c>
      <c r="AF210" t="s">
        <v>36</v>
      </c>
      <c r="AG210" t="s">
        <v>36</v>
      </c>
      <c r="AH210" t="s">
        <v>36</v>
      </c>
      <c r="AI210" t="s">
        <v>36</v>
      </c>
      <c r="AJ210" t="s">
        <v>36</v>
      </c>
    </row>
    <row r="211" spans="1:36" x14ac:dyDescent="0.35">
      <c r="A211">
        <v>76</v>
      </c>
      <c r="B211" t="s">
        <v>289</v>
      </c>
      <c r="C211" s="1">
        <v>42528.291666666664</v>
      </c>
      <c r="D211" t="s">
        <v>36</v>
      </c>
      <c r="E211" s="1">
        <v>43526.347222222219</v>
      </c>
      <c r="F211" s="1">
        <v>43526.319444444445</v>
      </c>
      <c r="G211" t="s">
        <v>36</v>
      </c>
      <c r="H211" s="1">
        <v>43626.604166666664</v>
      </c>
      <c r="I211" s="1">
        <v>43617.604166666664</v>
      </c>
      <c r="J211" t="s">
        <v>36</v>
      </c>
      <c r="K211" s="1">
        <v>42475.736111111109</v>
      </c>
      <c r="L211" t="s">
        <v>36</v>
      </c>
      <c r="M211" s="1">
        <v>43348.625</v>
      </c>
      <c r="N211" t="s">
        <v>36</v>
      </c>
      <c r="O211" t="s">
        <v>36</v>
      </c>
      <c r="P211" t="s">
        <v>36</v>
      </c>
      <c r="Q211" s="1">
        <v>40215.493055555555</v>
      </c>
      <c r="R211" s="1">
        <v>43329.319444444445</v>
      </c>
      <c r="S211" s="1">
        <v>43467.236111111109</v>
      </c>
      <c r="T211" t="s">
        <v>36</v>
      </c>
      <c r="U211" s="1">
        <v>43618.270833333336</v>
      </c>
      <c r="V211" s="1">
        <v>42473.520833333336</v>
      </c>
      <c r="W211" s="1">
        <v>42477.895833333336</v>
      </c>
      <c r="X211" t="s">
        <v>36</v>
      </c>
      <c r="Y211" t="s">
        <v>36</v>
      </c>
      <c r="Z211" s="1">
        <v>42648.458333333336</v>
      </c>
      <c r="AA211" s="1">
        <v>43616.951388888891</v>
      </c>
      <c r="AB211" s="1">
        <v>42486.548611111109</v>
      </c>
      <c r="AC211" s="1">
        <v>42485.743055555555</v>
      </c>
      <c r="AD211" s="1">
        <v>42649.430555555555</v>
      </c>
      <c r="AE211" t="s">
        <v>36</v>
      </c>
      <c r="AF211" t="s">
        <v>36</v>
      </c>
      <c r="AG211" t="s">
        <v>36</v>
      </c>
      <c r="AH211" s="1">
        <v>43556.604166666664</v>
      </c>
      <c r="AI211" t="s">
        <v>36</v>
      </c>
      <c r="AJ211" t="s">
        <v>36</v>
      </c>
    </row>
    <row r="212" spans="1:36" x14ac:dyDescent="0.35">
      <c r="A212">
        <v>75</v>
      </c>
      <c r="B212" t="s">
        <v>288</v>
      </c>
      <c r="C212" s="1">
        <v>42528.291666666664</v>
      </c>
      <c r="D212" t="s">
        <v>36</v>
      </c>
      <c r="E212" s="1">
        <v>43526.347222222219</v>
      </c>
      <c r="F212" s="1">
        <v>43526.319444444445</v>
      </c>
      <c r="G212" t="s">
        <v>36</v>
      </c>
      <c r="H212" s="1">
        <v>43626.604166666664</v>
      </c>
      <c r="I212" s="1">
        <v>43617.604166666664</v>
      </c>
      <c r="J212" t="s">
        <v>36</v>
      </c>
      <c r="K212" s="1">
        <v>42475.736111111109</v>
      </c>
      <c r="L212" t="s">
        <v>36</v>
      </c>
      <c r="M212" s="1">
        <v>43348.625</v>
      </c>
      <c r="N212" t="s">
        <v>36</v>
      </c>
      <c r="O212" t="s">
        <v>36</v>
      </c>
      <c r="P212" t="s">
        <v>36</v>
      </c>
      <c r="Q212" s="1">
        <v>40215.493055555555</v>
      </c>
      <c r="R212" s="1">
        <v>43329.319444444445</v>
      </c>
      <c r="S212" s="1">
        <v>43467.236111111109</v>
      </c>
      <c r="T212" t="s">
        <v>36</v>
      </c>
      <c r="U212" s="1">
        <v>43618.270833333336</v>
      </c>
      <c r="V212" s="1">
        <v>42473.520833333336</v>
      </c>
      <c r="W212" s="1">
        <v>42477.895833333336</v>
      </c>
      <c r="X212" t="s">
        <v>36</v>
      </c>
      <c r="Y212" t="s">
        <v>36</v>
      </c>
      <c r="Z212" s="1">
        <v>42648.458333333336</v>
      </c>
      <c r="AA212" s="1">
        <v>43616.951388888891</v>
      </c>
      <c r="AB212" s="1">
        <v>42486.548611111109</v>
      </c>
      <c r="AC212" s="1">
        <v>42485.743055555555</v>
      </c>
      <c r="AD212" s="1">
        <v>42649.430555555555</v>
      </c>
      <c r="AE212" t="s">
        <v>36</v>
      </c>
      <c r="AF212" t="s">
        <v>36</v>
      </c>
      <c r="AG212" t="s">
        <v>36</v>
      </c>
      <c r="AH212" s="1">
        <v>43556.604166666664</v>
      </c>
      <c r="AI212" t="s">
        <v>36</v>
      </c>
      <c r="AJ212" t="s">
        <v>36</v>
      </c>
    </row>
    <row r="213" spans="1:36" x14ac:dyDescent="0.35">
      <c r="A213">
        <v>74</v>
      </c>
      <c r="B213" t="s">
        <v>287</v>
      </c>
      <c r="C213" s="1">
        <v>42528.291666666664</v>
      </c>
      <c r="D213" t="s">
        <v>36</v>
      </c>
      <c r="E213" s="1">
        <v>43526.347222222219</v>
      </c>
      <c r="F213" s="1">
        <v>43526.319444444445</v>
      </c>
      <c r="G213" t="s">
        <v>36</v>
      </c>
      <c r="H213" s="1">
        <v>43626.604166666664</v>
      </c>
      <c r="I213" s="1">
        <v>43617.604166666664</v>
      </c>
      <c r="J213" t="s">
        <v>36</v>
      </c>
      <c r="K213" s="1">
        <v>42475.736111111109</v>
      </c>
      <c r="L213" t="s">
        <v>36</v>
      </c>
      <c r="M213" s="1">
        <v>43348.625</v>
      </c>
      <c r="N213" t="s">
        <v>36</v>
      </c>
      <c r="O213" t="s">
        <v>36</v>
      </c>
      <c r="P213" t="s">
        <v>36</v>
      </c>
      <c r="Q213" t="s">
        <v>36</v>
      </c>
      <c r="R213" s="1">
        <v>43329.319444444445</v>
      </c>
      <c r="S213" s="1">
        <v>43467.236111111109</v>
      </c>
      <c r="T213" t="s">
        <v>36</v>
      </c>
      <c r="U213" s="1">
        <v>43618.270833333336</v>
      </c>
      <c r="V213" s="1">
        <v>42473.520833333336</v>
      </c>
      <c r="W213" s="1">
        <v>42477.895833333336</v>
      </c>
      <c r="X213" t="s">
        <v>36</v>
      </c>
      <c r="Y213" t="s">
        <v>36</v>
      </c>
      <c r="Z213" s="1">
        <v>42648.458333333336</v>
      </c>
      <c r="AA213" s="1">
        <v>43616.951388888891</v>
      </c>
      <c r="AB213" s="1">
        <v>42486.548611111109</v>
      </c>
      <c r="AC213" s="1">
        <v>42485.743055555555</v>
      </c>
      <c r="AD213" s="1">
        <v>42649.430555555555</v>
      </c>
      <c r="AE213" t="s">
        <v>36</v>
      </c>
      <c r="AF213" t="s">
        <v>36</v>
      </c>
      <c r="AG213" t="s">
        <v>36</v>
      </c>
      <c r="AH213" s="1">
        <v>43556.604166666664</v>
      </c>
      <c r="AI213" t="s">
        <v>36</v>
      </c>
      <c r="AJ213" t="s">
        <v>36</v>
      </c>
    </row>
    <row r="214" spans="1:36" x14ac:dyDescent="0.35">
      <c r="A214">
        <v>155</v>
      </c>
      <c r="B214" t="s">
        <v>127</v>
      </c>
      <c r="C214" t="s">
        <v>36</v>
      </c>
      <c r="D214" t="s">
        <v>36</v>
      </c>
      <c r="E214" t="s">
        <v>36</v>
      </c>
      <c r="F214" t="s">
        <v>36</v>
      </c>
      <c r="G214" s="1">
        <v>41426</v>
      </c>
      <c r="H214" t="s">
        <v>36</v>
      </c>
      <c r="I214" t="s">
        <v>36</v>
      </c>
      <c r="J214" t="s">
        <v>36</v>
      </c>
      <c r="K214" t="s">
        <v>36</v>
      </c>
      <c r="L214" t="s">
        <v>36</v>
      </c>
      <c r="M214" s="1">
        <v>43348.631944444445</v>
      </c>
      <c r="N214" t="s">
        <v>36</v>
      </c>
      <c r="O214" t="s">
        <v>36</v>
      </c>
      <c r="P214" s="1">
        <v>41426</v>
      </c>
      <c r="Q214" t="s">
        <v>36</v>
      </c>
      <c r="R214" t="s">
        <v>36</v>
      </c>
      <c r="S214" t="s">
        <v>36</v>
      </c>
      <c r="T214" s="1">
        <v>39873</v>
      </c>
      <c r="U214" t="s">
        <v>36</v>
      </c>
      <c r="V214" t="s">
        <v>36</v>
      </c>
      <c r="W214" t="s">
        <v>36</v>
      </c>
      <c r="X214" s="1">
        <v>42577.583333333336</v>
      </c>
      <c r="Y214" t="s">
        <v>36</v>
      </c>
      <c r="Z214" t="s">
        <v>36</v>
      </c>
      <c r="AA214" t="s">
        <v>36</v>
      </c>
      <c r="AB214" t="s">
        <v>36</v>
      </c>
      <c r="AC214" t="s">
        <v>36</v>
      </c>
      <c r="AD214" t="s">
        <v>36</v>
      </c>
      <c r="AE214" t="s">
        <v>36</v>
      </c>
      <c r="AF214" s="1">
        <v>41513.4375</v>
      </c>
      <c r="AG214" s="1">
        <v>43040</v>
      </c>
      <c r="AH214" t="s">
        <v>36</v>
      </c>
      <c r="AI214" s="1">
        <v>41365</v>
      </c>
      <c r="AJ214" s="1">
        <v>41426</v>
      </c>
    </row>
    <row r="215" spans="1:36" x14ac:dyDescent="0.35">
      <c r="A215">
        <v>324</v>
      </c>
      <c r="B215" t="s">
        <v>192</v>
      </c>
      <c r="C215" t="s">
        <v>36</v>
      </c>
      <c r="D215" t="s">
        <v>36</v>
      </c>
      <c r="E215" t="s">
        <v>36</v>
      </c>
      <c r="F215" t="s">
        <v>36</v>
      </c>
      <c r="G215" s="1">
        <v>41426</v>
      </c>
      <c r="H215" t="s">
        <v>36</v>
      </c>
      <c r="I215" t="s">
        <v>36</v>
      </c>
      <c r="J215" t="s">
        <v>36</v>
      </c>
      <c r="K215" t="s">
        <v>36</v>
      </c>
      <c r="L215" t="s">
        <v>36</v>
      </c>
      <c r="M215" t="s">
        <v>36</v>
      </c>
      <c r="N215" t="s">
        <v>36</v>
      </c>
      <c r="O215" t="s">
        <v>36</v>
      </c>
      <c r="P215" s="1">
        <v>41426</v>
      </c>
      <c r="Q215" t="s">
        <v>36</v>
      </c>
      <c r="R215" t="s">
        <v>36</v>
      </c>
      <c r="S215" t="s">
        <v>36</v>
      </c>
      <c r="T215" s="1">
        <v>39873</v>
      </c>
      <c r="U215" t="s">
        <v>36</v>
      </c>
      <c r="V215" t="s">
        <v>36</v>
      </c>
      <c r="W215" t="s">
        <v>36</v>
      </c>
      <c r="X215" t="s">
        <v>36</v>
      </c>
      <c r="Y215" t="s">
        <v>36</v>
      </c>
      <c r="Z215" t="s">
        <v>36</v>
      </c>
      <c r="AA215" t="s">
        <v>36</v>
      </c>
      <c r="AB215" t="s">
        <v>36</v>
      </c>
      <c r="AC215" t="s">
        <v>36</v>
      </c>
      <c r="AD215" t="s">
        <v>36</v>
      </c>
      <c r="AE215" t="s">
        <v>36</v>
      </c>
      <c r="AF215" s="1">
        <v>41513.4375</v>
      </c>
      <c r="AG215" s="1">
        <v>43040</v>
      </c>
      <c r="AH215" t="s">
        <v>36</v>
      </c>
      <c r="AI215" s="1">
        <v>41365</v>
      </c>
      <c r="AJ215" s="1">
        <v>41426</v>
      </c>
    </row>
    <row r="216" spans="1:36" x14ac:dyDescent="0.35">
      <c r="A216">
        <v>87</v>
      </c>
      <c r="B216" t="s">
        <v>100</v>
      </c>
      <c r="C216" s="1">
        <v>42528.291666666664</v>
      </c>
      <c r="D216" t="s">
        <v>36</v>
      </c>
      <c r="E216" t="s">
        <v>36</v>
      </c>
      <c r="F216" t="s">
        <v>36</v>
      </c>
      <c r="G216" s="1">
        <v>41426</v>
      </c>
      <c r="H216" t="s">
        <v>36</v>
      </c>
      <c r="I216" t="s">
        <v>36</v>
      </c>
      <c r="J216" s="1">
        <v>42995.930555555555</v>
      </c>
      <c r="K216" s="1">
        <v>41422.4375</v>
      </c>
      <c r="L216" s="1">
        <v>42940.347222222219</v>
      </c>
      <c r="M216" s="1">
        <v>43348.631944444445</v>
      </c>
      <c r="N216" t="s">
        <v>36</v>
      </c>
      <c r="O216" t="s">
        <v>36</v>
      </c>
      <c r="P216" s="1">
        <v>41426</v>
      </c>
      <c r="Q216" t="s">
        <v>36</v>
      </c>
      <c r="R216" t="s">
        <v>36</v>
      </c>
      <c r="S216" t="s">
        <v>36</v>
      </c>
      <c r="T216" s="1">
        <v>39873</v>
      </c>
      <c r="U216" t="s">
        <v>36</v>
      </c>
      <c r="V216" s="1">
        <v>42473.520833333336</v>
      </c>
      <c r="W216" s="1">
        <v>39599.958333333336</v>
      </c>
      <c r="X216" t="s">
        <v>36</v>
      </c>
      <c r="Y216" t="s">
        <v>36</v>
      </c>
      <c r="Z216" s="1">
        <v>42648.458333333336</v>
      </c>
      <c r="AA216" t="s">
        <v>36</v>
      </c>
      <c r="AB216" t="s">
        <v>36</v>
      </c>
      <c r="AC216" s="1">
        <v>42485.743055555555</v>
      </c>
      <c r="AD216" s="1">
        <v>42649.430555555555</v>
      </c>
      <c r="AE216" t="s">
        <v>36</v>
      </c>
      <c r="AF216" s="1">
        <v>41513.4375</v>
      </c>
      <c r="AG216" s="1">
        <v>43040</v>
      </c>
      <c r="AH216" t="s">
        <v>36</v>
      </c>
      <c r="AI216" s="1">
        <v>41365</v>
      </c>
      <c r="AJ216" s="1">
        <v>41426</v>
      </c>
    </row>
    <row r="217" spans="1:36" x14ac:dyDescent="0.35">
      <c r="A217">
        <v>336</v>
      </c>
      <c r="B217" t="s">
        <v>204</v>
      </c>
      <c r="C217" t="s">
        <v>36</v>
      </c>
      <c r="D217" t="s">
        <v>36</v>
      </c>
      <c r="E217" t="s">
        <v>36</v>
      </c>
      <c r="F217" t="s">
        <v>36</v>
      </c>
      <c r="G217" s="1">
        <v>41426</v>
      </c>
      <c r="H217" t="s">
        <v>36</v>
      </c>
      <c r="I217" t="s">
        <v>36</v>
      </c>
      <c r="J217" t="s">
        <v>36</v>
      </c>
      <c r="K217" t="s">
        <v>36</v>
      </c>
      <c r="L217" t="s">
        <v>36</v>
      </c>
      <c r="M217" t="s">
        <v>36</v>
      </c>
      <c r="N217" t="s">
        <v>36</v>
      </c>
      <c r="O217" t="s">
        <v>36</v>
      </c>
      <c r="P217" s="1">
        <v>41426</v>
      </c>
      <c r="Q217" t="s">
        <v>36</v>
      </c>
      <c r="R217" t="s">
        <v>36</v>
      </c>
      <c r="S217" t="s">
        <v>36</v>
      </c>
      <c r="T217" s="1">
        <v>39873</v>
      </c>
      <c r="U217" t="s">
        <v>36</v>
      </c>
      <c r="V217" t="s">
        <v>36</v>
      </c>
      <c r="W217" t="s">
        <v>36</v>
      </c>
      <c r="X217" t="s">
        <v>36</v>
      </c>
      <c r="Y217" t="s">
        <v>36</v>
      </c>
      <c r="Z217" t="s">
        <v>36</v>
      </c>
      <c r="AA217" t="s">
        <v>36</v>
      </c>
      <c r="AB217" t="s">
        <v>36</v>
      </c>
      <c r="AC217" t="s">
        <v>36</v>
      </c>
      <c r="AD217" t="s">
        <v>36</v>
      </c>
      <c r="AE217" t="s">
        <v>36</v>
      </c>
      <c r="AF217" s="1">
        <v>41513.4375</v>
      </c>
      <c r="AG217" s="1">
        <v>43040</v>
      </c>
      <c r="AH217" t="s">
        <v>36</v>
      </c>
      <c r="AI217" s="1">
        <v>41365</v>
      </c>
      <c r="AJ217" s="1">
        <v>41426</v>
      </c>
    </row>
    <row r="218" spans="1:36" x14ac:dyDescent="0.35">
      <c r="A218">
        <v>91</v>
      </c>
      <c r="B218" t="s">
        <v>102</v>
      </c>
      <c r="C218" s="1">
        <v>42528.291666666664</v>
      </c>
      <c r="D218" t="s">
        <v>36</v>
      </c>
      <c r="E218" t="s">
        <v>36</v>
      </c>
      <c r="F218" t="s">
        <v>36</v>
      </c>
      <c r="G218" s="1">
        <v>41426</v>
      </c>
      <c r="H218" t="s">
        <v>36</v>
      </c>
      <c r="I218" t="s">
        <v>36</v>
      </c>
      <c r="J218" s="1">
        <v>42995.930555555555</v>
      </c>
      <c r="K218" s="1">
        <v>41422.4375</v>
      </c>
      <c r="L218" s="1">
        <v>42940.347222222219</v>
      </c>
      <c r="M218" s="1">
        <v>43348.631944444445</v>
      </c>
      <c r="N218" t="s">
        <v>36</v>
      </c>
      <c r="O218" t="s">
        <v>36</v>
      </c>
      <c r="P218" s="1">
        <v>41426</v>
      </c>
      <c r="Q218" t="s">
        <v>36</v>
      </c>
      <c r="R218" t="s">
        <v>36</v>
      </c>
      <c r="S218" t="s">
        <v>36</v>
      </c>
      <c r="T218" s="1">
        <v>39873</v>
      </c>
      <c r="U218" t="s">
        <v>36</v>
      </c>
      <c r="V218" s="1">
        <v>42473.520833333336</v>
      </c>
      <c r="W218" s="1">
        <v>39599.958333333336</v>
      </c>
      <c r="X218" t="s">
        <v>36</v>
      </c>
      <c r="Y218" t="s">
        <v>36</v>
      </c>
      <c r="Z218" s="1">
        <v>42648.458333333336</v>
      </c>
      <c r="AA218" t="s">
        <v>36</v>
      </c>
      <c r="AB218" t="s">
        <v>36</v>
      </c>
      <c r="AC218" s="1">
        <v>42485.743055555555</v>
      </c>
      <c r="AD218" s="1">
        <v>42649.430555555555</v>
      </c>
      <c r="AE218" t="s">
        <v>36</v>
      </c>
      <c r="AF218" s="1">
        <v>41513.4375</v>
      </c>
      <c r="AG218" s="1">
        <v>43040</v>
      </c>
      <c r="AH218" t="s">
        <v>36</v>
      </c>
      <c r="AI218" s="1">
        <v>41365</v>
      </c>
      <c r="AJ218" s="1">
        <v>41426</v>
      </c>
    </row>
    <row r="219" spans="1:36" x14ac:dyDescent="0.35">
      <c r="A219">
        <v>337</v>
      </c>
      <c r="B219" t="s">
        <v>205</v>
      </c>
      <c r="C219" t="s">
        <v>36</v>
      </c>
      <c r="D219" t="s">
        <v>36</v>
      </c>
      <c r="E219" t="s">
        <v>36</v>
      </c>
      <c r="F219" t="s">
        <v>36</v>
      </c>
      <c r="G219" s="1">
        <v>41426</v>
      </c>
      <c r="H219" t="s">
        <v>36</v>
      </c>
      <c r="I219" t="s">
        <v>36</v>
      </c>
      <c r="J219" t="s">
        <v>36</v>
      </c>
      <c r="K219" t="s">
        <v>36</v>
      </c>
      <c r="L219" t="s">
        <v>36</v>
      </c>
      <c r="M219" t="s">
        <v>36</v>
      </c>
      <c r="N219" t="s">
        <v>36</v>
      </c>
      <c r="O219" t="s">
        <v>36</v>
      </c>
      <c r="P219" s="1">
        <v>41426</v>
      </c>
      <c r="Q219" t="s">
        <v>36</v>
      </c>
      <c r="R219" t="s">
        <v>36</v>
      </c>
      <c r="S219" t="s">
        <v>36</v>
      </c>
      <c r="T219" s="1">
        <v>39873</v>
      </c>
      <c r="U219" t="s">
        <v>36</v>
      </c>
      <c r="V219" t="s">
        <v>36</v>
      </c>
      <c r="W219" t="s">
        <v>36</v>
      </c>
      <c r="X219" t="s">
        <v>36</v>
      </c>
      <c r="Y219" t="s">
        <v>36</v>
      </c>
      <c r="Z219" t="s">
        <v>36</v>
      </c>
      <c r="AA219" t="s">
        <v>36</v>
      </c>
      <c r="AB219" t="s">
        <v>36</v>
      </c>
      <c r="AC219" t="s">
        <v>36</v>
      </c>
      <c r="AD219" t="s">
        <v>36</v>
      </c>
      <c r="AE219" t="s">
        <v>36</v>
      </c>
      <c r="AF219" s="1">
        <v>41513.4375</v>
      </c>
      <c r="AG219" s="1">
        <v>43040</v>
      </c>
      <c r="AH219" t="s">
        <v>36</v>
      </c>
      <c r="AI219" s="1">
        <v>41365</v>
      </c>
      <c r="AJ219" s="1">
        <v>41426</v>
      </c>
    </row>
    <row r="220" spans="1:36" x14ac:dyDescent="0.35">
      <c r="A220">
        <v>7</v>
      </c>
      <c r="B220" t="s">
        <v>42</v>
      </c>
      <c r="C220" s="1">
        <v>42528.291666666664</v>
      </c>
      <c r="D220" s="1">
        <v>42058.680555555555</v>
      </c>
      <c r="E220" s="1">
        <v>39245.465277777781</v>
      </c>
      <c r="F220" s="1">
        <v>42735.993055555555</v>
      </c>
      <c r="G220" s="1">
        <v>41426</v>
      </c>
      <c r="H220" s="1">
        <v>43059.576388888891</v>
      </c>
      <c r="I220" s="1">
        <v>43050.451388888891</v>
      </c>
      <c r="J220" s="1">
        <v>42995.930555555555</v>
      </c>
      <c r="K220" s="1">
        <v>39600</v>
      </c>
      <c r="L220" s="1">
        <v>42940.347222222219</v>
      </c>
      <c r="M220" s="1">
        <v>43348.625</v>
      </c>
      <c r="N220" s="1">
        <v>42795</v>
      </c>
      <c r="O220" s="1">
        <v>42376.743055555555</v>
      </c>
      <c r="P220" t="s">
        <v>36</v>
      </c>
      <c r="Q220" s="1">
        <v>40215.493055555555</v>
      </c>
      <c r="R220" t="s">
        <v>36</v>
      </c>
      <c r="S220" s="1">
        <v>42735.993055555555</v>
      </c>
      <c r="T220" s="1">
        <v>39873</v>
      </c>
      <c r="U220" s="1">
        <v>43054.631944444445</v>
      </c>
      <c r="V220" s="1">
        <v>42473.520833333336</v>
      </c>
      <c r="W220" s="1">
        <v>39599.958333333336</v>
      </c>
      <c r="X220" s="1">
        <v>42193.618055555555</v>
      </c>
      <c r="Y220" t="s">
        <v>36</v>
      </c>
      <c r="Z220" s="1">
        <v>42648.458333333336</v>
      </c>
      <c r="AA220" s="1">
        <v>43054.611111111109</v>
      </c>
      <c r="AB220" s="1">
        <v>41225.597222222219</v>
      </c>
      <c r="AC220" s="1">
        <v>42485.743055555555</v>
      </c>
      <c r="AD220" s="1">
        <v>42649.430555555555</v>
      </c>
      <c r="AE220" t="s">
        <v>36</v>
      </c>
      <c r="AF220" s="1">
        <v>41513.4375</v>
      </c>
      <c r="AG220" s="1">
        <v>43040</v>
      </c>
      <c r="AH220" s="1">
        <v>39659.506944444445</v>
      </c>
      <c r="AI220" s="1">
        <v>41365</v>
      </c>
      <c r="AJ220" s="1">
        <v>41426</v>
      </c>
    </row>
    <row r="221" spans="1:36" x14ac:dyDescent="0.35">
      <c r="A221">
        <v>927</v>
      </c>
      <c r="B221" t="s">
        <v>295</v>
      </c>
      <c r="C221" s="1">
        <v>42713.361111111109</v>
      </c>
      <c r="D221" t="s">
        <v>36</v>
      </c>
      <c r="E221" s="1">
        <v>43526.347222222219</v>
      </c>
      <c r="F221" s="1">
        <v>43526.319444444445</v>
      </c>
      <c r="G221" t="s">
        <v>36</v>
      </c>
      <c r="H221" s="1">
        <v>43626.604166666664</v>
      </c>
      <c r="I221" s="1">
        <v>43617.604166666664</v>
      </c>
      <c r="J221" t="s">
        <v>36</v>
      </c>
      <c r="K221" s="1">
        <v>42692.493055555555</v>
      </c>
      <c r="L221" t="s">
        <v>36</v>
      </c>
      <c r="M221" s="1">
        <v>43348.625</v>
      </c>
      <c r="N221" t="s">
        <v>36</v>
      </c>
      <c r="O221" t="s">
        <v>36</v>
      </c>
      <c r="P221" t="s">
        <v>36</v>
      </c>
      <c r="Q221" t="s">
        <v>36</v>
      </c>
      <c r="R221" t="s">
        <v>36</v>
      </c>
      <c r="S221" s="1">
        <v>43467.236111111109</v>
      </c>
      <c r="T221" t="s">
        <v>36</v>
      </c>
      <c r="U221" s="1">
        <v>43618.270833333336</v>
      </c>
      <c r="V221" s="1">
        <v>42719.638888888891</v>
      </c>
      <c r="W221" s="1">
        <v>42692.5</v>
      </c>
      <c r="X221" t="s">
        <v>36</v>
      </c>
      <c r="Y221" t="s">
        <v>36</v>
      </c>
      <c r="Z221" s="1">
        <v>42713.590277777781</v>
      </c>
      <c r="AA221" s="1">
        <v>43616.951388888891</v>
      </c>
      <c r="AB221" s="1">
        <v>42692.5</v>
      </c>
      <c r="AC221" s="1">
        <v>42692.5</v>
      </c>
      <c r="AD221" s="1">
        <v>42720.5</v>
      </c>
      <c r="AE221" t="s">
        <v>36</v>
      </c>
      <c r="AF221" t="s">
        <v>36</v>
      </c>
      <c r="AG221" t="s">
        <v>36</v>
      </c>
      <c r="AH221" s="1">
        <v>43556.604166666664</v>
      </c>
      <c r="AI221" t="s">
        <v>36</v>
      </c>
      <c r="AJ221" t="s">
        <v>36</v>
      </c>
    </row>
    <row r="222" spans="1:36" x14ac:dyDescent="0.35">
      <c r="A222">
        <v>928</v>
      </c>
      <c r="B222" t="s">
        <v>296</v>
      </c>
      <c r="C222" s="1">
        <v>42713.361111111109</v>
      </c>
      <c r="D222" t="s">
        <v>36</v>
      </c>
      <c r="E222" s="1">
        <v>43526.347222222219</v>
      </c>
      <c r="F222" s="1">
        <v>43526.319444444445</v>
      </c>
      <c r="G222" t="s">
        <v>36</v>
      </c>
      <c r="H222" s="1">
        <v>43626.604166666664</v>
      </c>
      <c r="I222" s="1">
        <v>43617.604166666664</v>
      </c>
      <c r="J222" t="s">
        <v>36</v>
      </c>
      <c r="K222" s="1">
        <v>42692.493055555555</v>
      </c>
      <c r="L222" t="s">
        <v>36</v>
      </c>
      <c r="M222" s="1">
        <v>43348.625</v>
      </c>
      <c r="N222" t="s">
        <v>36</v>
      </c>
      <c r="O222" t="s">
        <v>36</v>
      </c>
      <c r="P222" t="s">
        <v>36</v>
      </c>
      <c r="Q222" t="s">
        <v>36</v>
      </c>
      <c r="R222" t="s">
        <v>36</v>
      </c>
      <c r="S222" s="1">
        <v>43467.236111111109</v>
      </c>
      <c r="T222" t="s">
        <v>36</v>
      </c>
      <c r="U222" s="1">
        <v>43618.270833333336</v>
      </c>
      <c r="V222" s="1">
        <v>42719.638888888891</v>
      </c>
      <c r="W222" s="1">
        <v>42692.5</v>
      </c>
      <c r="X222" t="s">
        <v>36</v>
      </c>
      <c r="Y222" t="s">
        <v>36</v>
      </c>
      <c r="Z222" s="1">
        <v>42713.590277777781</v>
      </c>
      <c r="AA222" s="1">
        <v>43616.951388888891</v>
      </c>
      <c r="AB222" s="1">
        <v>42692.5</v>
      </c>
      <c r="AC222" s="1">
        <v>42692.5</v>
      </c>
      <c r="AD222" s="1">
        <v>42720.5</v>
      </c>
      <c r="AE222" t="s">
        <v>36</v>
      </c>
      <c r="AF222" t="s">
        <v>36</v>
      </c>
      <c r="AG222" t="s">
        <v>36</v>
      </c>
      <c r="AH222" s="1">
        <v>43556.604166666664</v>
      </c>
      <c r="AI222" t="s">
        <v>36</v>
      </c>
      <c r="AJ222" t="s">
        <v>36</v>
      </c>
    </row>
    <row r="223" spans="1:36" x14ac:dyDescent="0.35">
      <c r="A223">
        <v>929</v>
      </c>
      <c r="B223" t="s">
        <v>297</v>
      </c>
      <c r="C223" s="1">
        <v>42713.361111111109</v>
      </c>
      <c r="D223" t="s">
        <v>36</v>
      </c>
      <c r="E223" s="1">
        <v>43526.347222222219</v>
      </c>
      <c r="F223" s="1">
        <v>43526.319444444445</v>
      </c>
      <c r="G223" t="s">
        <v>36</v>
      </c>
      <c r="H223" s="1">
        <v>43626.604166666664</v>
      </c>
      <c r="I223" s="1">
        <v>43617.604166666664</v>
      </c>
      <c r="J223" t="s">
        <v>36</v>
      </c>
      <c r="K223" s="1">
        <v>42692.493055555555</v>
      </c>
      <c r="L223" t="s">
        <v>36</v>
      </c>
      <c r="M223" s="1">
        <v>43348.625</v>
      </c>
      <c r="N223" t="s">
        <v>36</v>
      </c>
      <c r="O223" t="s">
        <v>36</v>
      </c>
      <c r="P223" t="s">
        <v>36</v>
      </c>
      <c r="Q223" t="s">
        <v>36</v>
      </c>
      <c r="R223" t="s">
        <v>36</v>
      </c>
      <c r="S223" s="1">
        <v>43467.236111111109</v>
      </c>
      <c r="T223" t="s">
        <v>36</v>
      </c>
      <c r="U223" s="1">
        <v>43618.270833333336</v>
      </c>
      <c r="V223" s="1">
        <v>42719.638888888891</v>
      </c>
      <c r="W223" s="1">
        <v>42692.5</v>
      </c>
      <c r="X223" t="s">
        <v>36</v>
      </c>
      <c r="Y223" t="s">
        <v>36</v>
      </c>
      <c r="Z223" s="1">
        <v>42713.590277777781</v>
      </c>
      <c r="AA223" s="1">
        <v>43616.951388888891</v>
      </c>
      <c r="AB223" s="1">
        <v>42692.5</v>
      </c>
      <c r="AC223" s="1">
        <v>42692.5</v>
      </c>
      <c r="AD223" s="1">
        <v>42720.5</v>
      </c>
      <c r="AE223" t="s">
        <v>36</v>
      </c>
      <c r="AF223" t="s">
        <v>36</v>
      </c>
      <c r="AG223" t="s">
        <v>36</v>
      </c>
      <c r="AH223" s="1">
        <v>43556.604166666664</v>
      </c>
      <c r="AI223" t="s">
        <v>36</v>
      </c>
      <c r="AJ223" t="s">
        <v>36</v>
      </c>
    </row>
    <row r="224" spans="1:36" x14ac:dyDescent="0.35">
      <c r="A224">
        <v>3193</v>
      </c>
      <c r="B224" t="s">
        <v>278</v>
      </c>
      <c r="C224" t="s">
        <v>36</v>
      </c>
      <c r="D224" t="s">
        <v>36</v>
      </c>
      <c r="E224" t="s">
        <v>36</v>
      </c>
      <c r="F224" t="s">
        <v>36</v>
      </c>
      <c r="G224" t="s">
        <v>36</v>
      </c>
      <c r="H224" t="s">
        <v>36</v>
      </c>
      <c r="I224" t="s">
        <v>36</v>
      </c>
      <c r="J224" t="s">
        <v>36</v>
      </c>
      <c r="K224" t="s">
        <v>36</v>
      </c>
      <c r="L224" t="s">
        <v>36</v>
      </c>
      <c r="M224" t="s">
        <v>36</v>
      </c>
      <c r="N224" t="s">
        <v>36</v>
      </c>
      <c r="O224" t="s">
        <v>36</v>
      </c>
      <c r="P224" t="s">
        <v>36</v>
      </c>
      <c r="Q224" t="s">
        <v>36</v>
      </c>
      <c r="R224" t="s">
        <v>36</v>
      </c>
      <c r="S224" t="s">
        <v>36</v>
      </c>
      <c r="T224" t="s">
        <v>36</v>
      </c>
      <c r="U224" t="s">
        <v>36</v>
      </c>
      <c r="V224" t="s">
        <v>36</v>
      </c>
      <c r="W224" t="s">
        <v>36</v>
      </c>
      <c r="X224" t="s">
        <v>36</v>
      </c>
      <c r="Y224" t="s">
        <v>36</v>
      </c>
      <c r="Z224" t="s">
        <v>36</v>
      </c>
      <c r="AA224" t="s">
        <v>36</v>
      </c>
      <c r="AB224" t="s">
        <v>36</v>
      </c>
      <c r="AC224" t="s">
        <v>36</v>
      </c>
      <c r="AD224" t="s">
        <v>36</v>
      </c>
      <c r="AE224" t="s">
        <v>36</v>
      </c>
      <c r="AF224" t="s">
        <v>36</v>
      </c>
      <c r="AG224" t="s">
        <v>36</v>
      </c>
      <c r="AH224" t="s">
        <v>36</v>
      </c>
      <c r="AI224" t="s">
        <v>36</v>
      </c>
      <c r="AJ224" t="s">
        <v>36</v>
      </c>
    </row>
    <row r="225" spans="1:36" x14ac:dyDescent="0.35">
      <c r="A225">
        <v>10</v>
      </c>
      <c r="B225" t="s">
        <v>45</v>
      </c>
      <c r="C225" t="s">
        <v>36</v>
      </c>
      <c r="D225" t="s">
        <v>36</v>
      </c>
      <c r="E225" t="s">
        <v>36</v>
      </c>
      <c r="F225" t="s">
        <v>36</v>
      </c>
      <c r="G225" t="s">
        <v>36</v>
      </c>
      <c r="H225" t="s">
        <v>36</v>
      </c>
      <c r="I225" t="s">
        <v>36</v>
      </c>
      <c r="J225" s="1">
        <v>43061.534722222219</v>
      </c>
      <c r="K225" t="s">
        <v>36</v>
      </c>
      <c r="L225" t="s">
        <v>36</v>
      </c>
      <c r="M225" s="1">
        <v>43348.625</v>
      </c>
      <c r="N225" t="s">
        <v>36</v>
      </c>
      <c r="O225" t="s">
        <v>36</v>
      </c>
      <c r="P225" t="s">
        <v>36</v>
      </c>
      <c r="Q225" s="1">
        <v>40911.534722222219</v>
      </c>
      <c r="R225" t="s">
        <v>36</v>
      </c>
      <c r="S225" t="s">
        <v>36</v>
      </c>
      <c r="T225" t="s">
        <v>36</v>
      </c>
      <c r="U225" t="s">
        <v>36</v>
      </c>
      <c r="V225" t="s">
        <v>36</v>
      </c>
      <c r="W225" s="1">
        <v>42477.895833333336</v>
      </c>
      <c r="X225" t="s">
        <v>36</v>
      </c>
      <c r="Y225" t="s">
        <v>36</v>
      </c>
      <c r="Z225" t="s">
        <v>36</v>
      </c>
      <c r="AA225" t="s">
        <v>36</v>
      </c>
      <c r="AB225" t="s">
        <v>36</v>
      </c>
      <c r="AC225" t="s">
        <v>36</v>
      </c>
      <c r="AD225" t="s">
        <v>36</v>
      </c>
      <c r="AE225" t="s">
        <v>36</v>
      </c>
      <c r="AF225" t="s">
        <v>36</v>
      </c>
      <c r="AG225" t="s">
        <v>36</v>
      </c>
      <c r="AH225" t="s">
        <v>36</v>
      </c>
      <c r="AI225" t="s">
        <v>36</v>
      </c>
      <c r="AJ225" t="s">
        <v>36</v>
      </c>
    </row>
    <row r="226" spans="1:36" x14ac:dyDescent="0.35">
      <c r="A226">
        <v>27</v>
      </c>
      <c r="B226" t="s">
        <v>62</v>
      </c>
      <c r="C226" t="s">
        <v>36</v>
      </c>
      <c r="D226" t="s">
        <v>36</v>
      </c>
      <c r="E226" t="s">
        <v>36</v>
      </c>
      <c r="F226" t="s">
        <v>36</v>
      </c>
      <c r="G226" t="s">
        <v>36</v>
      </c>
      <c r="H226" t="s">
        <v>36</v>
      </c>
      <c r="I226" t="s">
        <v>36</v>
      </c>
      <c r="J226" t="s">
        <v>36</v>
      </c>
      <c r="K226" t="s">
        <v>36</v>
      </c>
      <c r="L226" t="s">
        <v>36</v>
      </c>
      <c r="M226" t="s">
        <v>36</v>
      </c>
      <c r="N226" t="s">
        <v>36</v>
      </c>
      <c r="O226" t="s">
        <v>36</v>
      </c>
      <c r="P226" t="s">
        <v>36</v>
      </c>
      <c r="Q226" s="1">
        <v>40911.534722222219</v>
      </c>
      <c r="R226" t="s">
        <v>36</v>
      </c>
      <c r="S226" t="s">
        <v>36</v>
      </c>
      <c r="T226" t="s">
        <v>36</v>
      </c>
      <c r="U226" t="s">
        <v>36</v>
      </c>
      <c r="V226" t="s">
        <v>36</v>
      </c>
      <c r="W226" t="s">
        <v>36</v>
      </c>
      <c r="X226" t="s">
        <v>36</v>
      </c>
      <c r="Y226" t="s">
        <v>36</v>
      </c>
      <c r="Z226" t="s">
        <v>36</v>
      </c>
      <c r="AA226" t="s">
        <v>36</v>
      </c>
      <c r="AB226" t="s">
        <v>36</v>
      </c>
      <c r="AC226" t="s">
        <v>36</v>
      </c>
      <c r="AD226" t="s">
        <v>36</v>
      </c>
      <c r="AE226" t="s">
        <v>36</v>
      </c>
      <c r="AF226" t="s">
        <v>36</v>
      </c>
      <c r="AG226" t="s">
        <v>36</v>
      </c>
      <c r="AH226" t="s">
        <v>36</v>
      </c>
      <c r="AI226" t="s">
        <v>36</v>
      </c>
      <c r="AJ226" t="s">
        <v>36</v>
      </c>
    </row>
    <row r="227" spans="1:36" x14ac:dyDescent="0.35">
      <c r="A227">
        <v>28</v>
      </c>
      <c r="B227" t="s">
        <v>63</v>
      </c>
      <c r="C227" t="s">
        <v>36</v>
      </c>
      <c r="D227" t="s">
        <v>36</v>
      </c>
      <c r="E227" t="s">
        <v>36</v>
      </c>
      <c r="F227" t="s">
        <v>36</v>
      </c>
      <c r="G227" t="s">
        <v>36</v>
      </c>
      <c r="H227" t="s">
        <v>36</v>
      </c>
      <c r="I227" t="s">
        <v>36</v>
      </c>
      <c r="J227" t="s">
        <v>36</v>
      </c>
      <c r="K227" t="s">
        <v>36</v>
      </c>
      <c r="L227" t="s">
        <v>36</v>
      </c>
      <c r="M227" t="s">
        <v>36</v>
      </c>
      <c r="N227" t="s">
        <v>36</v>
      </c>
      <c r="O227" t="s">
        <v>36</v>
      </c>
      <c r="P227" t="s">
        <v>36</v>
      </c>
      <c r="Q227" s="1">
        <v>40911.534722222219</v>
      </c>
      <c r="R227" t="s">
        <v>36</v>
      </c>
      <c r="S227" t="s">
        <v>36</v>
      </c>
      <c r="T227" t="s">
        <v>36</v>
      </c>
      <c r="U227" t="s">
        <v>36</v>
      </c>
      <c r="V227" t="s">
        <v>36</v>
      </c>
      <c r="W227" t="s">
        <v>36</v>
      </c>
      <c r="X227" t="s">
        <v>36</v>
      </c>
      <c r="Y227" t="s">
        <v>36</v>
      </c>
      <c r="Z227" t="s">
        <v>36</v>
      </c>
      <c r="AA227" t="s">
        <v>36</v>
      </c>
      <c r="AB227" t="s">
        <v>36</v>
      </c>
      <c r="AC227" t="s">
        <v>36</v>
      </c>
      <c r="AD227" t="s">
        <v>36</v>
      </c>
      <c r="AE227" t="s">
        <v>36</v>
      </c>
      <c r="AF227" t="s">
        <v>36</v>
      </c>
      <c r="AG227" t="s">
        <v>36</v>
      </c>
      <c r="AH227" t="s">
        <v>36</v>
      </c>
      <c r="AI227" t="s">
        <v>36</v>
      </c>
      <c r="AJ227" t="s">
        <v>36</v>
      </c>
    </row>
    <row r="228" spans="1:36" x14ac:dyDescent="0.35">
      <c r="A228">
        <v>29</v>
      </c>
      <c r="B228" t="s">
        <v>64</v>
      </c>
      <c r="C228" t="s">
        <v>36</v>
      </c>
      <c r="D228" t="s">
        <v>36</v>
      </c>
      <c r="E228" t="s">
        <v>36</v>
      </c>
      <c r="F228" t="s">
        <v>36</v>
      </c>
      <c r="G228" t="s">
        <v>36</v>
      </c>
      <c r="H228" t="s">
        <v>36</v>
      </c>
      <c r="I228" t="s">
        <v>36</v>
      </c>
      <c r="J228" t="s">
        <v>36</v>
      </c>
      <c r="K228" t="s">
        <v>36</v>
      </c>
      <c r="L228" t="s">
        <v>36</v>
      </c>
      <c r="M228" t="s">
        <v>36</v>
      </c>
      <c r="N228" t="s">
        <v>36</v>
      </c>
      <c r="O228" t="s">
        <v>36</v>
      </c>
      <c r="P228" t="s">
        <v>36</v>
      </c>
      <c r="Q228" s="1">
        <v>40911.534722222219</v>
      </c>
      <c r="R228" t="s">
        <v>36</v>
      </c>
      <c r="S228" t="s">
        <v>36</v>
      </c>
      <c r="T228" t="s">
        <v>36</v>
      </c>
      <c r="U228" t="s">
        <v>36</v>
      </c>
      <c r="V228" t="s">
        <v>36</v>
      </c>
      <c r="W228" t="s">
        <v>36</v>
      </c>
      <c r="X228" t="s">
        <v>36</v>
      </c>
      <c r="Y228" t="s">
        <v>36</v>
      </c>
      <c r="Z228" t="s">
        <v>36</v>
      </c>
      <c r="AA228" t="s">
        <v>36</v>
      </c>
      <c r="AB228" t="s">
        <v>36</v>
      </c>
      <c r="AC228" t="s">
        <v>36</v>
      </c>
      <c r="AD228" t="s">
        <v>36</v>
      </c>
      <c r="AE228" t="s">
        <v>36</v>
      </c>
      <c r="AF228" t="s">
        <v>36</v>
      </c>
      <c r="AG228" t="s">
        <v>36</v>
      </c>
      <c r="AH228" t="s">
        <v>36</v>
      </c>
      <c r="AI228" t="s">
        <v>36</v>
      </c>
      <c r="AJ228" t="s">
        <v>36</v>
      </c>
    </row>
    <row r="229" spans="1:36" x14ac:dyDescent="0.35">
      <c r="A229">
        <v>327</v>
      </c>
      <c r="B229" t="s">
        <v>195</v>
      </c>
      <c r="C229" t="s">
        <v>36</v>
      </c>
      <c r="D229" t="s">
        <v>36</v>
      </c>
      <c r="E229" t="s">
        <v>36</v>
      </c>
      <c r="F229" t="s">
        <v>36</v>
      </c>
      <c r="G229" s="1">
        <v>41426</v>
      </c>
      <c r="H229" t="s">
        <v>36</v>
      </c>
      <c r="I229" t="s">
        <v>36</v>
      </c>
      <c r="J229" t="s">
        <v>36</v>
      </c>
      <c r="K229" t="s">
        <v>36</v>
      </c>
      <c r="L229" t="s">
        <v>36</v>
      </c>
      <c r="M229" t="s">
        <v>36</v>
      </c>
      <c r="N229" t="s">
        <v>36</v>
      </c>
      <c r="O229" t="s">
        <v>36</v>
      </c>
      <c r="P229" s="1">
        <v>41426</v>
      </c>
      <c r="Q229" t="s">
        <v>36</v>
      </c>
      <c r="R229" t="s">
        <v>36</v>
      </c>
      <c r="S229" t="s">
        <v>36</v>
      </c>
      <c r="T229" s="1">
        <v>39873</v>
      </c>
      <c r="U229" t="s">
        <v>36</v>
      </c>
      <c r="V229" t="s">
        <v>36</v>
      </c>
      <c r="W229" t="s">
        <v>36</v>
      </c>
      <c r="X229" t="s">
        <v>36</v>
      </c>
      <c r="Y229" t="s">
        <v>36</v>
      </c>
      <c r="Z229" t="s">
        <v>36</v>
      </c>
      <c r="AA229" t="s">
        <v>36</v>
      </c>
      <c r="AB229" t="s">
        <v>36</v>
      </c>
      <c r="AC229" t="s">
        <v>36</v>
      </c>
      <c r="AD229" t="s">
        <v>36</v>
      </c>
      <c r="AE229" t="s">
        <v>36</v>
      </c>
      <c r="AF229" s="1">
        <v>41513.4375</v>
      </c>
      <c r="AG229" s="1">
        <v>43040</v>
      </c>
      <c r="AH229" t="s">
        <v>36</v>
      </c>
      <c r="AI229" s="1">
        <v>41365</v>
      </c>
      <c r="AJ229" s="1">
        <v>41426</v>
      </c>
    </row>
    <row r="230" spans="1:36" x14ac:dyDescent="0.35">
      <c r="A230">
        <v>1677</v>
      </c>
      <c r="B230" t="s">
        <v>275</v>
      </c>
      <c r="C230" t="s">
        <v>36</v>
      </c>
      <c r="D230" t="s">
        <v>36</v>
      </c>
      <c r="E230" t="s">
        <v>36</v>
      </c>
      <c r="F230" t="s">
        <v>36</v>
      </c>
      <c r="G230" t="s">
        <v>36</v>
      </c>
      <c r="H230" t="s">
        <v>36</v>
      </c>
      <c r="I230" t="s">
        <v>36</v>
      </c>
      <c r="J230" t="s">
        <v>36</v>
      </c>
      <c r="K230" t="s">
        <v>36</v>
      </c>
      <c r="L230" t="s">
        <v>36</v>
      </c>
      <c r="M230" t="s">
        <v>36</v>
      </c>
      <c r="N230" t="s">
        <v>36</v>
      </c>
      <c r="O230" t="s">
        <v>36</v>
      </c>
      <c r="P230" t="s">
        <v>36</v>
      </c>
      <c r="Q230" t="s">
        <v>36</v>
      </c>
      <c r="R230" t="s">
        <v>36</v>
      </c>
      <c r="S230" t="s">
        <v>36</v>
      </c>
      <c r="T230" t="s">
        <v>36</v>
      </c>
      <c r="U230" t="s">
        <v>36</v>
      </c>
      <c r="V230" t="s">
        <v>36</v>
      </c>
      <c r="W230" t="s">
        <v>36</v>
      </c>
      <c r="X230" t="s">
        <v>36</v>
      </c>
      <c r="Y230" t="s">
        <v>36</v>
      </c>
      <c r="Z230" t="s">
        <v>36</v>
      </c>
      <c r="AA230" t="s">
        <v>36</v>
      </c>
      <c r="AB230" t="s">
        <v>36</v>
      </c>
      <c r="AC230" t="s">
        <v>36</v>
      </c>
      <c r="AD230" t="s">
        <v>36</v>
      </c>
      <c r="AE230" t="s">
        <v>36</v>
      </c>
      <c r="AF230" t="s">
        <v>36</v>
      </c>
      <c r="AG230" t="s">
        <v>36</v>
      </c>
      <c r="AH230" t="s">
        <v>36</v>
      </c>
      <c r="AI230" t="s">
        <v>36</v>
      </c>
      <c r="AJ230" t="s">
        <v>36</v>
      </c>
    </row>
    <row r="231" spans="1:36" x14ac:dyDescent="0.35">
      <c r="A231">
        <v>304</v>
      </c>
      <c r="B231" t="s">
        <v>182</v>
      </c>
      <c r="C231" t="s">
        <v>36</v>
      </c>
      <c r="D231" t="s">
        <v>36</v>
      </c>
      <c r="E231" t="s">
        <v>36</v>
      </c>
      <c r="F231" t="s">
        <v>36</v>
      </c>
      <c r="G231" t="s">
        <v>36</v>
      </c>
      <c r="H231" t="s">
        <v>36</v>
      </c>
      <c r="I231" t="s">
        <v>36</v>
      </c>
      <c r="J231" t="s">
        <v>36</v>
      </c>
      <c r="K231" t="s">
        <v>36</v>
      </c>
      <c r="L231" t="s">
        <v>36</v>
      </c>
      <c r="M231" t="s">
        <v>36</v>
      </c>
      <c r="N231" t="s">
        <v>36</v>
      </c>
      <c r="O231" t="s">
        <v>36</v>
      </c>
      <c r="P231" t="s">
        <v>36</v>
      </c>
      <c r="Q231" t="s">
        <v>36</v>
      </c>
      <c r="R231" t="s">
        <v>36</v>
      </c>
      <c r="S231" t="s">
        <v>36</v>
      </c>
      <c r="T231" t="s">
        <v>36</v>
      </c>
      <c r="U231" t="s">
        <v>36</v>
      </c>
      <c r="V231" t="s">
        <v>36</v>
      </c>
      <c r="W231" t="s">
        <v>36</v>
      </c>
      <c r="X231" t="s">
        <v>36</v>
      </c>
      <c r="Y231" t="s">
        <v>36</v>
      </c>
      <c r="Z231" t="s">
        <v>36</v>
      </c>
      <c r="AA231" t="s">
        <v>36</v>
      </c>
      <c r="AB231" t="s">
        <v>36</v>
      </c>
      <c r="AC231" t="s">
        <v>36</v>
      </c>
      <c r="AD231" t="s">
        <v>36</v>
      </c>
      <c r="AE231" t="s">
        <v>36</v>
      </c>
      <c r="AF231" t="s">
        <v>36</v>
      </c>
      <c r="AG231" t="s">
        <v>36</v>
      </c>
      <c r="AH231" t="s">
        <v>36</v>
      </c>
      <c r="AI231" t="s">
        <v>36</v>
      </c>
      <c r="AJ231" t="s">
        <v>36</v>
      </c>
    </row>
    <row r="232" spans="1:36" x14ac:dyDescent="0.35">
      <c r="A232">
        <v>447</v>
      </c>
      <c r="B232" t="s">
        <v>248</v>
      </c>
      <c r="C232" t="s">
        <v>36</v>
      </c>
      <c r="D232" t="s">
        <v>36</v>
      </c>
      <c r="E232" t="s">
        <v>36</v>
      </c>
      <c r="F232" t="s">
        <v>36</v>
      </c>
      <c r="G232" t="s">
        <v>36</v>
      </c>
      <c r="H232" t="s">
        <v>36</v>
      </c>
      <c r="I232" t="s">
        <v>36</v>
      </c>
      <c r="J232" t="s">
        <v>36</v>
      </c>
      <c r="K232" t="s">
        <v>36</v>
      </c>
      <c r="L232" t="s">
        <v>36</v>
      </c>
      <c r="M232" s="1">
        <v>43348.625</v>
      </c>
      <c r="N232" t="s">
        <v>36</v>
      </c>
      <c r="O232" t="s">
        <v>36</v>
      </c>
      <c r="P232" t="s">
        <v>36</v>
      </c>
      <c r="Q232" t="s">
        <v>36</v>
      </c>
      <c r="R232" t="s">
        <v>36</v>
      </c>
      <c r="S232" t="s">
        <v>36</v>
      </c>
      <c r="T232" t="s">
        <v>36</v>
      </c>
      <c r="U232" t="s">
        <v>36</v>
      </c>
      <c r="V232" t="s">
        <v>36</v>
      </c>
      <c r="W232" t="s">
        <v>36</v>
      </c>
      <c r="X232" t="s">
        <v>36</v>
      </c>
      <c r="Y232" t="s">
        <v>36</v>
      </c>
      <c r="Z232" t="s">
        <v>36</v>
      </c>
      <c r="AA232" t="s">
        <v>36</v>
      </c>
      <c r="AB232" t="s">
        <v>36</v>
      </c>
      <c r="AC232" t="s">
        <v>36</v>
      </c>
      <c r="AD232" t="s">
        <v>36</v>
      </c>
      <c r="AE232" t="s">
        <v>36</v>
      </c>
      <c r="AF232" t="s">
        <v>36</v>
      </c>
      <c r="AG232" t="s">
        <v>36</v>
      </c>
      <c r="AH232" t="s">
        <v>36</v>
      </c>
      <c r="AI232" t="s">
        <v>36</v>
      </c>
      <c r="AJ232" t="s">
        <v>36</v>
      </c>
    </row>
    <row r="233" spans="1:36" x14ac:dyDescent="0.35">
      <c r="A233">
        <v>423</v>
      </c>
      <c r="B233" t="s">
        <v>246</v>
      </c>
      <c r="C233" t="s">
        <v>36</v>
      </c>
      <c r="D233" t="s">
        <v>36</v>
      </c>
      <c r="E233" t="s">
        <v>36</v>
      </c>
      <c r="F233" t="s">
        <v>36</v>
      </c>
      <c r="G233" s="1">
        <v>41426</v>
      </c>
      <c r="H233" t="s">
        <v>36</v>
      </c>
      <c r="I233" t="s">
        <v>36</v>
      </c>
      <c r="J233" t="s">
        <v>36</v>
      </c>
      <c r="K233" t="s">
        <v>36</v>
      </c>
      <c r="L233" t="s">
        <v>36</v>
      </c>
      <c r="M233" t="s">
        <v>36</v>
      </c>
      <c r="N233" t="s">
        <v>36</v>
      </c>
      <c r="O233" t="s">
        <v>36</v>
      </c>
      <c r="P233" t="s">
        <v>36</v>
      </c>
      <c r="Q233" t="s">
        <v>36</v>
      </c>
      <c r="R233" t="s">
        <v>36</v>
      </c>
      <c r="S233" t="s">
        <v>36</v>
      </c>
      <c r="T233" s="1">
        <v>39873</v>
      </c>
      <c r="U233" t="s">
        <v>36</v>
      </c>
      <c r="V233" t="s">
        <v>36</v>
      </c>
      <c r="W233" t="s">
        <v>36</v>
      </c>
      <c r="X233" t="s">
        <v>36</v>
      </c>
      <c r="Y233" t="s">
        <v>36</v>
      </c>
      <c r="Z233" t="s">
        <v>36</v>
      </c>
      <c r="AA233" t="s">
        <v>36</v>
      </c>
      <c r="AB233" t="s">
        <v>36</v>
      </c>
      <c r="AC233" t="s">
        <v>36</v>
      </c>
      <c r="AD233" t="s">
        <v>36</v>
      </c>
      <c r="AE233" t="s">
        <v>36</v>
      </c>
      <c r="AF233" s="1">
        <v>41513.4375</v>
      </c>
      <c r="AG233" t="s">
        <v>36</v>
      </c>
      <c r="AH233" t="s">
        <v>36</v>
      </c>
      <c r="AI233" s="1">
        <v>41365</v>
      </c>
      <c r="AJ233" s="1">
        <v>41426</v>
      </c>
    </row>
    <row r="234" spans="1:36" x14ac:dyDescent="0.35">
      <c r="A234">
        <v>131</v>
      </c>
      <c r="B234" t="s">
        <v>121</v>
      </c>
      <c r="C234" t="s">
        <v>36</v>
      </c>
      <c r="D234" s="1">
        <v>42058.680555555555</v>
      </c>
      <c r="E234" t="s">
        <v>36</v>
      </c>
      <c r="F234" t="s">
        <v>36</v>
      </c>
      <c r="G234" t="s">
        <v>36</v>
      </c>
      <c r="H234" t="s">
        <v>36</v>
      </c>
      <c r="I234" t="s">
        <v>36</v>
      </c>
      <c r="J234" t="s">
        <v>36</v>
      </c>
      <c r="K234" t="s">
        <v>36</v>
      </c>
      <c r="L234" t="s">
        <v>36</v>
      </c>
      <c r="M234" t="s">
        <v>36</v>
      </c>
      <c r="N234" s="1">
        <v>42795</v>
      </c>
      <c r="O234" s="1">
        <v>42376.743055555555</v>
      </c>
      <c r="P234" t="s">
        <v>36</v>
      </c>
      <c r="Q234" t="s">
        <v>36</v>
      </c>
      <c r="R234" t="s">
        <v>36</v>
      </c>
      <c r="S234" t="s">
        <v>36</v>
      </c>
      <c r="T234" t="s">
        <v>36</v>
      </c>
      <c r="U234" t="s">
        <v>36</v>
      </c>
      <c r="V234" t="s">
        <v>36</v>
      </c>
      <c r="W234" t="s">
        <v>36</v>
      </c>
      <c r="X234" s="1">
        <v>42193.618055555555</v>
      </c>
      <c r="Y234" t="s">
        <v>36</v>
      </c>
      <c r="Z234" t="s">
        <v>36</v>
      </c>
      <c r="AA234" t="s">
        <v>36</v>
      </c>
      <c r="AB234" t="s">
        <v>36</v>
      </c>
      <c r="AC234" t="s">
        <v>36</v>
      </c>
      <c r="AD234" t="s">
        <v>36</v>
      </c>
      <c r="AE234" t="s">
        <v>36</v>
      </c>
      <c r="AF234" t="s">
        <v>36</v>
      </c>
      <c r="AG234" t="s">
        <v>36</v>
      </c>
      <c r="AH234" t="s">
        <v>36</v>
      </c>
      <c r="AI234" t="s">
        <v>36</v>
      </c>
      <c r="AJ234" t="s">
        <v>36</v>
      </c>
    </row>
    <row r="235" spans="1:36" x14ac:dyDescent="0.35">
      <c r="A235">
        <v>132</v>
      </c>
      <c r="B235" t="s">
        <v>122</v>
      </c>
      <c r="C235" t="s">
        <v>36</v>
      </c>
      <c r="D235" s="1">
        <v>42058.680555555555</v>
      </c>
      <c r="E235" t="s">
        <v>36</v>
      </c>
      <c r="F235" t="s">
        <v>36</v>
      </c>
      <c r="G235" t="s">
        <v>36</v>
      </c>
      <c r="H235" t="s">
        <v>36</v>
      </c>
      <c r="I235" t="s">
        <v>36</v>
      </c>
      <c r="J235" t="s">
        <v>36</v>
      </c>
      <c r="K235" t="s">
        <v>36</v>
      </c>
      <c r="L235" t="s">
        <v>36</v>
      </c>
      <c r="M235" t="s">
        <v>36</v>
      </c>
      <c r="N235" s="1">
        <v>42795</v>
      </c>
      <c r="O235" s="1">
        <v>42376.743055555555</v>
      </c>
      <c r="P235" t="s">
        <v>36</v>
      </c>
      <c r="Q235" t="s">
        <v>36</v>
      </c>
      <c r="R235" t="s">
        <v>36</v>
      </c>
      <c r="S235" t="s">
        <v>36</v>
      </c>
      <c r="T235" t="s">
        <v>36</v>
      </c>
      <c r="U235" t="s">
        <v>36</v>
      </c>
      <c r="V235" t="s">
        <v>36</v>
      </c>
      <c r="W235" t="s">
        <v>36</v>
      </c>
      <c r="X235" s="1">
        <v>42193.618055555555</v>
      </c>
      <c r="Y235" t="s">
        <v>36</v>
      </c>
      <c r="Z235" t="s">
        <v>36</v>
      </c>
      <c r="AA235" t="s">
        <v>36</v>
      </c>
      <c r="AB235" t="s">
        <v>36</v>
      </c>
      <c r="AC235" t="s">
        <v>36</v>
      </c>
      <c r="AD235" t="s">
        <v>36</v>
      </c>
      <c r="AE235" t="s">
        <v>36</v>
      </c>
      <c r="AF235" t="s">
        <v>36</v>
      </c>
      <c r="AG235" t="s">
        <v>36</v>
      </c>
      <c r="AH235" t="s">
        <v>36</v>
      </c>
      <c r="AI235" t="s">
        <v>36</v>
      </c>
      <c r="AJ235" t="s">
        <v>36</v>
      </c>
    </row>
    <row r="236" spans="1:36" x14ac:dyDescent="0.35">
      <c r="A236">
        <v>133</v>
      </c>
      <c r="B236" t="s">
        <v>123</v>
      </c>
      <c r="C236" t="s">
        <v>36</v>
      </c>
      <c r="D236" s="1">
        <v>42058.680555555555</v>
      </c>
      <c r="E236" t="s">
        <v>36</v>
      </c>
      <c r="F236" t="s">
        <v>36</v>
      </c>
      <c r="G236" t="s">
        <v>36</v>
      </c>
      <c r="H236" t="s">
        <v>36</v>
      </c>
      <c r="I236" t="s">
        <v>36</v>
      </c>
      <c r="J236" t="s">
        <v>36</v>
      </c>
      <c r="K236" t="s">
        <v>36</v>
      </c>
      <c r="L236" t="s">
        <v>36</v>
      </c>
      <c r="M236" t="s">
        <v>36</v>
      </c>
      <c r="N236" s="1">
        <v>42795</v>
      </c>
      <c r="O236" s="1">
        <v>42376.743055555555</v>
      </c>
      <c r="P236" t="s">
        <v>36</v>
      </c>
      <c r="Q236" t="s">
        <v>36</v>
      </c>
      <c r="R236" t="s">
        <v>36</v>
      </c>
      <c r="S236" t="s">
        <v>36</v>
      </c>
      <c r="T236" t="s">
        <v>36</v>
      </c>
      <c r="U236" t="s">
        <v>36</v>
      </c>
      <c r="V236" t="s">
        <v>36</v>
      </c>
      <c r="W236" t="s">
        <v>36</v>
      </c>
      <c r="X236" s="1">
        <v>42193.618055555555</v>
      </c>
      <c r="Y236" t="s">
        <v>36</v>
      </c>
      <c r="Z236" t="s">
        <v>36</v>
      </c>
      <c r="AA236" t="s">
        <v>36</v>
      </c>
      <c r="AB236" t="s">
        <v>36</v>
      </c>
      <c r="AC236" t="s">
        <v>36</v>
      </c>
      <c r="AD236" t="s">
        <v>36</v>
      </c>
      <c r="AE236" t="s">
        <v>36</v>
      </c>
      <c r="AF236" t="s">
        <v>36</v>
      </c>
      <c r="AG236" t="s">
        <v>36</v>
      </c>
      <c r="AH236" t="s">
        <v>36</v>
      </c>
      <c r="AI236" t="s">
        <v>36</v>
      </c>
      <c r="AJ236" t="s">
        <v>36</v>
      </c>
    </row>
    <row r="237" spans="1:36" x14ac:dyDescent="0.35">
      <c r="A237">
        <v>54</v>
      </c>
      <c r="B237" t="s">
        <v>88</v>
      </c>
      <c r="C237" s="1">
        <v>42528.291666666664</v>
      </c>
      <c r="D237" s="1">
        <v>42058.680555555555</v>
      </c>
      <c r="E237" s="1">
        <v>39245.465277777781</v>
      </c>
      <c r="F237" s="1">
        <v>42735.993055555555</v>
      </c>
      <c r="G237" s="1">
        <v>41426</v>
      </c>
      <c r="H237" s="1">
        <v>43059.576388888891</v>
      </c>
      <c r="I237" s="1">
        <v>43050.451388888891</v>
      </c>
      <c r="J237" s="1">
        <v>42995.930555555555</v>
      </c>
      <c r="K237" s="1">
        <v>39600</v>
      </c>
      <c r="L237" s="1">
        <v>42940.347222222219</v>
      </c>
      <c r="M237" s="1">
        <v>43348.625</v>
      </c>
      <c r="N237" s="1">
        <v>42795</v>
      </c>
      <c r="O237" s="1">
        <v>42376.743055555555</v>
      </c>
      <c r="P237" t="s">
        <v>36</v>
      </c>
      <c r="Q237" s="1">
        <v>40215.493055555555</v>
      </c>
      <c r="R237" s="1">
        <v>43329.319444444445</v>
      </c>
      <c r="S237" s="1">
        <v>42735.993055555555</v>
      </c>
      <c r="T237" s="1">
        <v>39873</v>
      </c>
      <c r="U237" s="1">
        <v>43054.631944444445</v>
      </c>
      <c r="V237" s="1">
        <v>42473.520833333336</v>
      </c>
      <c r="W237" s="1">
        <v>39599.958333333336</v>
      </c>
      <c r="X237" s="1">
        <v>42193.618055555555</v>
      </c>
      <c r="Y237" s="1">
        <v>43396.4375</v>
      </c>
      <c r="Z237" s="1">
        <v>42648.458333333336</v>
      </c>
      <c r="AA237" s="1">
        <v>43054.611111111109</v>
      </c>
      <c r="AB237" s="1">
        <v>41225.597222222219</v>
      </c>
      <c r="AC237" s="1">
        <v>42485.743055555555</v>
      </c>
      <c r="AD237" s="1">
        <v>42649.430555555555</v>
      </c>
      <c r="AE237" s="1">
        <v>43397.416666666664</v>
      </c>
      <c r="AF237" s="1">
        <v>41513.4375</v>
      </c>
      <c r="AG237" s="1">
        <v>43040</v>
      </c>
      <c r="AH237" s="1">
        <v>39659.506944444445</v>
      </c>
      <c r="AI237" s="1">
        <v>41365</v>
      </c>
      <c r="AJ237" s="1">
        <v>41426</v>
      </c>
    </row>
    <row r="238" spans="1:36" x14ac:dyDescent="0.35">
      <c r="A238">
        <v>20</v>
      </c>
      <c r="B238" t="s">
        <v>55</v>
      </c>
      <c r="C238" t="s">
        <v>36</v>
      </c>
      <c r="D238" t="s">
        <v>36</v>
      </c>
      <c r="E238" t="s">
        <v>36</v>
      </c>
      <c r="F238" t="s">
        <v>36</v>
      </c>
      <c r="G238" t="s">
        <v>36</v>
      </c>
      <c r="H238" t="s">
        <v>36</v>
      </c>
      <c r="I238" t="s">
        <v>36</v>
      </c>
      <c r="J238" t="s">
        <v>36</v>
      </c>
      <c r="K238" t="s">
        <v>36</v>
      </c>
      <c r="L238" t="s">
        <v>36</v>
      </c>
      <c r="M238" t="s">
        <v>36</v>
      </c>
      <c r="N238" t="s">
        <v>36</v>
      </c>
      <c r="O238" t="s">
        <v>36</v>
      </c>
      <c r="P238" t="s">
        <v>36</v>
      </c>
      <c r="Q238" s="1">
        <v>40911.534722222219</v>
      </c>
      <c r="R238" t="s">
        <v>36</v>
      </c>
      <c r="S238" t="s">
        <v>36</v>
      </c>
      <c r="T238" t="s">
        <v>36</v>
      </c>
      <c r="U238" t="s">
        <v>36</v>
      </c>
      <c r="V238" t="s">
        <v>36</v>
      </c>
      <c r="W238" t="s">
        <v>36</v>
      </c>
      <c r="X238" t="s">
        <v>36</v>
      </c>
      <c r="Y238" t="s">
        <v>36</v>
      </c>
      <c r="Z238" t="s">
        <v>36</v>
      </c>
      <c r="AA238" t="s">
        <v>36</v>
      </c>
      <c r="AB238" t="s">
        <v>36</v>
      </c>
      <c r="AC238" t="s">
        <v>36</v>
      </c>
      <c r="AD238" t="s">
        <v>36</v>
      </c>
      <c r="AE238" t="s">
        <v>36</v>
      </c>
      <c r="AF238" t="s">
        <v>36</v>
      </c>
      <c r="AG238" t="s">
        <v>36</v>
      </c>
      <c r="AH238" t="s">
        <v>36</v>
      </c>
      <c r="AI238" t="s">
        <v>36</v>
      </c>
      <c r="AJ238" t="s">
        <v>36</v>
      </c>
    </row>
    <row r="239" spans="1:36" x14ac:dyDescent="0.35">
      <c r="A239">
        <v>21</v>
      </c>
      <c r="B239" t="s">
        <v>56</v>
      </c>
      <c r="C239" t="s">
        <v>36</v>
      </c>
      <c r="D239" t="s">
        <v>36</v>
      </c>
      <c r="E239" t="s">
        <v>36</v>
      </c>
      <c r="F239" t="s">
        <v>36</v>
      </c>
      <c r="G239" t="s">
        <v>36</v>
      </c>
      <c r="H239" t="s">
        <v>36</v>
      </c>
      <c r="I239" t="s">
        <v>36</v>
      </c>
      <c r="J239" t="s">
        <v>36</v>
      </c>
      <c r="K239" t="s">
        <v>36</v>
      </c>
      <c r="L239" t="s">
        <v>36</v>
      </c>
      <c r="M239" t="s">
        <v>36</v>
      </c>
      <c r="N239" t="s">
        <v>36</v>
      </c>
      <c r="O239" t="s">
        <v>36</v>
      </c>
      <c r="P239" t="s">
        <v>36</v>
      </c>
      <c r="Q239" s="1">
        <v>40911.534722222219</v>
      </c>
      <c r="R239" t="s">
        <v>36</v>
      </c>
      <c r="S239" t="s">
        <v>36</v>
      </c>
      <c r="T239" t="s">
        <v>36</v>
      </c>
      <c r="U239" t="s">
        <v>36</v>
      </c>
      <c r="V239" t="s">
        <v>36</v>
      </c>
      <c r="W239" t="s">
        <v>36</v>
      </c>
      <c r="X239" t="s">
        <v>36</v>
      </c>
      <c r="Y239" t="s">
        <v>36</v>
      </c>
      <c r="Z239" t="s">
        <v>36</v>
      </c>
      <c r="AA239" t="s">
        <v>36</v>
      </c>
      <c r="AB239" t="s">
        <v>36</v>
      </c>
      <c r="AC239" t="s">
        <v>36</v>
      </c>
      <c r="AD239" t="s">
        <v>36</v>
      </c>
      <c r="AE239" t="s">
        <v>36</v>
      </c>
      <c r="AF239" t="s">
        <v>36</v>
      </c>
      <c r="AG239" t="s">
        <v>36</v>
      </c>
      <c r="AH239" t="s">
        <v>36</v>
      </c>
      <c r="AI239" t="s">
        <v>36</v>
      </c>
      <c r="AJ239" t="s">
        <v>36</v>
      </c>
    </row>
    <row r="240" spans="1:36" x14ac:dyDescent="0.35">
      <c r="A240">
        <v>307</v>
      </c>
      <c r="B240" t="s">
        <v>184</v>
      </c>
      <c r="C240" t="s">
        <v>36</v>
      </c>
      <c r="D240" s="1">
        <v>42486.298611111109</v>
      </c>
      <c r="E240" t="s">
        <v>36</v>
      </c>
      <c r="F240" t="s">
        <v>36</v>
      </c>
      <c r="G240" t="s">
        <v>36</v>
      </c>
      <c r="H240" t="s">
        <v>36</v>
      </c>
      <c r="I240" t="s">
        <v>36</v>
      </c>
      <c r="J240" t="s">
        <v>36</v>
      </c>
      <c r="K240" t="s">
        <v>36</v>
      </c>
      <c r="L240" t="s">
        <v>36</v>
      </c>
      <c r="M240" t="s">
        <v>36</v>
      </c>
      <c r="N240" t="s">
        <v>36</v>
      </c>
      <c r="O240" s="1">
        <v>42376.743055555555</v>
      </c>
      <c r="P240" t="s">
        <v>36</v>
      </c>
      <c r="Q240" t="s">
        <v>36</v>
      </c>
      <c r="R240" t="s">
        <v>36</v>
      </c>
      <c r="S240" t="s">
        <v>36</v>
      </c>
      <c r="T240" t="s">
        <v>36</v>
      </c>
      <c r="U240" t="s">
        <v>36</v>
      </c>
      <c r="V240" t="s">
        <v>36</v>
      </c>
      <c r="W240" t="s">
        <v>36</v>
      </c>
      <c r="X240" s="1">
        <v>42499.215277777781</v>
      </c>
      <c r="Y240" t="s">
        <v>36</v>
      </c>
      <c r="Z240" t="s">
        <v>36</v>
      </c>
      <c r="AA240" t="s">
        <v>36</v>
      </c>
      <c r="AB240" t="s">
        <v>36</v>
      </c>
      <c r="AC240" t="s">
        <v>36</v>
      </c>
      <c r="AD240" t="s">
        <v>36</v>
      </c>
      <c r="AE240" t="s">
        <v>36</v>
      </c>
      <c r="AF240" t="s">
        <v>36</v>
      </c>
      <c r="AG240" t="s">
        <v>36</v>
      </c>
      <c r="AH240" t="s">
        <v>36</v>
      </c>
      <c r="AI240" t="s">
        <v>36</v>
      </c>
      <c r="AJ240" t="s">
        <v>36</v>
      </c>
    </row>
    <row r="241" spans="1:36" x14ac:dyDescent="0.35">
      <c r="A241">
        <v>202</v>
      </c>
      <c r="B241" t="s">
        <v>148</v>
      </c>
      <c r="C241" t="s">
        <v>36</v>
      </c>
      <c r="D241" s="1">
        <v>42058.680555555555</v>
      </c>
      <c r="E241" t="s">
        <v>36</v>
      </c>
      <c r="F241" t="s">
        <v>36</v>
      </c>
      <c r="G241" t="s">
        <v>36</v>
      </c>
      <c r="H241" t="s">
        <v>36</v>
      </c>
      <c r="I241" t="s">
        <v>36</v>
      </c>
      <c r="J241" t="s">
        <v>36</v>
      </c>
      <c r="K241" t="s">
        <v>36</v>
      </c>
      <c r="L241" t="s">
        <v>36</v>
      </c>
      <c r="M241" t="s">
        <v>36</v>
      </c>
      <c r="N241" s="1">
        <v>42795</v>
      </c>
      <c r="O241" t="s">
        <v>36</v>
      </c>
      <c r="P241" t="s">
        <v>36</v>
      </c>
      <c r="Q241" t="s">
        <v>36</v>
      </c>
      <c r="R241" t="s">
        <v>36</v>
      </c>
      <c r="S241" t="s">
        <v>36</v>
      </c>
      <c r="T241" t="s">
        <v>36</v>
      </c>
      <c r="U241" t="s">
        <v>36</v>
      </c>
      <c r="V241" t="s">
        <v>36</v>
      </c>
      <c r="W241" t="s">
        <v>36</v>
      </c>
      <c r="X241" s="1">
        <v>42193.618055555555</v>
      </c>
      <c r="Y241" t="s">
        <v>36</v>
      </c>
      <c r="Z241" t="s">
        <v>36</v>
      </c>
      <c r="AA241" t="s">
        <v>36</v>
      </c>
      <c r="AB241" t="s">
        <v>36</v>
      </c>
      <c r="AC241" t="s">
        <v>36</v>
      </c>
      <c r="AD241" t="s">
        <v>36</v>
      </c>
      <c r="AE241" t="s">
        <v>36</v>
      </c>
      <c r="AF241" t="s">
        <v>36</v>
      </c>
      <c r="AG241" t="s">
        <v>36</v>
      </c>
      <c r="AH241" t="s">
        <v>36</v>
      </c>
      <c r="AI241" t="s">
        <v>36</v>
      </c>
      <c r="AJ241" t="s">
        <v>36</v>
      </c>
    </row>
    <row r="242" spans="1:36" x14ac:dyDescent="0.35">
      <c r="A242">
        <v>8</v>
      </c>
      <c r="B242" t="s">
        <v>43</v>
      </c>
      <c r="C242" t="s">
        <v>36</v>
      </c>
      <c r="D242" s="1">
        <v>42058.680555555555</v>
      </c>
      <c r="E242" t="s">
        <v>36</v>
      </c>
      <c r="F242" t="s">
        <v>36</v>
      </c>
      <c r="G242" t="s">
        <v>36</v>
      </c>
      <c r="H242" t="s">
        <v>36</v>
      </c>
      <c r="I242" t="s">
        <v>36</v>
      </c>
      <c r="J242" t="s">
        <v>36</v>
      </c>
      <c r="K242" t="s">
        <v>36</v>
      </c>
      <c r="L242" t="s">
        <v>36</v>
      </c>
      <c r="M242" t="s">
        <v>36</v>
      </c>
      <c r="N242" s="1">
        <v>42795</v>
      </c>
      <c r="O242" s="1">
        <v>42376.743055555555</v>
      </c>
      <c r="P242" t="s">
        <v>36</v>
      </c>
      <c r="Q242" s="1">
        <v>40911.534722222219</v>
      </c>
      <c r="R242" t="s">
        <v>36</v>
      </c>
      <c r="S242" t="s">
        <v>36</v>
      </c>
      <c r="T242" t="s">
        <v>36</v>
      </c>
      <c r="U242" t="s">
        <v>36</v>
      </c>
      <c r="V242" t="s">
        <v>36</v>
      </c>
      <c r="W242" t="s">
        <v>36</v>
      </c>
      <c r="X242" s="1">
        <v>42193.618055555555</v>
      </c>
      <c r="Y242" t="s">
        <v>36</v>
      </c>
      <c r="Z242" t="s">
        <v>36</v>
      </c>
      <c r="AA242" t="s">
        <v>36</v>
      </c>
      <c r="AB242" t="s">
        <v>36</v>
      </c>
      <c r="AC242" t="s">
        <v>36</v>
      </c>
      <c r="AD242" t="s">
        <v>36</v>
      </c>
      <c r="AE242" t="s">
        <v>36</v>
      </c>
      <c r="AF242" t="s">
        <v>36</v>
      </c>
      <c r="AG242" t="s">
        <v>36</v>
      </c>
      <c r="AH242" t="s">
        <v>36</v>
      </c>
      <c r="AI242" t="s">
        <v>36</v>
      </c>
      <c r="AJ242" t="s">
        <v>36</v>
      </c>
    </row>
    <row r="243" spans="1:36" x14ac:dyDescent="0.35">
      <c r="A243">
        <v>22</v>
      </c>
      <c r="B243" t="s">
        <v>57</v>
      </c>
      <c r="C243" s="1">
        <v>42528.291666666664</v>
      </c>
      <c r="D243" t="s">
        <v>36</v>
      </c>
      <c r="E243" t="s">
        <v>36</v>
      </c>
      <c r="F243" t="s">
        <v>36</v>
      </c>
      <c r="G243" t="s">
        <v>36</v>
      </c>
      <c r="H243" t="s">
        <v>36</v>
      </c>
      <c r="I243" t="s">
        <v>36</v>
      </c>
      <c r="J243" t="s">
        <v>36</v>
      </c>
      <c r="K243" s="1">
        <v>39600</v>
      </c>
      <c r="L243" t="s">
        <v>36</v>
      </c>
      <c r="M243" t="s">
        <v>36</v>
      </c>
      <c r="N243" t="s">
        <v>36</v>
      </c>
      <c r="O243" t="s">
        <v>36</v>
      </c>
      <c r="P243" t="s">
        <v>36</v>
      </c>
      <c r="Q243" s="1">
        <v>40911.534722222219</v>
      </c>
      <c r="R243" t="s">
        <v>36</v>
      </c>
      <c r="S243" t="s">
        <v>36</v>
      </c>
      <c r="T243" t="s">
        <v>36</v>
      </c>
      <c r="U243" t="s">
        <v>36</v>
      </c>
      <c r="V243" s="1">
        <v>42473.520833333336</v>
      </c>
      <c r="W243" t="s">
        <v>36</v>
      </c>
      <c r="X243" t="s">
        <v>36</v>
      </c>
      <c r="Y243" t="s">
        <v>36</v>
      </c>
      <c r="Z243" s="1">
        <v>42648.458333333336</v>
      </c>
      <c r="AA243" t="s">
        <v>36</v>
      </c>
      <c r="AB243" t="s">
        <v>36</v>
      </c>
      <c r="AC243" s="1">
        <v>42485.743055555555</v>
      </c>
      <c r="AD243" s="1">
        <v>42649.430555555555</v>
      </c>
      <c r="AE243" t="s">
        <v>36</v>
      </c>
      <c r="AF243" t="s">
        <v>36</v>
      </c>
      <c r="AG243" t="s">
        <v>36</v>
      </c>
      <c r="AH243" t="s">
        <v>36</v>
      </c>
      <c r="AI243" t="s">
        <v>36</v>
      </c>
      <c r="AJ243" t="s">
        <v>36</v>
      </c>
    </row>
    <row r="244" spans="1:36" x14ac:dyDescent="0.35">
      <c r="A244">
        <v>23</v>
      </c>
      <c r="B244" t="s">
        <v>58</v>
      </c>
      <c r="C244" t="s">
        <v>36</v>
      </c>
      <c r="D244" t="s">
        <v>36</v>
      </c>
      <c r="E244" t="s">
        <v>36</v>
      </c>
      <c r="F244" t="s">
        <v>36</v>
      </c>
      <c r="G244" t="s">
        <v>36</v>
      </c>
      <c r="H244" t="s">
        <v>36</v>
      </c>
      <c r="I244" t="s">
        <v>36</v>
      </c>
      <c r="J244" t="s">
        <v>36</v>
      </c>
      <c r="K244" t="s">
        <v>36</v>
      </c>
      <c r="L244" t="s">
        <v>36</v>
      </c>
      <c r="M244" t="s">
        <v>36</v>
      </c>
      <c r="N244" t="s">
        <v>36</v>
      </c>
      <c r="O244" t="s">
        <v>36</v>
      </c>
      <c r="P244" t="s">
        <v>36</v>
      </c>
      <c r="Q244" s="1">
        <v>40911.534722222219</v>
      </c>
      <c r="R244" t="s">
        <v>36</v>
      </c>
      <c r="S244" t="s">
        <v>36</v>
      </c>
      <c r="T244" t="s">
        <v>36</v>
      </c>
      <c r="U244" t="s">
        <v>36</v>
      </c>
      <c r="V244" t="s">
        <v>36</v>
      </c>
      <c r="W244" t="s">
        <v>36</v>
      </c>
      <c r="X244" t="s">
        <v>36</v>
      </c>
      <c r="Y244" t="s">
        <v>36</v>
      </c>
      <c r="Z244" t="s">
        <v>36</v>
      </c>
      <c r="AA244" t="s">
        <v>36</v>
      </c>
      <c r="AB244" t="s">
        <v>36</v>
      </c>
      <c r="AC244" t="s">
        <v>36</v>
      </c>
      <c r="AD244" t="s">
        <v>36</v>
      </c>
      <c r="AE244" t="s">
        <v>36</v>
      </c>
      <c r="AF244" t="s">
        <v>36</v>
      </c>
      <c r="AG244" t="s">
        <v>36</v>
      </c>
      <c r="AH244" t="s">
        <v>36</v>
      </c>
      <c r="AI244" t="s">
        <v>36</v>
      </c>
      <c r="AJ244" t="s">
        <v>36</v>
      </c>
    </row>
    <row r="245" spans="1:36" x14ac:dyDescent="0.35">
      <c r="A245">
        <v>395</v>
      </c>
      <c r="B245" t="s">
        <v>222</v>
      </c>
      <c r="C245" t="s">
        <v>36</v>
      </c>
      <c r="D245" t="s">
        <v>36</v>
      </c>
      <c r="E245" t="s">
        <v>36</v>
      </c>
      <c r="F245" t="s">
        <v>36</v>
      </c>
      <c r="G245" t="s">
        <v>36</v>
      </c>
      <c r="H245" t="s">
        <v>36</v>
      </c>
      <c r="I245" t="s">
        <v>36</v>
      </c>
      <c r="J245" t="s">
        <v>36</v>
      </c>
      <c r="K245" t="s">
        <v>36</v>
      </c>
      <c r="L245" t="s">
        <v>36</v>
      </c>
      <c r="M245" t="s">
        <v>36</v>
      </c>
      <c r="N245" t="s">
        <v>36</v>
      </c>
      <c r="O245" t="s">
        <v>36</v>
      </c>
      <c r="P245" t="s">
        <v>36</v>
      </c>
      <c r="Q245" t="s">
        <v>36</v>
      </c>
      <c r="R245" t="s">
        <v>36</v>
      </c>
      <c r="S245" t="s">
        <v>36</v>
      </c>
      <c r="T245" t="s">
        <v>36</v>
      </c>
      <c r="U245" t="s">
        <v>36</v>
      </c>
      <c r="V245" t="s">
        <v>36</v>
      </c>
      <c r="W245" t="s">
        <v>36</v>
      </c>
      <c r="X245" t="s">
        <v>36</v>
      </c>
      <c r="Y245" t="s">
        <v>36</v>
      </c>
      <c r="Z245" t="s">
        <v>36</v>
      </c>
      <c r="AA245" t="s">
        <v>36</v>
      </c>
      <c r="AB245" t="s">
        <v>36</v>
      </c>
      <c r="AC245" t="s">
        <v>36</v>
      </c>
      <c r="AD245" t="s">
        <v>36</v>
      </c>
      <c r="AE245" t="s">
        <v>36</v>
      </c>
      <c r="AF245" t="s">
        <v>36</v>
      </c>
      <c r="AG245" s="1">
        <v>43040</v>
      </c>
      <c r="AH245" t="s">
        <v>36</v>
      </c>
      <c r="AI245" t="s">
        <v>36</v>
      </c>
      <c r="AJ245" t="s">
        <v>36</v>
      </c>
    </row>
    <row r="246" spans="1:36" x14ac:dyDescent="0.35">
      <c r="A246">
        <v>396</v>
      </c>
      <c r="B246" t="s">
        <v>223</v>
      </c>
      <c r="C246" t="s">
        <v>36</v>
      </c>
      <c r="D246" t="s">
        <v>36</v>
      </c>
      <c r="E246" t="s">
        <v>36</v>
      </c>
      <c r="F246" t="s">
        <v>36</v>
      </c>
      <c r="G246" t="s">
        <v>36</v>
      </c>
      <c r="H246" t="s">
        <v>36</v>
      </c>
      <c r="I246" t="s">
        <v>36</v>
      </c>
      <c r="J246" t="s">
        <v>36</v>
      </c>
      <c r="K246" t="s">
        <v>36</v>
      </c>
      <c r="L246" t="s">
        <v>36</v>
      </c>
      <c r="M246" t="s">
        <v>36</v>
      </c>
      <c r="N246" t="s">
        <v>36</v>
      </c>
      <c r="O246" t="s">
        <v>36</v>
      </c>
      <c r="P246" t="s">
        <v>36</v>
      </c>
      <c r="Q246" t="s">
        <v>36</v>
      </c>
      <c r="R246" t="s">
        <v>36</v>
      </c>
      <c r="S246" t="s">
        <v>36</v>
      </c>
      <c r="T246" t="s">
        <v>36</v>
      </c>
      <c r="U246" t="s">
        <v>36</v>
      </c>
      <c r="V246" t="s">
        <v>36</v>
      </c>
      <c r="W246" t="s">
        <v>36</v>
      </c>
      <c r="X246" t="s">
        <v>36</v>
      </c>
      <c r="Y246" t="s">
        <v>36</v>
      </c>
      <c r="Z246" t="s">
        <v>36</v>
      </c>
      <c r="AA246" t="s">
        <v>36</v>
      </c>
      <c r="AB246" t="s">
        <v>36</v>
      </c>
      <c r="AC246" t="s">
        <v>36</v>
      </c>
      <c r="AD246" t="s">
        <v>36</v>
      </c>
      <c r="AE246" t="s">
        <v>36</v>
      </c>
      <c r="AF246" t="s">
        <v>36</v>
      </c>
      <c r="AG246" s="1">
        <v>43040</v>
      </c>
      <c r="AH246" t="s">
        <v>36</v>
      </c>
      <c r="AI246" t="s">
        <v>36</v>
      </c>
      <c r="AJ246" t="s">
        <v>36</v>
      </c>
    </row>
    <row r="247" spans="1:36" x14ac:dyDescent="0.35">
      <c r="A247">
        <v>397</v>
      </c>
      <c r="B247" t="s">
        <v>224</v>
      </c>
      <c r="C247" t="s">
        <v>36</v>
      </c>
      <c r="D247" t="s">
        <v>36</v>
      </c>
      <c r="E247" t="s">
        <v>36</v>
      </c>
      <c r="F247" t="s">
        <v>36</v>
      </c>
      <c r="G247" t="s">
        <v>36</v>
      </c>
      <c r="H247" t="s">
        <v>36</v>
      </c>
      <c r="I247" t="s">
        <v>36</v>
      </c>
      <c r="J247" t="s">
        <v>36</v>
      </c>
      <c r="K247" t="s">
        <v>36</v>
      </c>
      <c r="L247" t="s">
        <v>36</v>
      </c>
      <c r="M247" t="s">
        <v>36</v>
      </c>
      <c r="N247" t="s">
        <v>36</v>
      </c>
      <c r="O247" t="s">
        <v>36</v>
      </c>
      <c r="P247" t="s">
        <v>36</v>
      </c>
      <c r="Q247" t="s">
        <v>36</v>
      </c>
      <c r="R247" t="s">
        <v>36</v>
      </c>
      <c r="S247" t="s">
        <v>36</v>
      </c>
      <c r="T247" t="s">
        <v>36</v>
      </c>
      <c r="U247" t="s">
        <v>36</v>
      </c>
      <c r="V247" t="s">
        <v>36</v>
      </c>
      <c r="W247" t="s">
        <v>36</v>
      </c>
      <c r="X247" t="s">
        <v>36</v>
      </c>
      <c r="Y247" t="s">
        <v>36</v>
      </c>
      <c r="Z247" t="s">
        <v>36</v>
      </c>
      <c r="AA247" t="s">
        <v>36</v>
      </c>
      <c r="AB247" t="s">
        <v>36</v>
      </c>
      <c r="AC247" t="s">
        <v>36</v>
      </c>
      <c r="AD247" t="s">
        <v>36</v>
      </c>
      <c r="AE247" t="s">
        <v>36</v>
      </c>
      <c r="AF247" t="s">
        <v>36</v>
      </c>
      <c r="AG247" s="1">
        <v>43040</v>
      </c>
      <c r="AH247" t="s">
        <v>36</v>
      </c>
      <c r="AI247" t="s">
        <v>36</v>
      </c>
      <c r="AJ247" t="s">
        <v>36</v>
      </c>
    </row>
    <row r="248" spans="1:36" x14ac:dyDescent="0.35">
      <c r="A248">
        <v>35</v>
      </c>
      <c r="B248" t="s">
        <v>70</v>
      </c>
      <c r="C248" t="s">
        <v>36</v>
      </c>
      <c r="D248" t="s">
        <v>36</v>
      </c>
      <c r="E248" t="s">
        <v>36</v>
      </c>
      <c r="F248" t="s">
        <v>36</v>
      </c>
      <c r="G248" t="s">
        <v>36</v>
      </c>
      <c r="H248" t="s">
        <v>36</v>
      </c>
      <c r="I248" t="s">
        <v>36</v>
      </c>
      <c r="J248" t="s">
        <v>36</v>
      </c>
      <c r="K248" t="s">
        <v>36</v>
      </c>
      <c r="L248" t="s">
        <v>36</v>
      </c>
      <c r="M248" t="s">
        <v>36</v>
      </c>
      <c r="N248" t="s">
        <v>36</v>
      </c>
      <c r="O248" t="s">
        <v>36</v>
      </c>
      <c r="P248" t="s">
        <v>36</v>
      </c>
      <c r="Q248" s="1">
        <v>41578.5</v>
      </c>
      <c r="R248" t="s">
        <v>36</v>
      </c>
      <c r="S248" t="s">
        <v>36</v>
      </c>
      <c r="T248" t="s">
        <v>36</v>
      </c>
      <c r="U248" t="s">
        <v>36</v>
      </c>
      <c r="V248" t="s">
        <v>36</v>
      </c>
      <c r="W248" t="s">
        <v>36</v>
      </c>
      <c r="X248" t="s">
        <v>36</v>
      </c>
      <c r="Y248" t="s">
        <v>36</v>
      </c>
      <c r="Z248" t="s">
        <v>36</v>
      </c>
      <c r="AA248" t="s">
        <v>36</v>
      </c>
      <c r="AB248" t="s">
        <v>36</v>
      </c>
      <c r="AC248" t="s">
        <v>36</v>
      </c>
      <c r="AD248" t="s">
        <v>36</v>
      </c>
      <c r="AE248" t="s">
        <v>36</v>
      </c>
      <c r="AF248" t="s">
        <v>36</v>
      </c>
      <c r="AG248" t="s">
        <v>36</v>
      </c>
      <c r="AH248" t="s">
        <v>36</v>
      </c>
      <c r="AI248" t="s">
        <v>36</v>
      </c>
      <c r="AJ248" t="s">
        <v>36</v>
      </c>
    </row>
    <row r="249" spans="1:36" x14ac:dyDescent="0.35">
      <c r="A249">
        <v>44</v>
      </c>
      <c r="B249" t="s">
        <v>79</v>
      </c>
      <c r="C249" t="s">
        <v>36</v>
      </c>
      <c r="D249" t="s">
        <v>36</v>
      </c>
      <c r="E249" t="s">
        <v>36</v>
      </c>
      <c r="F249" t="s">
        <v>36</v>
      </c>
      <c r="G249" t="s">
        <v>36</v>
      </c>
      <c r="H249" t="s">
        <v>36</v>
      </c>
      <c r="I249" t="s">
        <v>36</v>
      </c>
      <c r="J249" t="s">
        <v>36</v>
      </c>
      <c r="K249" t="s">
        <v>36</v>
      </c>
      <c r="L249" t="s">
        <v>36</v>
      </c>
      <c r="M249" t="s">
        <v>36</v>
      </c>
      <c r="N249" t="s">
        <v>36</v>
      </c>
      <c r="O249" t="s">
        <v>36</v>
      </c>
      <c r="P249" t="s">
        <v>36</v>
      </c>
      <c r="Q249" s="1">
        <v>41578.5</v>
      </c>
      <c r="R249" t="s">
        <v>36</v>
      </c>
      <c r="S249" t="s">
        <v>36</v>
      </c>
      <c r="T249" t="s">
        <v>36</v>
      </c>
      <c r="U249" t="s">
        <v>36</v>
      </c>
      <c r="V249" t="s">
        <v>36</v>
      </c>
      <c r="W249" t="s">
        <v>36</v>
      </c>
      <c r="X249" t="s">
        <v>36</v>
      </c>
      <c r="Y249" t="s">
        <v>36</v>
      </c>
      <c r="Z249" t="s">
        <v>36</v>
      </c>
      <c r="AA249" t="s">
        <v>36</v>
      </c>
      <c r="AB249" t="s">
        <v>36</v>
      </c>
      <c r="AC249" t="s">
        <v>36</v>
      </c>
      <c r="AD249" t="s">
        <v>36</v>
      </c>
      <c r="AE249" t="s">
        <v>36</v>
      </c>
      <c r="AF249" t="s">
        <v>36</v>
      </c>
      <c r="AG249" t="s">
        <v>36</v>
      </c>
      <c r="AH249" t="s">
        <v>36</v>
      </c>
      <c r="AI249" t="s">
        <v>36</v>
      </c>
      <c r="AJ249" t="s">
        <v>36</v>
      </c>
    </row>
    <row r="250" spans="1:36" x14ac:dyDescent="0.35">
      <c r="A250">
        <v>45</v>
      </c>
      <c r="B250" t="s">
        <v>80</v>
      </c>
      <c r="C250" t="s">
        <v>36</v>
      </c>
      <c r="D250" t="s">
        <v>36</v>
      </c>
      <c r="E250" t="s">
        <v>36</v>
      </c>
      <c r="F250" t="s">
        <v>36</v>
      </c>
      <c r="G250" t="s">
        <v>36</v>
      </c>
      <c r="H250" t="s">
        <v>36</v>
      </c>
      <c r="I250" t="s">
        <v>36</v>
      </c>
      <c r="J250" t="s">
        <v>36</v>
      </c>
      <c r="K250" t="s">
        <v>36</v>
      </c>
      <c r="L250" t="s">
        <v>36</v>
      </c>
      <c r="M250" t="s">
        <v>36</v>
      </c>
      <c r="N250" t="s">
        <v>36</v>
      </c>
      <c r="O250" t="s">
        <v>36</v>
      </c>
      <c r="P250" t="s">
        <v>36</v>
      </c>
      <c r="Q250" s="1">
        <v>41578.5</v>
      </c>
      <c r="R250" t="s">
        <v>36</v>
      </c>
      <c r="S250" t="s">
        <v>36</v>
      </c>
      <c r="T250" t="s">
        <v>36</v>
      </c>
      <c r="U250" t="s">
        <v>36</v>
      </c>
      <c r="V250" t="s">
        <v>36</v>
      </c>
      <c r="W250" t="s">
        <v>36</v>
      </c>
      <c r="X250" t="s">
        <v>36</v>
      </c>
      <c r="Y250" t="s">
        <v>36</v>
      </c>
      <c r="Z250" t="s">
        <v>36</v>
      </c>
      <c r="AA250" t="s">
        <v>36</v>
      </c>
      <c r="AB250" t="s">
        <v>36</v>
      </c>
      <c r="AC250" t="s">
        <v>36</v>
      </c>
      <c r="AD250" t="s">
        <v>36</v>
      </c>
      <c r="AE250" t="s">
        <v>36</v>
      </c>
      <c r="AF250" t="s">
        <v>36</v>
      </c>
      <c r="AG250" t="s">
        <v>36</v>
      </c>
      <c r="AH250" t="s">
        <v>36</v>
      </c>
      <c r="AI250" t="s">
        <v>36</v>
      </c>
      <c r="AJ250" t="s">
        <v>36</v>
      </c>
    </row>
    <row r="251" spans="1:36" x14ac:dyDescent="0.35">
      <c r="A251">
        <v>36</v>
      </c>
      <c r="B251" t="s">
        <v>71</v>
      </c>
      <c r="C251" t="s">
        <v>36</v>
      </c>
      <c r="D251" t="s">
        <v>36</v>
      </c>
      <c r="E251" t="s">
        <v>36</v>
      </c>
      <c r="F251" t="s">
        <v>36</v>
      </c>
      <c r="G251" t="s">
        <v>36</v>
      </c>
      <c r="H251" t="s">
        <v>36</v>
      </c>
      <c r="I251" t="s">
        <v>36</v>
      </c>
      <c r="J251" t="s">
        <v>36</v>
      </c>
      <c r="K251" t="s">
        <v>36</v>
      </c>
      <c r="L251" t="s">
        <v>36</v>
      </c>
      <c r="M251" t="s">
        <v>36</v>
      </c>
      <c r="N251" t="s">
        <v>36</v>
      </c>
      <c r="O251" t="s">
        <v>36</v>
      </c>
      <c r="P251" t="s">
        <v>36</v>
      </c>
      <c r="Q251" s="1">
        <v>41578.5</v>
      </c>
      <c r="R251" t="s">
        <v>36</v>
      </c>
      <c r="S251" t="s">
        <v>36</v>
      </c>
      <c r="T251" t="s">
        <v>36</v>
      </c>
      <c r="U251" t="s">
        <v>36</v>
      </c>
      <c r="V251" t="s">
        <v>36</v>
      </c>
      <c r="W251" t="s">
        <v>36</v>
      </c>
      <c r="X251" t="s">
        <v>36</v>
      </c>
      <c r="Y251" t="s">
        <v>36</v>
      </c>
      <c r="Z251" t="s">
        <v>36</v>
      </c>
      <c r="AA251" t="s">
        <v>36</v>
      </c>
      <c r="AB251" t="s">
        <v>36</v>
      </c>
      <c r="AC251" t="s">
        <v>36</v>
      </c>
      <c r="AD251" t="s">
        <v>36</v>
      </c>
      <c r="AE251" t="s">
        <v>36</v>
      </c>
      <c r="AF251" t="s">
        <v>36</v>
      </c>
      <c r="AG251" t="s">
        <v>36</v>
      </c>
      <c r="AH251" t="s">
        <v>36</v>
      </c>
      <c r="AI251" t="s">
        <v>36</v>
      </c>
      <c r="AJ251" t="s">
        <v>36</v>
      </c>
    </row>
    <row r="252" spans="1:36" x14ac:dyDescent="0.35">
      <c r="A252">
        <v>37</v>
      </c>
      <c r="B252" t="s">
        <v>72</v>
      </c>
      <c r="C252" t="s">
        <v>36</v>
      </c>
      <c r="D252" t="s">
        <v>36</v>
      </c>
      <c r="E252" t="s">
        <v>36</v>
      </c>
      <c r="F252" t="s">
        <v>36</v>
      </c>
      <c r="G252" t="s">
        <v>36</v>
      </c>
      <c r="H252" t="s">
        <v>36</v>
      </c>
      <c r="I252" t="s">
        <v>36</v>
      </c>
      <c r="J252" t="s">
        <v>36</v>
      </c>
      <c r="K252" t="s">
        <v>36</v>
      </c>
      <c r="L252" t="s">
        <v>36</v>
      </c>
      <c r="M252" t="s">
        <v>36</v>
      </c>
      <c r="N252" t="s">
        <v>36</v>
      </c>
      <c r="O252" t="s">
        <v>36</v>
      </c>
      <c r="P252" t="s">
        <v>36</v>
      </c>
      <c r="Q252" s="1">
        <v>41578.5</v>
      </c>
      <c r="R252" t="s">
        <v>36</v>
      </c>
      <c r="S252" t="s">
        <v>36</v>
      </c>
      <c r="T252" t="s">
        <v>36</v>
      </c>
      <c r="U252" t="s">
        <v>36</v>
      </c>
      <c r="V252" t="s">
        <v>36</v>
      </c>
      <c r="W252" t="s">
        <v>36</v>
      </c>
      <c r="X252" t="s">
        <v>36</v>
      </c>
      <c r="Y252" t="s">
        <v>36</v>
      </c>
      <c r="Z252" t="s">
        <v>36</v>
      </c>
      <c r="AA252" t="s">
        <v>36</v>
      </c>
      <c r="AB252" t="s">
        <v>36</v>
      </c>
      <c r="AC252" t="s">
        <v>36</v>
      </c>
      <c r="AD252" t="s">
        <v>36</v>
      </c>
      <c r="AE252" t="s">
        <v>36</v>
      </c>
      <c r="AF252" t="s">
        <v>36</v>
      </c>
      <c r="AG252" t="s">
        <v>36</v>
      </c>
      <c r="AH252" t="s">
        <v>36</v>
      </c>
      <c r="AI252" t="s">
        <v>36</v>
      </c>
      <c r="AJ252" t="s">
        <v>36</v>
      </c>
    </row>
    <row r="253" spans="1:36" x14ac:dyDescent="0.35">
      <c r="A253">
        <v>38</v>
      </c>
      <c r="B253" t="s">
        <v>73</v>
      </c>
      <c r="C253" t="s">
        <v>36</v>
      </c>
      <c r="D253" t="s">
        <v>36</v>
      </c>
      <c r="E253" t="s">
        <v>36</v>
      </c>
      <c r="F253" t="s">
        <v>36</v>
      </c>
      <c r="G253" t="s">
        <v>36</v>
      </c>
      <c r="H253" t="s">
        <v>36</v>
      </c>
      <c r="I253" t="s">
        <v>36</v>
      </c>
      <c r="J253" t="s">
        <v>36</v>
      </c>
      <c r="K253" t="s">
        <v>36</v>
      </c>
      <c r="L253" t="s">
        <v>36</v>
      </c>
      <c r="M253" t="s">
        <v>36</v>
      </c>
      <c r="N253" t="s">
        <v>36</v>
      </c>
      <c r="O253" t="s">
        <v>36</v>
      </c>
      <c r="P253" t="s">
        <v>36</v>
      </c>
      <c r="Q253" s="1">
        <v>41578.5</v>
      </c>
      <c r="R253" t="s">
        <v>36</v>
      </c>
      <c r="S253" t="s">
        <v>36</v>
      </c>
      <c r="T253" t="s">
        <v>36</v>
      </c>
      <c r="U253" t="s">
        <v>36</v>
      </c>
      <c r="V253" t="s">
        <v>36</v>
      </c>
      <c r="W253" t="s">
        <v>36</v>
      </c>
      <c r="X253" t="s">
        <v>36</v>
      </c>
      <c r="Y253" t="s">
        <v>36</v>
      </c>
      <c r="Z253" t="s">
        <v>36</v>
      </c>
      <c r="AA253" t="s">
        <v>36</v>
      </c>
      <c r="AB253" t="s">
        <v>36</v>
      </c>
      <c r="AC253" t="s">
        <v>36</v>
      </c>
      <c r="AD253" t="s">
        <v>36</v>
      </c>
      <c r="AE253" t="s">
        <v>36</v>
      </c>
      <c r="AF253" t="s">
        <v>36</v>
      </c>
      <c r="AG253" t="s">
        <v>36</v>
      </c>
      <c r="AH253" t="s">
        <v>36</v>
      </c>
      <c r="AI253" t="s">
        <v>36</v>
      </c>
      <c r="AJ253" t="s">
        <v>36</v>
      </c>
    </row>
    <row r="254" spans="1:36" x14ac:dyDescent="0.35">
      <c r="A254">
        <v>39</v>
      </c>
      <c r="B254" t="s">
        <v>74</v>
      </c>
      <c r="C254" t="s">
        <v>36</v>
      </c>
      <c r="D254" t="s">
        <v>36</v>
      </c>
      <c r="E254" t="s">
        <v>36</v>
      </c>
      <c r="F254" t="s">
        <v>36</v>
      </c>
      <c r="G254" t="s">
        <v>36</v>
      </c>
      <c r="H254" t="s">
        <v>36</v>
      </c>
      <c r="I254" t="s">
        <v>36</v>
      </c>
      <c r="J254" t="s">
        <v>36</v>
      </c>
      <c r="K254" t="s">
        <v>36</v>
      </c>
      <c r="L254" t="s">
        <v>36</v>
      </c>
      <c r="M254" t="s">
        <v>36</v>
      </c>
      <c r="N254" t="s">
        <v>36</v>
      </c>
      <c r="O254" t="s">
        <v>36</v>
      </c>
      <c r="P254" t="s">
        <v>36</v>
      </c>
      <c r="Q254" s="1">
        <v>41578.5</v>
      </c>
      <c r="R254" t="s">
        <v>36</v>
      </c>
      <c r="S254" t="s">
        <v>36</v>
      </c>
      <c r="T254" t="s">
        <v>36</v>
      </c>
      <c r="U254" t="s">
        <v>36</v>
      </c>
      <c r="V254" t="s">
        <v>36</v>
      </c>
      <c r="W254" t="s">
        <v>36</v>
      </c>
      <c r="X254" t="s">
        <v>36</v>
      </c>
      <c r="Y254" t="s">
        <v>36</v>
      </c>
      <c r="Z254" t="s">
        <v>36</v>
      </c>
      <c r="AA254" t="s">
        <v>36</v>
      </c>
      <c r="AB254" t="s">
        <v>36</v>
      </c>
      <c r="AC254" t="s">
        <v>36</v>
      </c>
      <c r="AD254" t="s">
        <v>36</v>
      </c>
      <c r="AE254" t="s">
        <v>36</v>
      </c>
      <c r="AF254" t="s">
        <v>36</v>
      </c>
      <c r="AG254" t="s">
        <v>36</v>
      </c>
      <c r="AH254" t="s">
        <v>36</v>
      </c>
      <c r="AI254" t="s">
        <v>36</v>
      </c>
      <c r="AJ254" t="s">
        <v>36</v>
      </c>
    </row>
    <row r="255" spans="1:36" x14ac:dyDescent="0.35">
      <c r="A255">
        <v>40</v>
      </c>
      <c r="B255" t="s">
        <v>75</v>
      </c>
      <c r="C255" t="s">
        <v>36</v>
      </c>
      <c r="D255" t="s">
        <v>36</v>
      </c>
      <c r="E255" t="s">
        <v>36</v>
      </c>
      <c r="F255" t="s">
        <v>36</v>
      </c>
      <c r="G255" t="s">
        <v>36</v>
      </c>
      <c r="H255" t="s">
        <v>36</v>
      </c>
      <c r="I255" t="s">
        <v>36</v>
      </c>
      <c r="J255" t="s">
        <v>36</v>
      </c>
      <c r="K255" t="s">
        <v>36</v>
      </c>
      <c r="L255" t="s">
        <v>36</v>
      </c>
      <c r="M255" t="s">
        <v>36</v>
      </c>
      <c r="N255" t="s">
        <v>36</v>
      </c>
      <c r="O255" t="s">
        <v>36</v>
      </c>
      <c r="P255" t="s">
        <v>36</v>
      </c>
      <c r="Q255" s="1">
        <v>41578.5</v>
      </c>
      <c r="R255" t="s">
        <v>36</v>
      </c>
      <c r="S255" t="s">
        <v>36</v>
      </c>
      <c r="T255" t="s">
        <v>36</v>
      </c>
      <c r="U255" t="s">
        <v>36</v>
      </c>
      <c r="V255" t="s">
        <v>36</v>
      </c>
      <c r="W255" t="s">
        <v>36</v>
      </c>
      <c r="X255" t="s">
        <v>36</v>
      </c>
      <c r="Y255" t="s">
        <v>36</v>
      </c>
      <c r="Z255" t="s">
        <v>36</v>
      </c>
      <c r="AA255" t="s">
        <v>36</v>
      </c>
      <c r="AB255" t="s">
        <v>36</v>
      </c>
      <c r="AC255" t="s">
        <v>36</v>
      </c>
      <c r="AD255" t="s">
        <v>36</v>
      </c>
      <c r="AE255" t="s">
        <v>36</v>
      </c>
      <c r="AF255" t="s">
        <v>36</v>
      </c>
      <c r="AG255" t="s">
        <v>36</v>
      </c>
      <c r="AH255" t="s">
        <v>36</v>
      </c>
      <c r="AI255" t="s">
        <v>36</v>
      </c>
      <c r="AJ255" t="s">
        <v>36</v>
      </c>
    </row>
    <row r="256" spans="1:36" x14ac:dyDescent="0.35">
      <c r="A256">
        <v>41</v>
      </c>
      <c r="B256" t="s">
        <v>76</v>
      </c>
      <c r="C256" t="s">
        <v>36</v>
      </c>
      <c r="D256" t="s">
        <v>36</v>
      </c>
      <c r="E256" t="s">
        <v>36</v>
      </c>
      <c r="F256" t="s">
        <v>36</v>
      </c>
      <c r="G256" t="s">
        <v>36</v>
      </c>
      <c r="H256" t="s">
        <v>36</v>
      </c>
      <c r="I256" t="s">
        <v>36</v>
      </c>
      <c r="J256" t="s">
        <v>36</v>
      </c>
      <c r="K256" t="s">
        <v>36</v>
      </c>
      <c r="L256" t="s">
        <v>36</v>
      </c>
      <c r="M256" t="s">
        <v>36</v>
      </c>
      <c r="N256" t="s">
        <v>36</v>
      </c>
      <c r="O256" t="s">
        <v>36</v>
      </c>
      <c r="P256" t="s">
        <v>36</v>
      </c>
      <c r="Q256" s="1">
        <v>41578.5</v>
      </c>
      <c r="R256" t="s">
        <v>36</v>
      </c>
      <c r="S256" t="s">
        <v>36</v>
      </c>
      <c r="T256" t="s">
        <v>36</v>
      </c>
      <c r="U256" t="s">
        <v>36</v>
      </c>
      <c r="V256" t="s">
        <v>36</v>
      </c>
      <c r="W256" t="s">
        <v>36</v>
      </c>
      <c r="X256" t="s">
        <v>36</v>
      </c>
      <c r="Y256" t="s">
        <v>36</v>
      </c>
      <c r="Z256" t="s">
        <v>36</v>
      </c>
      <c r="AA256" t="s">
        <v>36</v>
      </c>
      <c r="AB256" t="s">
        <v>36</v>
      </c>
      <c r="AC256" t="s">
        <v>36</v>
      </c>
      <c r="AD256" t="s">
        <v>36</v>
      </c>
      <c r="AE256" t="s">
        <v>36</v>
      </c>
      <c r="AF256" t="s">
        <v>36</v>
      </c>
      <c r="AG256" t="s">
        <v>36</v>
      </c>
      <c r="AH256" t="s">
        <v>36</v>
      </c>
      <c r="AI256" t="s">
        <v>36</v>
      </c>
      <c r="AJ256" t="s">
        <v>36</v>
      </c>
    </row>
    <row r="257" spans="1:36" x14ac:dyDescent="0.35">
      <c r="A257">
        <v>42</v>
      </c>
      <c r="B257" t="s">
        <v>77</v>
      </c>
      <c r="C257" t="s">
        <v>36</v>
      </c>
      <c r="D257" t="s">
        <v>36</v>
      </c>
      <c r="E257" t="s">
        <v>36</v>
      </c>
      <c r="F257" t="s">
        <v>36</v>
      </c>
      <c r="G257" t="s">
        <v>36</v>
      </c>
      <c r="H257" t="s">
        <v>36</v>
      </c>
      <c r="I257" t="s">
        <v>36</v>
      </c>
      <c r="J257" t="s">
        <v>36</v>
      </c>
      <c r="K257" t="s">
        <v>36</v>
      </c>
      <c r="L257" t="s">
        <v>36</v>
      </c>
      <c r="M257" t="s">
        <v>36</v>
      </c>
      <c r="N257" t="s">
        <v>36</v>
      </c>
      <c r="O257" t="s">
        <v>36</v>
      </c>
      <c r="P257" t="s">
        <v>36</v>
      </c>
      <c r="Q257" s="1">
        <v>41578.5</v>
      </c>
      <c r="R257" t="s">
        <v>36</v>
      </c>
      <c r="S257" t="s">
        <v>36</v>
      </c>
      <c r="T257" t="s">
        <v>36</v>
      </c>
      <c r="U257" t="s">
        <v>36</v>
      </c>
      <c r="V257" t="s">
        <v>36</v>
      </c>
      <c r="W257" t="s">
        <v>36</v>
      </c>
      <c r="X257" t="s">
        <v>36</v>
      </c>
      <c r="Y257" t="s">
        <v>36</v>
      </c>
      <c r="Z257" t="s">
        <v>36</v>
      </c>
      <c r="AA257" t="s">
        <v>36</v>
      </c>
      <c r="AB257" t="s">
        <v>36</v>
      </c>
      <c r="AC257" t="s">
        <v>36</v>
      </c>
      <c r="AD257" t="s">
        <v>36</v>
      </c>
      <c r="AE257" t="s">
        <v>36</v>
      </c>
      <c r="AF257" t="s">
        <v>36</v>
      </c>
      <c r="AG257" t="s">
        <v>36</v>
      </c>
      <c r="AH257" t="s">
        <v>36</v>
      </c>
      <c r="AI257" t="s">
        <v>36</v>
      </c>
      <c r="AJ257" t="s">
        <v>36</v>
      </c>
    </row>
    <row r="258" spans="1:36" x14ac:dyDescent="0.35">
      <c r="A258">
        <v>43</v>
      </c>
      <c r="B258" t="s">
        <v>78</v>
      </c>
      <c r="C258" t="s">
        <v>36</v>
      </c>
      <c r="D258" t="s">
        <v>36</v>
      </c>
      <c r="E258" t="s">
        <v>36</v>
      </c>
      <c r="F258" t="s">
        <v>36</v>
      </c>
      <c r="G258" t="s">
        <v>36</v>
      </c>
      <c r="H258" t="s">
        <v>36</v>
      </c>
      <c r="I258" t="s">
        <v>36</v>
      </c>
      <c r="J258" t="s">
        <v>36</v>
      </c>
      <c r="K258" t="s">
        <v>36</v>
      </c>
      <c r="L258" t="s">
        <v>36</v>
      </c>
      <c r="M258" t="s">
        <v>36</v>
      </c>
      <c r="N258" t="s">
        <v>36</v>
      </c>
      <c r="O258" t="s">
        <v>36</v>
      </c>
      <c r="P258" t="s">
        <v>36</v>
      </c>
      <c r="Q258" s="1">
        <v>41578.5</v>
      </c>
      <c r="R258" t="s">
        <v>36</v>
      </c>
      <c r="S258" t="s">
        <v>36</v>
      </c>
      <c r="T258" t="s">
        <v>36</v>
      </c>
      <c r="U258" t="s">
        <v>36</v>
      </c>
      <c r="V258" t="s">
        <v>36</v>
      </c>
      <c r="W258" t="s">
        <v>36</v>
      </c>
      <c r="X258" t="s">
        <v>36</v>
      </c>
      <c r="Y258" t="s">
        <v>36</v>
      </c>
      <c r="Z258" t="s">
        <v>36</v>
      </c>
      <c r="AA258" t="s">
        <v>36</v>
      </c>
      <c r="AB258" t="s">
        <v>36</v>
      </c>
      <c r="AC258" t="s">
        <v>36</v>
      </c>
      <c r="AD258" t="s">
        <v>36</v>
      </c>
      <c r="AE258" t="s">
        <v>36</v>
      </c>
      <c r="AF258" t="s">
        <v>36</v>
      </c>
      <c r="AG258" t="s">
        <v>36</v>
      </c>
      <c r="AH258" t="s">
        <v>36</v>
      </c>
      <c r="AI258" t="s">
        <v>36</v>
      </c>
      <c r="AJ258" t="s">
        <v>36</v>
      </c>
    </row>
    <row r="259" spans="1:36" x14ac:dyDescent="0.35">
      <c r="A259">
        <v>387</v>
      </c>
      <c r="B259" t="s">
        <v>214</v>
      </c>
      <c r="C259" t="s">
        <v>36</v>
      </c>
      <c r="D259" t="s">
        <v>36</v>
      </c>
      <c r="E259" t="s">
        <v>36</v>
      </c>
      <c r="F259" t="s">
        <v>36</v>
      </c>
      <c r="G259" t="s">
        <v>36</v>
      </c>
      <c r="H259" t="s">
        <v>36</v>
      </c>
      <c r="I259" t="s">
        <v>36</v>
      </c>
      <c r="J259" t="s">
        <v>36</v>
      </c>
      <c r="K259" t="s">
        <v>36</v>
      </c>
      <c r="L259" t="s">
        <v>36</v>
      </c>
      <c r="M259" t="s">
        <v>36</v>
      </c>
      <c r="N259" t="s">
        <v>36</v>
      </c>
      <c r="O259" t="s">
        <v>36</v>
      </c>
      <c r="P259" t="s">
        <v>36</v>
      </c>
      <c r="Q259" t="s">
        <v>36</v>
      </c>
      <c r="R259" t="s">
        <v>36</v>
      </c>
      <c r="S259" t="s">
        <v>36</v>
      </c>
      <c r="T259" t="s">
        <v>36</v>
      </c>
      <c r="U259" t="s">
        <v>36</v>
      </c>
      <c r="V259" t="s">
        <v>36</v>
      </c>
      <c r="W259" t="s">
        <v>36</v>
      </c>
      <c r="X259" t="s">
        <v>36</v>
      </c>
      <c r="Y259" t="s">
        <v>36</v>
      </c>
      <c r="Z259" t="s">
        <v>36</v>
      </c>
      <c r="AA259" t="s">
        <v>36</v>
      </c>
      <c r="AB259" t="s">
        <v>36</v>
      </c>
      <c r="AC259" t="s">
        <v>36</v>
      </c>
      <c r="AD259" t="s">
        <v>36</v>
      </c>
      <c r="AE259" t="s">
        <v>36</v>
      </c>
      <c r="AF259" t="s">
        <v>36</v>
      </c>
      <c r="AG259" s="1">
        <v>43040</v>
      </c>
      <c r="AH259" t="s">
        <v>36</v>
      </c>
      <c r="AI259" t="s">
        <v>36</v>
      </c>
      <c r="AJ259" t="s">
        <v>36</v>
      </c>
    </row>
    <row r="260" spans="1:36" x14ac:dyDescent="0.35">
      <c r="A260">
        <v>388</v>
      </c>
      <c r="B260" t="s">
        <v>215</v>
      </c>
      <c r="C260" t="s">
        <v>36</v>
      </c>
      <c r="D260" t="s">
        <v>36</v>
      </c>
      <c r="E260" t="s">
        <v>36</v>
      </c>
      <c r="F260" t="s">
        <v>36</v>
      </c>
      <c r="G260" s="1">
        <v>41426</v>
      </c>
      <c r="H260" t="s">
        <v>36</v>
      </c>
      <c r="I260" t="s">
        <v>36</v>
      </c>
      <c r="J260" t="s">
        <v>36</v>
      </c>
      <c r="K260" t="s">
        <v>36</v>
      </c>
      <c r="L260" t="s">
        <v>36</v>
      </c>
      <c r="M260" t="s">
        <v>36</v>
      </c>
      <c r="N260" t="s">
        <v>36</v>
      </c>
      <c r="O260" t="s">
        <v>36</v>
      </c>
      <c r="P260" t="s">
        <v>36</v>
      </c>
      <c r="Q260" t="s">
        <v>36</v>
      </c>
      <c r="R260" t="s">
        <v>36</v>
      </c>
      <c r="S260" t="s">
        <v>36</v>
      </c>
      <c r="T260" s="1">
        <v>39873</v>
      </c>
      <c r="U260" t="s">
        <v>36</v>
      </c>
      <c r="V260" t="s">
        <v>36</v>
      </c>
      <c r="W260" t="s">
        <v>36</v>
      </c>
      <c r="X260" t="s">
        <v>36</v>
      </c>
      <c r="Y260" t="s">
        <v>36</v>
      </c>
      <c r="Z260" t="s">
        <v>36</v>
      </c>
      <c r="AA260" t="s">
        <v>36</v>
      </c>
      <c r="AB260" t="s">
        <v>36</v>
      </c>
      <c r="AC260" t="s">
        <v>36</v>
      </c>
      <c r="AD260" t="s">
        <v>36</v>
      </c>
      <c r="AE260" t="s">
        <v>36</v>
      </c>
      <c r="AF260" s="1">
        <v>41513.4375</v>
      </c>
      <c r="AG260" s="1">
        <v>43040</v>
      </c>
      <c r="AH260" t="s">
        <v>36</v>
      </c>
      <c r="AI260" s="1">
        <v>41365</v>
      </c>
      <c r="AJ260" s="1">
        <v>41426</v>
      </c>
    </row>
    <row r="261" spans="1:36" x14ac:dyDescent="0.35">
      <c r="A261">
        <v>389</v>
      </c>
      <c r="B261" t="s">
        <v>216</v>
      </c>
      <c r="C261" t="s">
        <v>36</v>
      </c>
      <c r="D261" t="s">
        <v>36</v>
      </c>
      <c r="E261" t="s">
        <v>36</v>
      </c>
      <c r="F261" t="s">
        <v>36</v>
      </c>
      <c r="G261" s="1">
        <v>41426</v>
      </c>
      <c r="H261" t="s">
        <v>36</v>
      </c>
      <c r="I261" t="s">
        <v>36</v>
      </c>
      <c r="J261" t="s">
        <v>36</v>
      </c>
      <c r="K261" t="s">
        <v>36</v>
      </c>
      <c r="L261" t="s">
        <v>36</v>
      </c>
      <c r="M261" t="s">
        <v>36</v>
      </c>
      <c r="N261" t="s">
        <v>36</v>
      </c>
      <c r="O261" t="s">
        <v>36</v>
      </c>
      <c r="P261" t="s">
        <v>36</v>
      </c>
      <c r="Q261" t="s">
        <v>36</v>
      </c>
      <c r="R261" t="s">
        <v>36</v>
      </c>
      <c r="S261" t="s">
        <v>36</v>
      </c>
      <c r="T261" s="1">
        <v>39873</v>
      </c>
      <c r="U261" t="s">
        <v>36</v>
      </c>
      <c r="V261" t="s">
        <v>36</v>
      </c>
      <c r="W261" t="s">
        <v>36</v>
      </c>
      <c r="X261" t="s">
        <v>36</v>
      </c>
      <c r="Y261" t="s">
        <v>36</v>
      </c>
      <c r="Z261" t="s">
        <v>36</v>
      </c>
      <c r="AA261" t="s">
        <v>36</v>
      </c>
      <c r="AB261" t="s">
        <v>36</v>
      </c>
      <c r="AC261" t="s">
        <v>36</v>
      </c>
      <c r="AD261" t="s">
        <v>36</v>
      </c>
      <c r="AE261" t="s">
        <v>36</v>
      </c>
      <c r="AF261" s="1">
        <v>41513.4375</v>
      </c>
      <c r="AG261" s="1">
        <v>43040</v>
      </c>
      <c r="AH261" t="s">
        <v>36</v>
      </c>
      <c r="AI261" s="1">
        <v>41365</v>
      </c>
      <c r="AJ261" s="1">
        <v>41426</v>
      </c>
    </row>
    <row r="262" spans="1:36" x14ac:dyDescent="0.35">
      <c r="A262">
        <v>256</v>
      </c>
      <c r="B262" t="s">
        <v>161</v>
      </c>
      <c r="C262" t="s">
        <v>36</v>
      </c>
      <c r="D262" t="s">
        <v>36</v>
      </c>
      <c r="E262" t="s">
        <v>36</v>
      </c>
      <c r="F262" t="s">
        <v>36</v>
      </c>
      <c r="G262" t="s">
        <v>36</v>
      </c>
      <c r="H262" t="s">
        <v>36</v>
      </c>
      <c r="I262" t="s">
        <v>36</v>
      </c>
      <c r="J262" t="s">
        <v>36</v>
      </c>
      <c r="K262" t="s">
        <v>36</v>
      </c>
      <c r="L262" t="s">
        <v>36</v>
      </c>
      <c r="M262" t="s">
        <v>36</v>
      </c>
      <c r="N262" t="s">
        <v>36</v>
      </c>
      <c r="O262" t="s">
        <v>36</v>
      </c>
      <c r="P262" t="s">
        <v>36</v>
      </c>
      <c r="Q262" t="s">
        <v>36</v>
      </c>
      <c r="R262" t="s">
        <v>36</v>
      </c>
      <c r="S262" t="s">
        <v>36</v>
      </c>
      <c r="T262" t="s">
        <v>36</v>
      </c>
      <c r="U262" t="s">
        <v>36</v>
      </c>
      <c r="V262" t="s">
        <v>36</v>
      </c>
      <c r="W262" t="s">
        <v>36</v>
      </c>
      <c r="X262" t="s">
        <v>36</v>
      </c>
      <c r="Y262" t="s">
        <v>36</v>
      </c>
      <c r="Z262" t="s">
        <v>36</v>
      </c>
      <c r="AA262" t="s">
        <v>36</v>
      </c>
      <c r="AB262" t="s">
        <v>36</v>
      </c>
      <c r="AC262" t="s">
        <v>36</v>
      </c>
      <c r="AD262" t="s">
        <v>36</v>
      </c>
      <c r="AE262" t="s">
        <v>36</v>
      </c>
      <c r="AF262" t="s">
        <v>36</v>
      </c>
      <c r="AG262" s="1">
        <v>43040</v>
      </c>
      <c r="AH262" t="s">
        <v>36</v>
      </c>
      <c r="AI262" t="s">
        <v>36</v>
      </c>
      <c r="AJ262" t="s">
        <v>36</v>
      </c>
    </row>
    <row r="263" spans="1:36" x14ac:dyDescent="0.35">
      <c r="A263">
        <v>393</v>
      </c>
      <c r="B263" t="s">
        <v>220</v>
      </c>
      <c r="C263" t="s">
        <v>36</v>
      </c>
      <c r="D263" t="s">
        <v>36</v>
      </c>
      <c r="E263" t="s">
        <v>36</v>
      </c>
      <c r="F263" t="s">
        <v>36</v>
      </c>
      <c r="G263" t="s">
        <v>36</v>
      </c>
      <c r="H263" t="s">
        <v>36</v>
      </c>
      <c r="I263" t="s">
        <v>36</v>
      </c>
      <c r="J263" t="s">
        <v>36</v>
      </c>
      <c r="K263" t="s">
        <v>36</v>
      </c>
      <c r="L263" t="s">
        <v>36</v>
      </c>
      <c r="M263" t="s">
        <v>36</v>
      </c>
      <c r="N263" t="s">
        <v>36</v>
      </c>
      <c r="O263" t="s">
        <v>36</v>
      </c>
      <c r="P263" t="s">
        <v>36</v>
      </c>
      <c r="Q263" t="s">
        <v>36</v>
      </c>
      <c r="R263" t="s">
        <v>36</v>
      </c>
      <c r="S263" t="s">
        <v>36</v>
      </c>
      <c r="T263" t="s">
        <v>36</v>
      </c>
      <c r="U263" t="s">
        <v>36</v>
      </c>
      <c r="V263" t="s">
        <v>36</v>
      </c>
      <c r="W263" t="s">
        <v>36</v>
      </c>
      <c r="X263" t="s">
        <v>36</v>
      </c>
      <c r="Y263" t="s">
        <v>36</v>
      </c>
      <c r="Z263" t="s">
        <v>36</v>
      </c>
      <c r="AA263" t="s">
        <v>36</v>
      </c>
      <c r="AB263" t="s">
        <v>36</v>
      </c>
      <c r="AC263" t="s">
        <v>36</v>
      </c>
      <c r="AD263" t="s">
        <v>36</v>
      </c>
      <c r="AE263" t="s">
        <v>36</v>
      </c>
      <c r="AF263" t="s">
        <v>36</v>
      </c>
      <c r="AG263" s="1">
        <v>43040</v>
      </c>
      <c r="AH263" t="s">
        <v>36</v>
      </c>
      <c r="AI263" t="s">
        <v>36</v>
      </c>
      <c r="AJ263" t="s">
        <v>36</v>
      </c>
    </row>
    <row r="264" spans="1:36" x14ac:dyDescent="0.35">
      <c r="A264">
        <v>258</v>
      </c>
      <c r="B264" t="s">
        <v>162</v>
      </c>
      <c r="C264" t="s">
        <v>36</v>
      </c>
      <c r="D264" t="s">
        <v>36</v>
      </c>
      <c r="E264" t="s">
        <v>36</v>
      </c>
      <c r="F264" t="s">
        <v>36</v>
      </c>
      <c r="G264" s="1">
        <v>42482.388888888891</v>
      </c>
      <c r="H264" t="s">
        <v>36</v>
      </c>
      <c r="I264" t="s">
        <v>36</v>
      </c>
      <c r="J264" t="s">
        <v>36</v>
      </c>
      <c r="K264" t="s">
        <v>36</v>
      </c>
      <c r="L264" t="s">
        <v>36</v>
      </c>
      <c r="M264" t="s">
        <v>36</v>
      </c>
      <c r="N264" t="s">
        <v>36</v>
      </c>
      <c r="O264" t="s">
        <v>36</v>
      </c>
      <c r="P264" s="1">
        <v>42482.381944444445</v>
      </c>
      <c r="Q264" t="s">
        <v>36</v>
      </c>
      <c r="R264" t="s">
        <v>36</v>
      </c>
      <c r="S264" t="s">
        <v>36</v>
      </c>
      <c r="T264" s="1">
        <v>42492.868055555555</v>
      </c>
      <c r="U264" t="s">
        <v>36</v>
      </c>
      <c r="V264" t="s">
        <v>36</v>
      </c>
      <c r="W264" t="s">
        <v>36</v>
      </c>
      <c r="X264" t="s">
        <v>36</v>
      </c>
      <c r="Y264" t="s">
        <v>36</v>
      </c>
      <c r="Z264" t="s">
        <v>36</v>
      </c>
      <c r="AA264" t="s">
        <v>36</v>
      </c>
      <c r="AB264" t="s">
        <v>36</v>
      </c>
      <c r="AC264" t="s">
        <v>36</v>
      </c>
      <c r="AD264" t="s">
        <v>36</v>
      </c>
      <c r="AE264" t="s">
        <v>36</v>
      </c>
      <c r="AF264" s="1">
        <v>42492.493055555555</v>
      </c>
      <c r="AG264" t="s">
        <v>36</v>
      </c>
      <c r="AH264" t="s">
        <v>36</v>
      </c>
      <c r="AI264" s="1">
        <v>42492.895833333336</v>
      </c>
      <c r="AJ264" s="1">
        <v>42496.548611111109</v>
      </c>
    </row>
    <row r="265" spans="1:36" x14ac:dyDescent="0.35">
      <c r="A265">
        <v>260</v>
      </c>
      <c r="B265" t="s">
        <v>163</v>
      </c>
      <c r="C265" s="1">
        <v>42528.291666666664</v>
      </c>
      <c r="D265" t="s">
        <v>36</v>
      </c>
      <c r="E265" t="s">
        <v>36</v>
      </c>
      <c r="F265" t="s">
        <v>36</v>
      </c>
      <c r="G265" t="s">
        <v>36</v>
      </c>
      <c r="H265" t="s">
        <v>36</v>
      </c>
      <c r="I265" t="s">
        <v>36</v>
      </c>
      <c r="J265" t="s">
        <v>36</v>
      </c>
      <c r="K265" s="1">
        <v>41061</v>
      </c>
      <c r="L265" t="s">
        <v>36</v>
      </c>
      <c r="M265" t="s">
        <v>36</v>
      </c>
      <c r="N265" t="s">
        <v>36</v>
      </c>
      <c r="O265" t="s">
        <v>36</v>
      </c>
      <c r="P265" t="s">
        <v>36</v>
      </c>
      <c r="Q265" t="s">
        <v>36</v>
      </c>
      <c r="R265" t="s">
        <v>36</v>
      </c>
      <c r="S265" t="s">
        <v>36</v>
      </c>
      <c r="T265" t="s">
        <v>36</v>
      </c>
      <c r="U265" t="s">
        <v>36</v>
      </c>
      <c r="V265" s="1">
        <v>42473.520833333336</v>
      </c>
      <c r="W265" t="s">
        <v>36</v>
      </c>
      <c r="X265" t="s">
        <v>36</v>
      </c>
      <c r="Y265" t="s">
        <v>36</v>
      </c>
      <c r="Z265" s="1">
        <v>42648.458333333336</v>
      </c>
      <c r="AA265" t="s">
        <v>36</v>
      </c>
      <c r="AB265" t="s">
        <v>36</v>
      </c>
      <c r="AC265" s="1">
        <v>42485.743055555555</v>
      </c>
      <c r="AD265" s="1">
        <v>42649.430555555555</v>
      </c>
      <c r="AE265" t="s">
        <v>36</v>
      </c>
      <c r="AF265" t="s">
        <v>36</v>
      </c>
      <c r="AG265" t="s">
        <v>36</v>
      </c>
      <c r="AH265" t="s">
        <v>36</v>
      </c>
      <c r="AI265" t="s">
        <v>36</v>
      </c>
      <c r="AJ265" t="s">
        <v>36</v>
      </c>
    </row>
    <row r="266" spans="1:36" x14ac:dyDescent="0.35">
      <c r="A266">
        <v>383</v>
      </c>
      <c r="B266" t="s">
        <v>212</v>
      </c>
      <c r="C266" t="s">
        <v>36</v>
      </c>
      <c r="D266" t="s">
        <v>36</v>
      </c>
      <c r="E266" t="s">
        <v>36</v>
      </c>
      <c r="F266" t="s">
        <v>36</v>
      </c>
      <c r="G266" t="s">
        <v>36</v>
      </c>
      <c r="H266" t="s">
        <v>36</v>
      </c>
      <c r="I266" t="s">
        <v>36</v>
      </c>
      <c r="J266" t="s">
        <v>36</v>
      </c>
      <c r="K266" t="s">
        <v>36</v>
      </c>
      <c r="L266" t="s">
        <v>36</v>
      </c>
      <c r="M266" t="s">
        <v>36</v>
      </c>
      <c r="N266" t="s">
        <v>36</v>
      </c>
      <c r="O266" t="s">
        <v>36</v>
      </c>
      <c r="P266" t="s">
        <v>36</v>
      </c>
      <c r="Q266" t="s">
        <v>36</v>
      </c>
      <c r="R266" t="s">
        <v>36</v>
      </c>
      <c r="S266" t="s">
        <v>36</v>
      </c>
      <c r="T266" t="s">
        <v>36</v>
      </c>
      <c r="U266" t="s">
        <v>36</v>
      </c>
      <c r="V266" t="s">
        <v>36</v>
      </c>
      <c r="W266" t="s">
        <v>36</v>
      </c>
      <c r="X266" t="s">
        <v>36</v>
      </c>
      <c r="Y266" t="s">
        <v>36</v>
      </c>
      <c r="Z266" t="s">
        <v>36</v>
      </c>
      <c r="AA266" t="s">
        <v>36</v>
      </c>
      <c r="AB266" t="s">
        <v>36</v>
      </c>
      <c r="AC266" t="s">
        <v>36</v>
      </c>
      <c r="AD266" t="s">
        <v>36</v>
      </c>
      <c r="AE266" t="s">
        <v>36</v>
      </c>
      <c r="AF266" t="s">
        <v>36</v>
      </c>
      <c r="AG266" s="1">
        <v>43040</v>
      </c>
      <c r="AH266" t="s">
        <v>36</v>
      </c>
      <c r="AI266" t="s">
        <v>36</v>
      </c>
      <c r="AJ266" t="s">
        <v>36</v>
      </c>
    </row>
    <row r="267" spans="1:36" x14ac:dyDescent="0.35">
      <c r="A267">
        <v>384</v>
      </c>
      <c r="B267" t="s">
        <v>213</v>
      </c>
      <c r="C267" t="s">
        <v>36</v>
      </c>
      <c r="D267" t="s">
        <v>36</v>
      </c>
      <c r="E267" t="s">
        <v>36</v>
      </c>
      <c r="F267" t="s">
        <v>36</v>
      </c>
      <c r="G267" t="s">
        <v>36</v>
      </c>
      <c r="H267" t="s">
        <v>36</v>
      </c>
      <c r="I267" t="s">
        <v>36</v>
      </c>
      <c r="J267" t="s">
        <v>36</v>
      </c>
      <c r="K267" t="s">
        <v>36</v>
      </c>
      <c r="L267" t="s">
        <v>36</v>
      </c>
      <c r="M267" t="s">
        <v>36</v>
      </c>
      <c r="N267" t="s">
        <v>36</v>
      </c>
      <c r="O267" t="s">
        <v>36</v>
      </c>
      <c r="P267" t="s">
        <v>36</v>
      </c>
      <c r="Q267" t="s">
        <v>36</v>
      </c>
      <c r="R267" t="s">
        <v>36</v>
      </c>
      <c r="S267" t="s">
        <v>36</v>
      </c>
      <c r="T267" t="s">
        <v>36</v>
      </c>
      <c r="U267" t="s">
        <v>36</v>
      </c>
      <c r="V267" t="s">
        <v>36</v>
      </c>
      <c r="W267" t="s">
        <v>36</v>
      </c>
      <c r="X267" t="s">
        <v>36</v>
      </c>
      <c r="Y267" t="s">
        <v>36</v>
      </c>
      <c r="Z267" t="s">
        <v>36</v>
      </c>
      <c r="AA267" t="s">
        <v>36</v>
      </c>
      <c r="AB267" t="s">
        <v>36</v>
      </c>
      <c r="AC267" t="s">
        <v>36</v>
      </c>
      <c r="AD267" t="s">
        <v>36</v>
      </c>
      <c r="AE267" t="s">
        <v>36</v>
      </c>
      <c r="AF267" t="s">
        <v>36</v>
      </c>
      <c r="AG267" s="1">
        <v>43040</v>
      </c>
      <c r="AH267" t="s">
        <v>36</v>
      </c>
      <c r="AI267" t="s">
        <v>36</v>
      </c>
      <c r="AJ267" t="s">
        <v>36</v>
      </c>
    </row>
    <row r="268" spans="1:36" x14ac:dyDescent="0.35">
      <c r="A268">
        <v>391</v>
      </c>
      <c r="B268" t="s">
        <v>218</v>
      </c>
      <c r="C268" t="s">
        <v>36</v>
      </c>
      <c r="D268" t="s">
        <v>36</v>
      </c>
      <c r="E268" t="s">
        <v>36</v>
      </c>
      <c r="F268" t="s">
        <v>36</v>
      </c>
      <c r="G268" t="s">
        <v>36</v>
      </c>
      <c r="H268" t="s">
        <v>36</v>
      </c>
      <c r="I268" t="s">
        <v>36</v>
      </c>
      <c r="J268" t="s">
        <v>36</v>
      </c>
      <c r="K268" t="s">
        <v>36</v>
      </c>
      <c r="L268" t="s">
        <v>36</v>
      </c>
      <c r="M268" s="1">
        <v>43348.625</v>
      </c>
      <c r="N268" t="s">
        <v>36</v>
      </c>
      <c r="O268" t="s">
        <v>36</v>
      </c>
      <c r="P268" t="s">
        <v>36</v>
      </c>
      <c r="Q268" t="s">
        <v>36</v>
      </c>
      <c r="R268" t="s">
        <v>36</v>
      </c>
      <c r="S268" t="s">
        <v>36</v>
      </c>
      <c r="T268" t="s">
        <v>36</v>
      </c>
      <c r="U268" t="s">
        <v>36</v>
      </c>
      <c r="V268" t="s">
        <v>36</v>
      </c>
      <c r="W268" t="s">
        <v>36</v>
      </c>
      <c r="X268" t="s">
        <v>36</v>
      </c>
      <c r="Y268" t="s">
        <v>36</v>
      </c>
      <c r="Z268" t="s">
        <v>36</v>
      </c>
      <c r="AA268" t="s">
        <v>36</v>
      </c>
      <c r="AB268" t="s">
        <v>36</v>
      </c>
      <c r="AC268" t="s">
        <v>36</v>
      </c>
      <c r="AD268" t="s">
        <v>36</v>
      </c>
      <c r="AE268" t="s">
        <v>36</v>
      </c>
      <c r="AF268" t="s">
        <v>36</v>
      </c>
      <c r="AG268" s="1">
        <v>43040</v>
      </c>
      <c r="AH268" t="s">
        <v>36</v>
      </c>
      <c r="AI268" t="s">
        <v>36</v>
      </c>
      <c r="AJ268" t="s">
        <v>36</v>
      </c>
    </row>
    <row r="269" spans="1:36" x14ac:dyDescent="0.35">
      <c r="A269">
        <v>392</v>
      </c>
      <c r="B269" t="s">
        <v>219</v>
      </c>
      <c r="C269" t="s">
        <v>36</v>
      </c>
      <c r="D269" t="s">
        <v>36</v>
      </c>
      <c r="E269" t="s">
        <v>36</v>
      </c>
      <c r="F269" t="s">
        <v>36</v>
      </c>
      <c r="G269" t="s">
        <v>36</v>
      </c>
      <c r="H269" t="s">
        <v>36</v>
      </c>
      <c r="I269" t="s">
        <v>36</v>
      </c>
      <c r="J269" t="s">
        <v>36</v>
      </c>
      <c r="K269" t="s">
        <v>36</v>
      </c>
      <c r="L269" t="s">
        <v>36</v>
      </c>
      <c r="M269" t="s">
        <v>36</v>
      </c>
      <c r="N269" t="s">
        <v>36</v>
      </c>
      <c r="O269" t="s">
        <v>36</v>
      </c>
      <c r="P269" t="s">
        <v>36</v>
      </c>
      <c r="Q269" t="s">
        <v>36</v>
      </c>
      <c r="R269" t="s">
        <v>36</v>
      </c>
      <c r="S269" t="s">
        <v>36</v>
      </c>
      <c r="T269" t="s">
        <v>36</v>
      </c>
      <c r="U269" t="s">
        <v>36</v>
      </c>
      <c r="V269" t="s">
        <v>36</v>
      </c>
      <c r="W269" t="s">
        <v>36</v>
      </c>
      <c r="X269" t="s">
        <v>36</v>
      </c>
      <c r="Y269" t="s">
        <v>36</v>
      </c>
      <c r="Z269" t="s">
        <v>36</v>
      </c>
      <c r="AA269" t="s">
        <v>36</v>
      </c>
      <c r="AB269" t="s">
        <v>36</v>
      </c>
      <c r="AC269" t="s">
        <v>36</v>
      </c>
      <c r="AD269" t="s">
        <v>36</v>
      </c>
      <c r="AE269" t="s">
        <v>36</v>
      </c>
      <c r="AF269" t="s">
        <v>36</v>
      </c>
      <c r="AG269" s="1">
        <v>43040</v>
      </c>
      <c r="AH269" t="s">
        <v>36</v>
      </c>
      <c r="AI269" t="s">
        <v>36</v>
      </c>
      <c r="AJ269" t="s">
        <v>36</v>
      </c>
    </row>
    <row r="270" spans="1:36" x14ac:dyDescent="0.35">
      <c r="A270">
        <v>394</v>
      </c>
      <c r="B270" t="s">
        <v>221</v>
      </c>
      <c r="C270" t="s">
        <v>36</v>
      </c>
      <c r="D270" t="s">
        <v>36</v>
      </c>
      <c r="E270" t="s">
        <v>36</v>
      </c>
      <c r="F270" t="s">
        <v>36</v>
      </c>
      <c r="G270" t="s">
        <v>36</v>
      </c>
      <c r="H270" t="s">
        <v>36</v>
      </c>
      <c r="I270" t="s">
        <v>36</v>
      </c>
      <c r="J270" t="s">
        <v>36</v>
      </c>
      <c r="K270" t="s">
        <v>36</v>
      </c>
      <c r="L270" t="s">
        <v>36</v>
      </c>
      <c r="M270" t="s">
        <v>36</v>
      </c>
      <c r="N270" t="s">
        <v>36</v>
      </c>
      <c r="O270" t="s">
        <v>36</v>
      </c>
      <c r="P270" t="s">
        <v>36</v>
      </c>
      <c r="Q270" t="s">
        <v>36</v>
      </c>
      <c r="R270" t="s">
        <v>36</v>
      </c>
      <c r="S270" t="s">
        <v>36</v>
      </c>
      <c r="T270" t="s">
        <v>36</v>
      </c>
      <c r="U270" t="s">
        <v>36</v>
      </c>
      <c r="V270" t="s">
        <v>36</v>
      </c>
      <c r="W270" t="s">
        <v>36</v>
      </c>
      <c r="X270" t="s">
        <v>36</v>
      </c>
      <c r="Y270" t="s">
        <v>36</v>
      </c>
      <c r="Z270" t="s">
        <v>36</v>
      </c>
      <c r="AA270" t="s">
        <v>36</v>
      </c>
      <c r="AB270" t="s">
        <v>36</v>
      </c>
      <c r="AC270" t="s">
        <v>36</v>
      </c>
      <c r="AD270" t="s">
        <v>36</v>
      </c>
      <c r="AE270" t="s">
        <v>36</v>
      </c>
      <c r="AF270" t="s">
        <v>36</v>
      </c>
      <c r="AG270" s="1">
        <v>43040</v>
      </c>
      <c r="AH270" t="s">
        <v>36</v>
      </c>
      <c r="AI270" t="s">
        <v>36</v>
      </c>
      <c r="AJ270" t="s">
        <v>36</v>
      </c>
    </row>
    <row r="271" spans="1:36" x14ac:dyDescent="0.35">
      <c r="A271">
        <v>390</v>
      </c>
      <c r="B271" t="s">
        <v>217</v>
      </c>
      <c r="C271" t="s">
        <v>36</v>
      </c>
      <c r="D271" t="s">
        <v>36</v>
      </c>
      <c r="E271" t="s">
        <v>36</v>
      </c>
      <c r="F271" t="s">
        <v>36</v>
      </c>
      <c r="G271" t="s">
        <v>36</v>
      </c>
      <c r="H271" t="s">
        <v>36</v>
      </c>
      <c r="I271" t="s">
        <v>36</v>
      </c>
      <c r="J271" t="s">
        <v>36</v>
      </c>
      <c r="K271" t="s">
        <v>36</v>
      </c>
      <c r="L271" t="s">
        <v>36</v>
      </c>
      <c r="M271" t="s">
        <v>36</v>
      </c>
      <c r="N271" t="s">
        <v>36</v>
      </c>
      <c r="O271" t="s">
        <v>36</v>
      </c>
      <c r="P271" t="s">
        <v>36</v>
      </c>
      <c r="Q271" t="s">
        <v>36</v>
      </c>
      <c r="R271" t="s">
        <v>36</v>
      </c>
      <c r="S271" t="s">
        <v>36</v>
      </c>
      <c r="T271" t="s">
        <v>36</v>
      </c>
      <c r="U271" t="s">
        <v>36</v>
      </c>
      <c r="V271" t="s">
        <v>36</v>
      </c>
      <c r="W271" t="s">
        <v>36</v>
      </c>
      <c r="X271" t="s">
        <v>36</v>
      </c>
      <c r="Y271" t="s">
        <v>36</v>
      </c>
      <c r="Z271" t="s">
        <v>36</v>
      </c>
      <c r="AA271" t="s">
        <v>36</v>
      </c>
      <c r="AB271" t="s">
        <v>36</v>
      </c>
      <c r="AC271" t="s">
        <v>36</v>
      </c>
      <c r="AD271" t="s">
        <v>36</v>
      </c>
      <c r="AE271" t="s">
        <v>36</v>
      </c>
      <c r="AF271" t="s">
        <v>36</v>
      </c>
      <c r="AG271" s="1">
        <v>43040</v>
      </c>
      <c r="AH271" t="s">
        <v>36</v>
      </c>
      <c r="AI271" t="s">
        <v>36</v>
      </c>
      <c r="AJ271" t="s">
        <v>36</v>
      </c>
    </row>
    <row r="272" spans="1:36" x14ac:dyDescent="0.35">
      <c r="A272">
        <v>382</v>
      </c>
      <c r="B272" t="s">
        <v>211</v>
      </c>
      <c r="C272" t="s">
        <v>36</v>
      </c>
      <c r="D272" t="s">
        <v>36</v>
      </c>
      <c r="E272" t="s">
        <v>36</v>
      </c>
      <c r="F272" t="s">
        <v>36</v>
      </c>
      <c r="G272" t="s">
        <v>36</v>
      </c>
      <c r="H272" t="s">
        <v>36</v>
      </c>
      <c r="I272" t="s">
        <v>36</v>
      </c>
      <c r="J272" t="s">
        <v>36</v>
      </c>
      <c r="K272" t="s">
        <v>36</v>
      </c>
      <c r="L272" t="s">
        <v>36</v>
      </c>
      <c r="M272" t="s">
        <v>36</v>
      </c>
      <c r="N272" t="s">
        <v>36</v>
      </c>
      <c r="O272" t="s">
        <v>36</v>
      </c>
      <c r="P272" t="s">
        <v>36</v>
      </c>
      <c r="Q272" t="s">
        <v>36</v>
      </c>
      <c r="R272" t="s">
        <v>36</v>
      </c>
      <c r="S272" t="s">
        <v>36</v>
      </c>
      <c r="T272" t="s">
        <v>36</v>
      </c>
      <c r="U272" t="s">
        <v>36</v>
      </c>
      <c r="V272" t="s">
        <v>36</v>
      </c>
      <c r="W272" t="s">
        <v>36</v>
      </c>
      <c r="X272" t="s">
        <v>36</v>
      </c>
      <c r="Y272" t="s">
        <v>36</v>
      </c>
      <c r="Z272" t="s">
        <v>36</v>
      </c>
      <c r="AA272" t="s">
        <v>36</v>
      </c>
      <c r="AB272" t="s">
        <v>36</v>
      </c>
      <c r="AC272" t="s">
        <v>36</v>
      </c>
      <c r="AD272" t="s">
        <v>36</v>
      </c>
      <c r="AE272" t="s">
        <v>36</v>
      </c>
      <c r="AF272" t="s">
        <v>36</v>
      </c>
      <c r="AG272" s="1">
        <v>43040</v>
      </c>
      <c r="AH272" t="s">
        <v>36</v>
      </c>
      <c r="AI272" t="s">
        <v>36</v>
      </c>
      <c r="AJ272" t="s">
        <v>36</v>
      </c>
    </row>
    <row r="273" spans="1:36" x14ac:dyDescent="0.35">
      <c r="A273">
        <v>176</v>
      </c>
      <c r="B273" t="s">
        <v>132</v>
      </c>
      <c r="C273" t="s">
        <v>36</v>
      </c>
      <c r="D273" s="1">
        <v>42058.680555555555</v>
      </c>
      <c r="E273" t="s">
        <v>36</v>
      </c>
      <c r="F273" t="s">
        <v>36</v>
      </c>
      <c r="G273" t="s">
        <v>36</v>
      </c>
      <c r="H273" t="s">
        <v>36</v>
      </c>
      <c r="I273" t="s">
        <v>36</v>
      </c>
      <c r="J273" t="s">
        <v>36</v>
      </c>
      <c r="K273" t="s">
        <v>36</v>
      </c>
      <c r="L273" t="s">
        <v>36</v>
      </c>
      <c r="M273" t="s">
        <v>36</v>
      </c>
      <c r="N273" s="1">
        <v>42795</v>
      </c>
      <c r="O273" s="1">
        <v>42662.868055555555</v>
      </c>
      <c r="P273" t="s">
        <v>36</v>
      </c>
      <c r="Q273" t="s">
        <v>36</v>
      </c>
      <c r="R273" t="s">
        <v>36</v>
      </c>
      <c r="S273" t="s">
        <v>36</v>
      </c>
      <c r="T273" t="s">
        <v>36</v>
      </c>
      <c r="U273" t="s">
        <v>36</v>
      </c>
      <c r="V273" t="s">
        <v>36</v>
      </c>
      <c r="W273" t="s">
        <v>36</v>
      </c>
      <c r="X273" s="1">
        <v>42193.618055555555</v>
      </c>
      <c r="Y273" t="s">
        <v>36</v>
      </c>
      <c r="Z273" t="s">
        <v>36</v>
      </c>
      <c r="AA273" t="s">
        <v>36</v>
      </c>
      <c r="AB273" t="s">
        <v>36</v>
      </c>
      <c r="AC273" t="s">
        <v>36</v>
      </c>
      <c r="AD273" t="s">
        <v>36</v>
      </c>
      <c r="AE273" t="s">
        <v>36</v>
      </c>
      <c r="AF273" t="s">
        <v>36</v>
      </c>
      <c r="AG273" t="s">
        <v>36</v>
      </c>
      <c r="AH273" t="s">
        <v>36</v>
      </c>
      <c r="AI273" t="s">
        <v>36</v>
      </c>
      <c r="AJ273" t="s">
        <v>36</v>
      </c>
    </row>
    <row r="274" spans="1:36" x14ac:dyDescent="0.35">
      <c r="A274">
        <v>429</v>
      </c>
      <c r="B274" t="s">
        <v>247</v>
      </c>
      <c r="C274" t="s">
        <v>36</v>
      </c>
      <c r="D274" t="s">
        <v>36</v>
      </c>
      <c r="E274" t="s">
        <v>36</v>
      </c>
      <c r="F274" t="s">
        <v>36</v>
      </c>
      <c r="G274" s="1">
        <v>41426</v>
      </c>
      <c r="H274" t="s">
        <v>36</v>
      </c>
      <c r="I274" t="s">
        <v>36</v>
      </c>
      <c r="J274" t="s">
        <v>36</v>
      </c>
      <c r="K274" t="s">
        <v>36</v>
      </c>
      <c r="L274" t="s">
        <v>36</v>
      </c>
      <c r="M274" t="s">
        <v>36</v>
      </c>
      <c r="N274" t="s">
        <v>36</v>
      </c>
      <c r="O274" t="s">
        <v>36</v>
      </c>
      <c r="P274" s="1">
        <v>41426</v>
      </c>
      <c r="Q274" t="s">
        <v>36</v>
      </c>
      <c r="R274" t="s">
        <v>36</v>
      </c>
      <c r="S274" t="s">
        <v>36</v>
      </c>
      <c r="T274" s="1">
        <v>39873</v>
      </c>
      <c r="U274" t="s">
        <v>36</v>
      </c>
      <c r="V274" t="s">
        <v>36</v>
      </c>
      <c r="W274" t="s">
        <v>36</v>
      </c>
      <c r="X274" t="s">
        <v>36</v>
      </c>
      <c r="Y274" t="s">
        <v>36</v>
      </c>
      <c r="Z274" t="s">
        <v>36</v>
      </c>
      <c r="AA274" t="s">
        <v>36</v>
      </c>
      <c r="AB274" t="s">
        <v>36</v>
      </c>
      <c r="AC274" t="s">
        <v>36</v>
      </c>
      <c r="AD274" t="s">
        <v>36</v>
      </c>
      <c r="AE274" t="s">
        <v>36</v>
      </c>
      <c r="AF274" s="1">
        <v>41513.4375</v>
      </c>
      <c r="AG274" t="s">
        <v>36</v>
      </c>
      <c r="AH274" t="s">
        <v>36</v>
      </c>
      <c r="AI274" s="1">
        <v>41365</v>
      </c>
      <c r="AJ274" s="1">
        <v>41426</v>
      </c>
    </row>
    <row r="275" spans="1:36" x14ac:dyDescent="0.35">
      <c r="A275">
        <v>32</v>
      </c>
      <c r="B275" t="s">
        <v>67</v>
      </c>
      <c r="C275" t="s">
        <v>36</v>
      </c>
      <c r="D275" t="s">
        <v>36</v>
      </c>
      <c r="E275" t="s">
        <v>36</v>
      </c>
      <c r="F275" t="s">
        <v>36</v>
      </c>
      <c r="G275" t="s">
        <v>36</v>
      </c>
      <c r="H275" t="s">
        <v>36</v>
      </c>
      <c r="I275" t="s">
        <v>36</v>
      </c>
      <c r="J275" t="s">
        <v>36</v>
      </c>
      <c r="K275" t="s">
        <v>36</v>
      </c>
      <c r="L275" t="s">
        <v>36</v>
      </c>
      <c r="M275" t="s">
        <v>36</v>
      </c>
      <c r="N275" t="s">
        <v>36</v>
      </c>
      <c r="O275" t="s">
        <v>36</v>
      </c>
      <c r="P275" t="s">
        <v>36</v>
      </c>
      <c r="Q275" s="1">
        <v>40911.534722222219</v>
      </c>
      <c r="R275" t="s">
        <v>36</v>
      </c>
      <c r="S275" t="s">
        <v>36</v>
      </c>
      <c r="T275" t="s">
        <v>36</v>
      </c>
      <c r="U275" t="s">
        <v>36</v>
      </c>
      <c r="V275" t="s">
        <v>36</v>
      </c>
      <c r="W275" t="s">
        <v>36</v>
      </c>
      <c r="X275" t="s">
        <v>36</v>
      </c>
      <c r="Y275" t="s">
        <v>36</v>
      </c>
      <c r="Z275" t="s">
        <v>36</v>
      </c>
      <c r="AA275" t="s">
        <v>36</v>
      </c>
      <c r="AB275" t="s">
        <v>36</v>
      </c>
      <c r="AC275" t="s">
        <v>36</v>
      </c>
      <c r="AD275" t="s">
        <v>36</v>
      </c>
      <c r="AE275" t="s">
        <v>36</v>
      </c>
      <c r="AF275" t="s">
        <v>36</v>
      </c>
      <c r="AG275" t="s">
        <v>36</v>
      </c>
      <c r="AH275" t="s">
        <v>36</v>
      </c>
      <c r="AI275" t="s">
        <v>36</v>
      </c>
      <c r="AJ275" t="s">
        <v>36</v>
      </c>
    </row>
    <row r="276" spans="1:36" x14ac:dyDescent="0.35">
      <c r="A276">
        <v>299</v>
      </c>
      <c r="B276" t="s">
        <v>179</v>
      </c>
      <c r="C276" s="1">
        <v>42544.520833333336</v>
      </c>
      <c r="D276" t="s">
        <v>36</v>
      </c>
      <c r="E276" t="s">
        <v>36</v>
      </c>
      <c r="F276" t="s">
        <v>36</v>
      </c>
      <c r="G276" s="1">
        <v>41426</v>
      </c>
      <c r="H276" t="s">
        <v>36</v>
      </c>
      <c r="I276" t="s">
        <v>36</v>
      </c>
      <c r="J276" t="s">
        <v>36</v>
      </c>
      <c r="K276" s="1">
        <v>42475.736111111109</v>
      </c>
      <c r="L276" t="s">
        <v>36</v>
      </c>
      <c r="M276" t="s">
        <v>36</v>
      </c>
      <c r="N276" s="1">
        <v>42795</v>
      </c>
      <c r="O276" t="s">
        <v>36</v>
      </c>
      <c r="P276" s="1">
        <v>41426</v>
      </c>
      <c r="Q276" t="s">
        <v>36</v>
      </c>
      <c r="R276" t="s">
        <v>36</v>
      </c>
      <c r="S276" t="s">
        <v>36</v>
      </c>
      <c r="T276" s="1">
        <v>39873</v>
      </c>
      <c r="U276" t="s">
        <v>36</v>
      </c>
      <c r="V276" s="1">
        <v>42473.520833333336</v>
      </c>
      <c r="W276" t="s">
        <v>36</v>
      </c>
      <c r="X276" t="s">
        <v>36</v>
      </c>
      <c r="Y276" t="s">
        <v>36</v>
      </c>
      <c r="Z276" s="1">
        <v>42648.458333333336</v>
      </c>
      <c r="AA276" t="s">
        <v>36</v>
      </c>
      <c r="AB276" t="s">
        <v>36</v>
      </c>
      <c r="AC276" s="1">
        <v>42485.743055555555</v>
      </c>
      <c r="AD276" s="1">
        <v>42649.430555555555</v>
      </c>
      <c r="AE276" t="s">
        <v>36</v>
      </c>
      <c r="AF276" s="1">
        <v>41513.4375</v>
      </c>
      <c r="AG276" t="s">
        <v>36</v>
      </c>
      <c r="AH276" t="s">
        <v>36</v>
      </c>
      <c r="AI276" s="1">
        <v>41365</v>
      </c>
      <c r="AJ276" s="1">
        <v>41426</v>
      </c>
    </row>
    <row r="277" spans="1:36" x14ac:dyDescent="0.35">
      <c r="A277">
        <v>34</v>
      </c>
      <c r="B277" t="s">
        <v>69</v>
      </c>
      <c r="C277" t="s">
        <v>36</v>
      </c>
      <c r="D277" t="s">
        <v>36</v>
      </c>
      <c r="E277" t="s">
        <v>36</v>
      </c>
      <c r="F277" t="s">
        <v>36</v>
      </c>
      <c r="G277" s="1">
        <v>41426</v>
      </c>
      <c r="H277" t="s">
        <v>36</v>
      </c>
      <c r="I277" t="s">
        <v>36</v>
      </c>
      <c r="J277" t="s">
        <v>36</v>
      </c>
      <c r="K277" t="s">
        <v>36</v>
      </c>
      <c r="L277" t="s">
        <v>36</v>
      </c>
      <c r="M277" t="s">
        <v>36</v>
      </c>
      <c r="N277" t="s">
        <v>36</v>
      </c>
      <c r="O277" t="s">
        <v>36</v>
      </c>
      <c r="P277" s="1">
        <v>41426</v>
      </c>
      <c r="Q277" s="1">
        <v>40911.534722222219</v>
      </c>
      <c r="R277" t="s">
        <v>36</v>
      </c>
      <c r="S277" t="s">
        <v>36</v>
      </c>
      <c r="T277" s="1">
        <v>39873</v>
      </c>
      <c r="U277" t="s">
        <v>36</v>
      </c>
      <c r="V277" t="s">
        <v>36</v>
      </c>
      <c r="W277" t="s">
        <v>36</v>
      </c>
      <c r="X277" t="s">
        <v>36</v>
      </c>
      <c r="Y277" t="s">
        <v>36</v>
      </c>
      <c r="Z277" t="s">
        <v>36</v>
      </c>
      <c r="AA277" t="s">
        <v>36</v>
      </c>
      <c r="AB277" t="s">
        <v>36</v>
      </c>
      <c r="AC277" t="s">
        <v>36</v>
      </c>
      <c r="AD277" t="s">
        <v>36</v>
      </c>
      <c r="AE277" t="s">
        <v>36</v>
      </c>
      <c r="AF277" s="1">
        <v>41513.4375</v>
      </c>
      <c r="AG277" t="s">
        <v>36</v>
      </c>
      <c r="AH277" t="s">
        <v>36</v>
      </c>
      <c r="AI277" s="1">
        <v>41365</v>
      </c>
      <c r="AJ277" s="1">
        <v>41426</v>
      </c>
    </row>
    <row r="278" spans="1:36" x14ac:dyDescent="0.35">
      <c r="A278">
        <v>373</v>
      </c>
      <c r="B278" t="s">
        <v>208</v>
      </c>
      <c r="C278" t="s">
        <v>36</v>
      </c>
      <c r="D278" t="s">
        <v>36</v>
      </c>
      <c r="E278" t="s">
        <v>36</v>
      </c>
      <c r="F278" t="s">
        <v>36</v>
      </c>
      <c r="G278" s="1">
        <v>41426</v>
      </c>
      <c r="H278" t="s">
        <v>36</v>
      </c>
      <c r="I278" t="s">
        <v>36</v>
      </c>
      <c r="J278" t="s">
        <v>36</v>
      </c>
      <c r="K278" t="s">
        <v>36</v>
      </c>
      <c r="L278" t="s">
        <v>36</v>
      </c>
      <c r="M278" t="s">
        <v>36</v>
      </c>
      <c r="N278" t="s">
        <v>36</v>
      </c>
      <c r="O278" t="s">
        <v>36</v>
      </c>
      <c r="P278" t="s">
        <v>36</v>
      </c>
      <c r="Q278" t="s">
        <v>36</v>
      </c>
      <c r="R278" t="s">
        <v>36</v>
      </c>
      <c r="S278" t="s">
        <v>36</v>
      </c>
      <c r="T278" s="1">
        <v>39873</v>
      </c>
      <c r="U278" t="s">
        <v>36</v>
      </c>
      <c r="V278" t="s">
        <v>36</v>
      </c>
      <c r="W278" t="s">
        <v>36</v>
      </c>
      <c r="X278" t="s">
        <v>36</v>
      </c>
      <c r="Y278" t="s">
        <v>36</v>
      </c>
      <c r="Z278" t="s">
        <v>36</v>
      </c>
      <c r="AA278" t="s">
        <v>36</v>
      </c>
      <c r="AB278" t="s">
        <v>36</v>
      </c>
      <c r="AC278" t="s">
        <v>36</v>
      </c>
      <c r="AD278" t="s">
        <v>36</v>
      </c>
      <c r="AE278" t="s">
        <v>36</v>
      </c>
      <c r="AF278" s="1">
        <v>41513.4375</v>
      </c>
      <c r="AG278" t="s">
        <v>36</v>
      </c>
      <c r="AH278" t="s">
        <v>36</v>
      </c>
      <c r="AI278" s="1">
        <v>41365</v>
      </c>
      <c r="AJ278" s="1">
        <v>41426</v>
      </c>
    </row>
    <row r="279" spans="1:36" x14ac:dyDescent="0.35">
      <c r="A279">
        <v>374</v>
      </c>
      <c r="B279" t="s">
        <v>209</v>
      </c>
      <c r="C279" t="s">
        <v>36</v>
      </c>
      <c r="D279" t="s">
        <v>36</v>
      </c>
      <c r="E279" t="s">
        <v>36</v>
      </c>
      <c r="F279" t="s">
        <v>36</v>
      </c>
      <c r="G279" s="1">
        <v>41426</v>
      </c>
      <c r="H279" t="s">
        <v>36</v>
      </c>
      <c r="I279" t="s">
        <v>36</v>
      </c>
      <c r="J279" t="s">
        <v>36</v>
      </c>
      <c r="K279" t="s">
        <v>36</v>
      </c>
      <c r="L279" t="s">
        <v>36</v>
      </c>
      <c r="M279" t="s">
        <v>36</v>
      </c>
      <c r="N279" t="s">
        <v>36</v>
      </c>
      <c r="O279" t="s">
        <v>36</v>
      </c>
      <c r="P279" t="s">
        <v>36</v>
      </c>
      <c r="Q279" t="s">
        <v>36</v>
      </c>
      <c r="R279" t="s">
        <v>36</v>
      </c>
      <c r="S279" t="s">
        <v>36</v>
      </c>
      <c r="T279" s="1">
        <v>39873</v>
      </c>
      <c r="U279" t="s">
        <v>36</v>
      </c>
      <c r="V279" t="s">
        <v>36</v>
      </c>
      <c r="W279" t="s">
        <v>36</v>
      </c>
      <c r="X279" t="s">
        <v>36</v>
      </c>
      <c r="Y279" t="s">
        <v>36</v>
      </c>
      <c r="Z279" t="s">
        <v>36</v>
      </c>
      <c r="AA279" t="s">
        <v>36</v>
      </c>
      <c r="AB279" t="s">
        <v>36</v>
      </c>
      <c r="AC279" t="s">
        <v>36</v>
      </c>
      <c r="AD279" t="s">
        <v>36</v>
      </c>
      <c r="AE279" t="s">
        <v>36</v>
      </c>
      <c r="AF279" s="1">
        <v>41513.4375</v>
      </c>
      <c r="AG279" t="s">
        <v>36</v>
      </c>
      <c r="AH279" t="s">
        <v>36</v>
      </c>
      <c r="AI279" s="1">
        <v>41365</v>
      </c>
      <c r="AJ279" s="1">
        <v>41426</v>
      </c>
    </row>
    <row r="280" spans="1:36" x14ac:dyDescent="0.35">
      <c r="A280">
        <v>375</v>
      </c>
      <c r="B280" t="s">
        <v>210</v>
      </c>
      <c r="C280" t="s">
        <v>36</v>
      </c>
      <c r="D280" t="s">
        <v>36</v>
      </c>
      <c r="E280" t="s">
        <v>36</v>
      </c>
      <c r="F280" t="s">
        <v>36</v>
      </c>
      <c r="G280" s="1">
        <v>41426</v>
      </c>
      <c r="H280" t="s">
        <v>36</v>
      </c>
      <c r="I280" t="s">
        <v>36</v>
      </c>
      <c r="J280" t="s">
        <v>36</v>
      </c>
      <c r="K280" t="s">
        <v>36</v>
      </c>
      <c r="L280" t="s">
        <v>36</v>
      </c>
      <c r="M280" t="s">
        <v>36</v>
      </c>
      <c r="N280" t="s">
        <v>36</v>
      </c>
      <c r="O280" t="s">
        <v>36</v>
      </c>
      <c r="P280" t="s">
        <v>36</v>
      </c>
      <c r="Q280" t="s">
        <v>36</v>
      </c>
      <c r="R280" t="s">
        <v>36</v>
      </c>
      <c r="S280" t="s">
        <v>36</v>
      </c>
      <c r="T280" s="1">
        <v>39873</v>
      </c>
      <c r="U280" t="s">
        <v>36</v>
      </c>
      <c r="V280" t="s">
        <v>36</v>
      </c>
      <c r="W280" t="s">
        <v>36</v>
      </c>
      <c r="X280" t="s">
        <v>36</v>
      </c>
      <c r="Y280" t="s">
        <v>36</v>
      </c>
      <c r="Z280" t="s">
        <v>36</v>
      </c>
      <c r="AA280" t="s">
        <v>36</v>
      </c>
      <c r="AB280" t="s">
        <v>36</v>
      </c>
      <c r="AC280" t="s">
        <v>36</v>
      </c>
      <c r="AD280" t="s">
        <v>36</v>
      </c>
      <c r="AE280" t="s">
        <v>36</v>
      </c>
      <c r="AF280" s="1">
        <v>41513.4375</v>
      </c>
      <c r="AG280" t="s">
        <v>36</v>
      </c>
      <c r="AH280" t="s">
        <v>36</v>
      </c>
      <c r="AI280" s="1">
        <v>41365</v>
      </c>
      <c r="AJ280" s="1">
        <v>41426</v>
      </c>
    </row>
    <row r="281" spans="1:36" x14ac:dyDescent="0.35">
      <c r="A281">
        <v>156</v>
      </c>
      <c r="B281" t="s">
        <v>128</v>
      </c>
      <c r="C281" t="s">
        <v>36</v>
      </c>
      <c r="D281" s="1">
        <v>42058.680555555555</v>
      </c>
      <c r="E281" t="s">
        <v>36</v>
      </c>
      <c r="F281" t="s">
        <v>36</v>
      </c>
      <c r="G281" s="1">
        <v>41426</v>
      </c>
      <c r="H281" t="s">
        <v>36</v>
      </c>
      <c r="I281" t="s">
        <v>36</v>
      </c>
      <c r="J281" t="s">
        <v>36</v>
      </c>
      <c r="K281" t="s">
        <v>36</v>
      </c>
      <c r="L281" t="s">
        <v>36</v>
      </c>
      <c r="M281" t="s">
        <v>36</v>
      </c>
      <c r="N281" s="1">
        <v>42795</v>
      </c>
      <c r="O281" s="1">
        <v>42376.743055555555</v>
      </c>
      <c r="P281" s="1">
        <v>41426</v>
      </c>
      <c r="Q281" t="s">
        <v>36</v>
      </c>
      <c r="R281" t="s">
        <v>36</v>
      </c>
      <c r="S281" t="s">
        <v>36</v>
      </c>
      <c r="T281" s="1">
        <v>39873</v>
      </c>
      <c r="U281" t="s">
        <v>36</v>
      </c>
      <c r="V281" t="s">
        <v>36</v>
      </c>
      <c r="W281" t="s">
        <v>36</v>
      </c>
      <c r="X281" s="1">
        <v>42193.618055555555</v>
      </c>
      <c r="Y281" t="s">
        <v>36</v>
      </c>
      <c r="Z281" t="s">
        <v>36</v>
      </c>
      <c r="AA281" t="s">
        <v>36</v>
      </c>
      <c r="AB281" t="s">
        <v>36</v>
      </c>
      <c r="AC281" t="s">
        <v>36</v>
      </c>
      <c r="AD281" t="s">
        <v>36</v>
      </c>
      <c r="AE281" t="s">
        <v>36</v>
      </c>
      <c r="AF281" s="1">
        <v>41513.4375</v>
      </c>
      <c r="AG281" s="1">
        <v>43040</v>
      </c>
      <c r="AH281" t="s">
        <v>36</v>
      </c>
      <c r="AI281" s="1">
        <v>41365</v>
      </c>
      <c r="AJ281" s="1">
        <v>41426</v>
      </c>
    </row>
    <row r="282" spans="1:36" x14ac:dyDescent="0.35">
      <c r="A282">
        <v>1702</v>
      </c>
      <c r="B282" t="s">
        <v>276</v>
      </c>
      <c r="C282" t="s">
        <v>36</v>
      </c>
      <c r="D282" t="s">
        <v>36</v>
      </c>
      <c r="E282" t="s">
        <v>36</v>
      </c>
      <c r="F282" t="s">
        <v>36</v>
      </c>
      <c r="G282" t="s">
        <v>36</v>
      </c>
      <c r="H282" t="s">
        <v>36</v>
      </c>
      <c r="I282" t="s">
        <v>36</v>
      </c>
      <c r="J282" s="1">
        <v>42995.930555555555</v>
      </c>
      <c r="K282" t="s">
        <v>36</v>
      </c>
      <c r="L282" s="1">
        <v>42940.347222222219</v>
      </c>
      <c r="M282" t="s">
        <v>36</v>
      </c>
      <c r="N282" t="s">
        <v>36</v>
      </c>
      <c r="O282" t="s">
        <v>36</v>
      </c>
      <c r="P282" t="s">
        <v>36</v>
      </c>
      <c r="Q282" t="s">
        <v>36</v>
      </c>
      <c r="R282" t="s">
        <v>36</v>
      </c>
      <c r="S282" t="s">
        <v>36</v>
      </c>
      <c r="T282" t="s">
        <v>36</v>
      </c>
      <c r="U282" t="s">
        <v>36</v>
      </c>
      <c r="V282" t="s">
        <v>36</v>
      </c>
      <c r="W282" t="s">
        <v>36</v>
      </c>
      <c r="X282" t="s">
        <v>36</v>
      </c>
      <c r="Y282" t="s">
        <v>36</v>
      </c>
      <c r="Z282" t="s">
        <v>36</v>
      </c>
      <c r="AA282" t="s">
        <v>36</v>
      </c>
      <c r="AB282" t="s">
        <v>36</v>
      </c>
      <c r="AC282" t="s">
        <v>36</v>
      </c>
      <c r="AD282" t="s">
        <v>36</v>
      </c>
      <c r="AE282" t="s">
        <v>36</v>
      </c>
      <c r="AF282" t="s">
        <v>36</v>
      </c>
      <c r="AG282" t="s">
        <v>36</v>
      </c>
      <c r="AH282" t="s">
        <v>36</v>
      </c>
      <c r="AI282" t="s">
        <v>36</v>
      </c>
      <c r="AJ282" t="s">
        <v>36</v>
      </c>
    </row>
    <row r="283" spans="1:36" x14ac:dyDescent="0.35">
      <c r="A283">
        <v>404</v>
      </c>
      <c r="B283" t="s">
        <v>231</v>
      </c>
      <c r="C283" t="s">
        <v>36</v>
      </c>
      <c r="D283" t="s">
        <v>36</v>
      </c>
      <c r="E283" t="s">
        <v>36</v>
      </c>
      <c r="F283" t="s">
        <v>36</v>
      </c>
      <c r="G283" s="1">
        <v>41426</v>
      </c>
      <c r="H283" t="s">
        <v>36</v>
      </c>
      <c r="I283" t="s">
        <v>36</v>
      </c>
      <c r="J283" t="s">
        <v>36</v>
      </c>
      <c r="K283" t="s">
        <v>36</v>
      </c>
      <c r="L283" t="s">
        <v>36</v>
      </c>
      <c r="M283" t="s">
        <v>36</v>
      </c>
      <c r="N283" t="s">
        <v>36</v>
      </c>
      <c r="O283" t="s">
        <v>36</v>
      </c>
      <c r="P283" t="s">
        <v>36</v>
      </c>
      <c r="Q283" t="s">
        <v>36</v>
      </c>
      <c r="R283" t="s">
        <v>36</v>
      </c>
      <c r="S283" t="s">
        <v>36</v>
      </c>
      <c r="T283" s="1">
        <v>39873</v>
      </c>
      <c r="U283" t="s">
        <v>36</v>
      </c>
      <c r="V283" t="s">
        <v>36</v>
      </c>
      <c r="W283" t="s">
        <v>36</v>
      </c>
      <c r="X283" t="s">
        <v>36</v>
      </c>
      <c r="Y283" t="s">
        <v>36</v>
      </c>
      <c r="Z283" t="s">
        <v>36</v>
      </c>
      <c r="AA283" t="s">
        <v>36</v>
      </c>
      <c r="AB283" t="s">
        <v>36</v>
      </c>
      <c r="AC283" t="s">
        <v>36</v>
      </c>
      <c r="AD283" t="s">
        <v>36</v>
      </c>
      <c r="AE283" t="s">
        <v>36</v>
      </c>
      <c r="AF283" s="1">
        <v>41513.4375</v>
      </c>
      <c r="AG283" s="1">
        <v>43040</v>
      </c>
      <c r="AH283" t="s">
        <v>36</v>
      </c>
      <c r="AI283" s="1">
        <v>41365</v>
      </c>
      <c r="AJ283" s="1">
        <v>41426</v>
      </c>
    </row>
    <row r="284" spans="1:36" x14ac:dyDescent="0.35">
      <c r="A284">
        <v>405</v>
      </c>
      <c r="B284" t="s">
        <v>232</v>
      </c>
      <c r="C284" t="s">
        <v>36</v>
      </c>
      <c r="D284" t="s">
        <v>36</v>
      </c>
      <c r="E284" t="s">
        <v>36</v>
      </c>
      <c r="F284" t="s">
        <v>36</v>
      </c>
      <c r="G284" s="1">
        <v>41426</v>
      </c>
      <c r="H284" t="s">
        <v>36</v>
      </c>
      <c r="I284" t="s">
        <v>36</v>
      </c>
      <c r="J284" t="s">
        <v>36</v>
      </c>
      <c r="K284" t="s">
        <v>36</v>
      </c>
      <c r="L284" t="s">
        <v>36</v>
      </c>
      <c r="M284" t="s">
        <v>36</v>
      </c>
      <c r="N284" t="s">
        <v>36</v>
      </c>
      <c r="O284" t="s">
        <v>36</v>
      </c>
      <c r="P284" t="s">
        <v>36</v>
      </c>
      <c r="Q284" t="s">
        <v>36</v>
      </c>
      <c r="R284" t="s">
        <v>36</v>
      </c>
      <c r="S284" t="s">
        <v>36</v>
      </c>
      <c r="T284" s="1">
        <v>39873</v>
      </c>
      <c r="U284" t="s">
        <v>36</v>
      </c>
      <c r="V284" t="s">
        <v>36</v>
      </c>
      <c r="W284" t="s">
        <v>36</v>
      </c>
      <c r="X284" t="s">
        <v>36</v>
      </c>
      <c r="Y284" t="s">
        <v>36</v>
      </c>
      <c r="Z284" t="s">
        <v>36</v>
      </c>
      <c r="AA284" t="s">
        <v>36</v>
      </c>
      <c r="AB284" t="s">
        <v>36</v>
      </c>
      <c r="AC284" t="s">
        <v>36</v>
      </c>
      <c r="AD284" t="s">
        <v>36</v>
      </c>
      <c r="AE284" t="s">
        <v>36</v>
      </c>
      <c r="AF284" s="1">
        <v>41513.4375</v>
      </c>
      <c r="AG284" s="1">
        <v>43040</v>
      </c>
      <c r="AH284" t="s">
        <v>36</v>
      </c>
      <c r="AI284" s="1">
        <v>41365</v>
      </c>
      <c r="AJ284" s="1">
        <v>41426</v>
      </c>
    </row>
    <row r="285" spans="1:36" x14ac:dyDescent="0.35">
      <c r="A285">
        <v>46</v>
      </c>
      <c r="B285" t="s">
        <v>81</v>
      </c>
      <c r="C285" s="1">
        <v>42528.291666666664</v>
      </c>
      <c r="D285" s="1">
        <v>42058.680555555555</v>
      </c>
      <c r="E285" s="1">
        <v>39245.465277777781</v>
      </c>
      <c r="F285" s="1">
        <v>42735.993055555555</v>
      </c>
      <c r="G285" s="1">
        <v>41426</v>
      </c>
      <c r="H285" s="1">
        <v>43059.576388888891</v>
      </c>
      <c r="I285" s="1">
        <v>43050.451388888891</v>
      </c>
      <c r="J285" s="1">
        <v>42995.930555555555</v>
      </c>
      <c r="K285" s="1">
        <v>42475.736111111109</v>
      </c>
      <c r="L285" s="1">
        <v>42940.347222222219</v>
      </c>
      <c r="M285" s="1">
        <v>43348.625</v>
      </c>
      <c r="N285" s="1">
        <v>42795</v>
      </c>
      <c r="O285" s="1">
        <v>42376.743055555555</v>
      </c>
      <c r="P285" t="s">
        <v>36</v>
      </c>
      <c r="Q285" t="s">
        <v>36</v>
      </c>
      <c r="R285" s="1">
        <v>43329.319444444445</v>
      </c>
      <c r="S285" s="1">
        <v>42735.993055555555</v>
      </c>
      <c r="T285" s="1">
        <v>39873</v>
      </c>
      <c r="U285" s="1">
        <v>43054.631944444445</v>
      </c>
      <c r="V285" s="1">
        <v>42473.520833333336</v>
      </c>
      <c r="W285" s="1">
        <v>39599.958333333336</v>
      </c>
      <c r="X285" s="1">
        <v>42193.618055555555</v>
      </c>
      <c r="Y285" t="s">
        <v>36</v>
      </c>
      <c r="Z285" s="1">
        <v>42648.458333333336</v>
      </c>
      <c r="AA285" s="1">
        <v>43054.611111111109</v>
      </c>
      <c r="AB285" s="1">
        <v>41225.597222222219</v>
      </c>
      <c r="AC285" s="1">
        <v>42485.743055555555</v>
      </c>
      <c r="AD285" s="1">
        <v>42649.430555555555</v>
      </c>
      <c r="AE285" t="s">
        <v>36</v>
      </c>
      <c r="AF285" s="1">
        <v>41513.4375</v>
      </c>
      <c r="AG285" s="1">
        <v>43040</v>
      </c>
      <c r="AH285" s="1">
        <v>39659.506944444445</v>
      </c>
      <c r="AI285" s="1">
        <v>41365</v>
      </c>
      <c r="AJ285" s="1">
        <v>41426</v>
      </c>
    </row>
    <row r="286" spans="1:36" x14ac:dyDescent="0.35">
      <c r="A286">
        <v>47</v>
      </c>
      <c r="B286" t="s">
        <v>82</v>
      </c>
      <c r="C286" s="1">
        <v>42528.291666666664</v>
      </c>
      <c r="D286" s="1">
        <v>42058.680555555555</v>
      </c>
      <c r="E286" s="1">
        <v>39245.465277777781</v>
      </c>
      <c r="F286" s="1">
        <v>42735.993055555555</v>
      </c>
      <c r="G286" s="1">
        <v>41426</v>
      </c>
      <c r="H286" s="1">
        <v>43059.576388888891</v>
      </c>
      <c r="I286" s="1">
        <v>43050.451388888891</v>
      </c>
      <c r="J286" s="1">
        <v>42995.930555555555</v>
      </c>
      <c r="K286" s="1">
        <v>42475.736111111109</v>
      </c>
      <c r="L286" s="1">
        <v>42940.347222222219</v>
      </c>
      <c r="M286" s="1">
        <v>43348.625</v>
      </c>
      <c r="N286" s="1">
        <v>42795</v>
      </c>
      <c r="O286" s="1">
        <v>42376.743055555555</v>
      </c>
      <c r="P286" t="s">
        <v>36</v>
      </c>
      <c r="Q286" t="s">
        <v>36</v>
      </c>
      <c r="R286" s="1">
        <v>43329.319444444445</v>
      </c>
      <c r="S286" s="1">
        <v>42735.993055555555</v>
      </c>
      <c r="T286" s="1">
        <v>39873</v>
      </c>
      <c r="U286" s="1">
        <v>43054.631944444445</v>
      </c>
      <c r="V286" s="1">
        <v>42473.520833333336</v>
      </c>
      <c r="W286" s="1">
        <v>39599.958333333336</v>
      </c>
      <c r="X286" s="1">
        <v>42193.618055555555</v>
      </c>
      <c r="Y286" t="s">
        <v>36</v>
      </c>
      <c r="Z286" s="1">
        <v>42648.458333333336</v>
      </c>
      <c r="AA286" s="1">
        <v>43054.611111111109</v>
      </c>
      <c r="AB286" s="1">
        <v>41225.597222222219</v>
      </c>
      <c r="AC286" s="1">
        <v>42485.743055555555</v>
      </c>
      <c r="AD286" s="1">
        <v>42649.430555555555</v>
      </c>
      <c r="AE286" t="s">
        <v>36</v>
      </c>
      <c r="AF286" s="1">
        <v>41513.4375</v>
      </c>
      <c r="AG286" s="1">
        <v>43040</v>
      </c>
      <c r="AH286" s="1">
        <v>39659.506944444445</v>
      </c>
      <c r="AI286" s="1">
        <v>41365</v>
      </c>
      <c r="AJ286" s="1">
        <v>41426</v>
      </c>
    </row>
    <row r="287" spans="1:36" x14ac:dyDescent="0.35">
      <c r="A287">
        <v>48</v>
      </c>
      <c r="B287" t="s">
        <v>83</v>
      </c>
      <c r="C287" s="1">
        <v>42528.291666666664</v>
      </c>
      <c r="D287" s="1">
        <v>42058.680555555555</v>
      </c>
      <c r="E287" s="1">
        <v>39245.465277777781</v>
      </c>
      <c r="F287" s="1">
        <v>42735.993055555555</v>
      </c>
      <c r="G287" s="1">
        <v>41426</v>
      </c>
      <c r="H287" s="1">
        <v>43059.576388888891</v>
      </c>
      <c r="I287" s="1">
        <v>43050.451388888891</v>
      </c>
      <c r="J287" s="1">
        <v>42995.930555555555</v>
      </c>
      <c r="K287" s="1">
        <v>42475.736111111109</v>
      </c>
      <c r="L287" s="1">
        <v>42940.347222222219</v>
      </c>
      <c r="M287" s="1">
        <v>43348.625</v>
      </c>
      <c r="N287" s="1">
        <v>42795</v>
      </c>
      <c r="O287" s="1">
        <v>42376.743055555555</v>
      </c>
      <c r="P287" t="s">
        <v>36</v>
      </c>
      <c r="Q287" t="s">
        <v>36</v>
      </c>
      <c r="R287" s="1">
        <v>43329.319444444445</v>
      </c>
      <c r="S287" s="1">
        <v>42735.993055555555</v>
      </c>
      <c r="T287" s="1">
        <v>39873</v>
      </c>
      <c r="U287" s="1">
        <v>43054.631944444445</v>
      </c>
      <c r="V287" s="1">
        <v>42473.520833333336</v>
      </c>
      <c r="W287" s="1">
        <v>39599.958333333336</v>
      </c>
      <c r="X287" s="1">
        <v>42193.618055555555</v>
      </c>
      <c r="Y287" t="s">
        <v>36</v>
      </c>
      <c r="Z287" s="1">
        <v>42648.458333333336</v>
      </c>
      <c r="AA287" s="1">
        <v>43054.611111111109</v>
      </c>
      <c r="AB287" s="1">
        <v>41225.597222222219</v>
      </c>
      <c r="AC287" s="1">
        <v>42485.743055555555</v>
      </c>
      <c r="AD287" s="1">
        <v>42649.430555555555</v>
      </c>
      <c r="AE287" t="s">
        <v>36</v>
      </c>
      <c r="AF287" s="1">
        <v>41513.4375</v>
      </c>
      <c r="AG287" s="1">
        <v>43040</v>
      </c>
      <c r="AH287" s="1">
        <v>39659.506944444445</v>
      </c>
      <c r="AI287" s="1">
        <v>41365</v>
      </c>
      <c r="AJ287" s="1">
        <v>41426</v>
      </c>
    </row>
    <row r="288" spans="1:36" x14ac:dyDescent="0.35">
      <c r="A288">
        <v>274</v>
      </c>
      <c r="B288" t="s">
        <v>164</v>
      </c>
      <c r="C288" t="s">
        <v>36</v>
      </c>
      <c r="D288" t="s">
        <v>36</v>
      </c>
      <c r="E288" t="s">
        <v>36</v>
      </c>
      <c r="F288" t="s">
        <v>36</v>
      </c>
      <c r="G288" s="1">
        <v>41426</v>
      </c>
      <c r="H288" t="s">
        <v>36</v>
      </c>
      <c r="I288" t="s">
        <v>36</v>
      </c>
      <c r="J288" t="s">
        <v>36</v>
      </c>
      <c r="K288" t="s">
        <v>36</v>
      </c>
      <c r="L288" t="s">
        <v>36</v>
      </c>
      <c r="M288" t="s">
        <v>36</v>
      </c>
      <c r="N288" t="s">
        <v>36</v>
      </c>
      <c r="O288" t="s">
        <v>36</v>
      </c>
      <c r="P288" s="1">
        <v>41426</v>
      </c>
      <c r="Q288" t="s">
        <v>36</v>
      </c>
      <c r="R288" t="s">
        <v>36</v>
      </c>
      <c r="S288" t="s">
        <v>36</v>
      </c>
      <c r="T288" s="1">
        <v>39873</v>
      </c>
      <c r="U288" t="s">
        <v>36</v>
      </c>
      <c r="V288" t="s">
        <v>36</v>
      </c>
      <c r="W288" t="s">
        <v>36</v>
      </c>
      <c r="X288" t="s">
        <v>36</v>
      </c>
      <c r="Y288" t="s">
        <v>36</v>
      </c>
      <c r="Z288" t="s">
        <v>36</v>
      </c>
      <c r="AA288" t="s">
        <v>36</v>
      </c>
      <c r="AB288" t="s">
        <v>36</v>
      </c>
      <c r="AC288" t="s">
        <v>36</v>
      </c>
      <c r="AD288" t="s">
        <v>36</v>
      </c>
      <c r="AE288" t="s">
        <v>36</v>
      </c>
      <c r="AF288" s="1">
        <v>41513.4375</v>
      </c>
      <c r="AG288" s="1">
        <v>43040</v>
      </c>
      <c r="AH288" t="s">
        <v>36</v>
      </c>
      <c r="AI288" s="1">
        <v>41365</v>
      </c>
      <c r="AJ288" s="1">
        <v>41426</v>
      </c>
    </row>
    <row r="289" spans="1:36" x14ac:dyDescent="0.35">
      <c r="A289">
        <v>2</v>
      </c>
      <c r="B289" t="s">
        <v>37</v>
      </c>
      <c r="C289" s="1">
        <v>42528.291666666664</v>
      </c>
      <c r="D289" s="1">
        <v>42058.680555555555</v>
      </c>
      <c r="E289" t="s">
        <v>36</v>
      </c>
      <c r="F289" t="s">
        <v>36</v>
      </c>
      <c r="G289" s="1">
        <v>41426</v>
      </c>
      <c r="H289" t="s">
        <v>36</v>
      </c>
      <c r="I289" t="s">
        <v>36</v>
      </c>
      <c r="J289" t="s">
        <v>36</v>
      </c>
      <c r="K289" s="1">
        <v>39600</v>
      </c>
      <c r="L289" t="s">
        <v>36</v>
      </c>
      <c r="M289" s="1">
        <v>43009</v>
      </c>
      <c r="N289" s="1">
        <v>42795</v>
      </c>
      <c r="O289" s="1">
        <v>42376.743055555555</v>
      </c>
      <c r="P289" t="s">
        <v>36</v>
      </c>
      <c r="Q289" s="1">
        <v>42472.722222222219</v>
      </c>
      <c r="R289" t="s">
        <v>36</v>
      </c>
      <c r="S289" t="s">
        <v>36</v>
      </c>
      <c r="T289" s="1">
        <v>39873</v>
      </c>
      <c r="U289" t="s">
        <v>36</v>
      </c>
      <c r="V289" s="1">
        <v>42473.520833333336</v>
      </c>
      <c r="W289" t="s">
        <v>36</v>
      </c>
      <c r="X289" s="1">
        <v>42193.618055555555</v>
      </c>
      <c r="Y289" t="s">
        <v>36</v>
      </c>
      <c r="Z289" s="1">
        <v>42648.458333333336</v>
      </c>
      <c r="AA289" t="s">
        <v>36</v>
      </c>
      <c r="AB289" t="s">
        <v>36</v>
      </c>
      <c r="AC289" s="1">
        <v>42485.743055555555</v>
      </c>
      <c r="AD289" s="1">
        <v>42649.430555555555</v>
      </c>
      <c r="AE289" t="s">
        <v>36</v>
      </c>
      <c r="AF289" s="1">
        <v>41513.4375</v>
      </c>
      <c r="AG289" s="1">
        <v>43040</v>
      </c>
      <c r="AH289" t="s">
        <v>36</v>
      </c>
      <c r="AI289" s="1">
        <v>41365</v>
      </c>
      <c r="AJ289" s="1">
        <v>41426</v>
      </c>
    </row>
    <row r="290" spans="1:36" x14ac:dyDescent="0.35">
      <c r="A290">
        <v>157</v>
      </c>
      <c r="B290" t="s">
        <v>129</v>
      </c>
      <c r="C290" t="s">
        <v>36</v>
      </c>
      <c r="D290" s="1">
        <v>42058.680555555555</v>
      </c>
      <c r="E290" t="s">
        <v>36</v>
      </c>
      <c r="F290" t="s">
        <v>36</v>
      </c>
      <c r="G290" s="1">
        <v>41426</v>
      </c>
      <c r="H290" t="s">
        <v>36</v>
      </c>
      <c r="I290" t="s">
        <v>36</v>
      </c>
      <c r="J290" t="s">
        <v>36</v>
      </c>
      <c r="K290" t="s">
        <v>36</v>
      </c>
      <c r="L290" t="s">
        <v>36</v>
      </c>
      <c r="M290" s="1">
        <v>43348.631944444445</v>
      </c>
      <c r="N290" s="1">
        <v>42795</v>
      </c>
      <c r="O290" s="1">
        <v>42662.875</v>
      </c>
      <c r="P290" s="1">
        <v>41426</v>
      </c>
      <c r="Q290" t="s">
        <v>36</v>
      </c>
      <c r="R290" t="s">
        <v>36</v>
      </c>
      <c r="S290" t="s">
        <v>36</v>
      </c>
      <c r="T290" s="1">
        <v>39873</v>
      </c>
      <c r="U290" t="s">
        <v>36</v>
      </c>
      <c r="V290" t="s">
        <v>36</v>
      </c>
      <c r="W290" t="s">
        <v>36</v>
      </c>
      <c r="X290" s="1">
        <v>42193.618055555555</v>
      </c>
      <c r="Y290" t="s">
        <v>36</v>
      </c>
      <c r="Z290" t="s">
        <v>36</v>
      </c>
      <c r="AA290" t="s">
        <v>36</v>
      </c>
      <c r="AB290" t="s">
        <v>36</v>
      </c>
      <c r="AC290" t="s">
        <v>36</v>
      </c>
      <c r="AD290" t="s">
        <v>36</v>
      </c>
      <c r="AE290" t="s">
        <v>36</v>
      </c>
      <c r="AF290" s="1">
        <v>41513.4375</v>
      </c>
      <c r="AG290" s="1">
        <v>43040</v>
      </c>
      <c r="AH290" t="s">
        <v>36</v>
      </c>
      <c r="AI290" s="1">
        <v>41365</v>
      </c>
      <c r="AJ290" s="1">
        <v>41426</v>
      </c>
    </row>
    <row r="291" spans="1:36" x14ac:dyDescent="0.35">
      <c r="A291">
        <v>1</v>
      </c>
      <c r="B291" t="s">
        <v>35</v>
      </c>
      <c r="C291" s="1">
        <v>42528.291666666664</v>
      </c>
      <c r="D291" s="1">
        <v>42058.680555555555</v>
      </c>
      <c r="E291" s="1">
        <v>39245.465277777781</v>
      </c>
      <c r="F291" s="1">
        <v>42735.993055555555</v>
      </c>
      <c r="G291" s="1">
        <v>41426</v>
      </c>
      <c r="H291" s="1">
        <v>43059.576388888891</v>
      </c>
      <c r="I291" s="1">
        <v>43050.451388888891</v>
      </c>
      <c r="J291" s="1">
        <v>42995.930555555555</v>
      </c>
      <c r="K291" s="1">
        <v>39600</v>
      </c>
      <c r="L291" s="1">
        <v>42940.347222222219</v>
      </c>
      <c r="M291" s="1">
        <v>43009</v>
      </c>
      <c r="N291" s="1">
        <v>42795</v>
      </c>
      <c r="O291" s="1">
        <v>42376.743055555555</v>
      </c>
      <c r="P291" t="s">
        <v>36</v>
      </c>
      <c r="Q291" s="1">
        <v>40215.493055555555</v>
      </c>
      <c r="R291" s="1">
        <v>43329.319444444445</v>
      </c>
      <c r="S291" s="1">
        <v>42735.993055555555</v>
      </c>
      <c r="T291" s="1">
        <v>39873</v>
      </c>
      <c r="U291" s="1">
        <v>43054.631944444445</v>
      </c>
      <c r="V291" s="1">
        <v>42473.520833333336</v>
      </c>
      <c r="W291" s="1">
        <v>39599.958333333336</v>
      </c>
      <c r="X291" s="1">
        <v>42193.618055555555</v>
      </c>
      <c r="Y291" s="1">
        <v>43396.4375</v>
      </c>
      <c r="Z291" s="1">
        <v>42648.458333333336</v>
      </c>
      <c r="AA291" s="1">
        <v>43054.611111111109</v>
      </c>
      <c r="AB291" s="1">
        <v>41225.597222222219</v>
      </c>
      <c r="AC291" s="1">
        <v>42485.743055555555</v>
      </c>
      <c r="AD291" s="1">
        <v>42649.430555555555</v>
      </c>
      <c r="AE291" s="1">
        <v>43397.458333333336</v>
      </c>
      <c r="AF291" s="1">
        <v>41513.4375</v>
      </c>
      <c r="AG291" s="1">
        <v>43040</v>
      </c>
      <c r="AH291" s="1">
        <v>39659.506944444445</v>
      </c>
      <c r="AI291" s="1">
        <v>41365</v>
      </c>
      <c r="AJ291" s="1">
        <v>41426</v>
      </c>
    </row>
    <row r="292" spans="1:36" x14ac:dyDescent="0.35">
      <c r="A292">
        <v>67</v>
      </c>
      <c r="B292" t="s">
        <v>283</v>
      </c>
      <c r="C292" s="1">
        <v>42528.291666666664</v>
      </c>
      <c r="D292" s="1">
        <v>42058.680555555555</v>
      </c>
      <c r="E292" s="1">
        <v>43526.347222222219</v>
      </c>
      <c r="F292" s="1">
        <v>43526.319444444445</v>
      </c>
      <c r="G292" t="s">
        <v>36</v>
      </c>
      <c r="H292" s="1">
        <v>43626.604166666664</v>
      </c>
      <c r="I292" s="1">
        <v>43617.604166666664</v>
      </c>
      <c r="J292" t="s">
        <v>36</v>
      </c>
      <c r="K292" s="1">
        <v>42475.736111111109</v>
      </c>
      <c r="L292" t="s">
        <v>36</v>
      </c>
      <c r="M292" s="1">
        <v>43348.625</v>
      </c>
      <c r="N292" s="1">
        <v>42795</v>
      </c>
      <c r="O292" s="1">
        <v>42376.743055555555</v>
      </c>
      <c r="P292" t="s">
        <v>36</v>
      </c>
      <c r="Q292" s="1">
        <v>40215.493055555555</v>
      </c>
      <c r="R292" s="1">
        <v>43329.319444444445</v>
      </c>
      <c r="S292" s="1">
        <v>43467.236111111109</v>
      </c>
      <c r="T292" t="s">
        <v>36</v>
      </c>
      <c r="U292" s="1">
        <v>43618.270833333336</v>
      </c>
      <c r="V292" s="1">
        <v>42473.520833333336</v>
      </c>
      <c r="W292" s="1">
        <v>42477.895833333336</v>
      </c>
      <c r="X292" s="1">
        <v>42193.618055555555</v>
      </c>
      <c r="Y292" t="s">
        <v>36</v>
      </c>
      <c r="Z292" s="1">
        <v>42648.458333333336</v>
      </c>
      <c r="AA292" s="1">
        <v>43618.263888888891</v>
      </c>
      <c r="AB292" s="1">
        <v>42486.548611111109</v>
      </c>
      <c r="AC292" s="1">
        <v>42485.743055555555</v>
      </c>
      <c r="AD292" s="1">
        <v>42649.430555555555</v>
      </c>
      <c r="AE292" t="s">
        <v>36</v>
      </c>
      <c r="AF292" t="s">
        <v>36</v>
      </c>
      <c r="AG292" t="s">
        <v>36</v>
      </c>
      <c r="AH292" s="1">
        <v>43556.604166666664</v>
      </c>
      <c r="AI292" t="s">
        <v>36</v>
      </c>
      <c r="AJ292" t="s">
        <v>36</v>
      </c>
    </row>
    <row r="293" spans="1:36" x14ac:dyDescent="0.35">
      <c r="A293">
        <v>66</v>
      </c>
      <c r="B293" t="s">
        <v>282</v>
      </c>
      <c r="C293" s="1">
        <v>42528.291666666664</v>
      </c>
      <c r="D293" s="1">
        <v>42058.680555555555</v>
      </c>
      <c r="E293" s="1">
        <v>43526.347222222219</v>
      </c>
      <c r="F293" s="1">
        <v>43526.319444444445</v>
      </c>
      <c r="G293" t="s">
        <v>36</v>
      </c>
      <c r="H293" s="1">
        <v>43626.604166666664</v>
      </c>
      <c r="I293" s="1">
        <v>43617.604166666664</v>
      </c>
      <c r="J293" t="s">
        <v>36</v>
      </c>
      <c r="K293" s="1">
        <v>42475.736111111109</v>
      </c>
      <c r="L293" t="s">
        <v>36</v>
      </c>
      <c r="M293" s="1">
        <v>43348.625</v>
      </c>
      <c r="N293" s="1">
        <v>42795</v>
      </c>
      <c r="O293" s="1">
        <v>42376.743055555555</v>
      </c>
      <c r="P293" t="s">
        <v>36</v>
      </c>
      <c r="Q293" s="1">
        <v>40215.493055555555</v>
      </c>
      <c r="R293" s="1">
        <v>43329.319444444445</v>
      </c>
      <c r="S293" s="1">
        <v>43467.236111111109</v>
      </c>
      <c r="T293" t="s">
        <v>36</v>
      </c>
      <c r="U293" s="1">
        <v>43618.270833333336</v>
      </c>
      <c r="V293" s="1">
        <v>42473.520833333336</v>
      </c>
      <c r="W293" s="1">
        <v>42477.895833333336</v>
      </c>
      <c r="X293" s="1">
        <v>42193.618055555555</v>
      </c>
      <c r="Y293" t="s">
        <v>36</v>
      </c>
      <c r="Z293" s="1">
        <v>42648.458333333336</v>
      </c>
      <c r="AA293" s="1">
        <v>43618.263888888891</v>
      </c>
      <c r="AB293" s="1">
        <v>42486.548611111109</v>
      </c>
      <c r="AC293" s="1">
        <v>42485.743055555555</v>
      </c>
      <c r="AD293" s="1">
        <v>42649.430555555555</v>
      </c>
      <c r="AE293" t="s">
        <v>36</v>
      </c>
      <c r="AF293" t="s">
        <v>36</v>
      </c>
      <c r="AG293" t="s">
        <v>36</v>
      </c>
      <c r="AH293" s="1">
        <v>43556.604166666664</v>
      </c>
      <c r="AI293" t="s">
        <v>36</v>
      </c>
      <c r="AJ293" t="s">
        <v>36</v>
      </c>
    </row>
    <row r="294" spans="1:36" x14ac:dyDescent="0.35">
      <c r="A294">
        <v>65</v>
      </c>
      <c r="B294" t="s">
        <v>281</v>
      </c>
      <c r="C294" s="1">
        <v>42528.291666666664</v>
      </c>
      <c r="D294" s="1">
        <v>42058.680555555555</v>
      </c>
      <c r="E294" s="1">
        <v>43526.347222222219</v>
      </c>
      <c r="F294" s="1">
        <v>43526.319444444445</v>
      </c>
      <c r="G294" t="s">
        <v>36</v>
      </c>
      <c r="H294" s="1">
        <v>43626.604166666664</v>
      </c>
      <c r="I294" s="1">
        <v>43617.604166666664</v>
      </c>
      <c r="J294" t="s">
        <v>36</v>
      </c>
      <c r="K294" s="1">
        <v>42475.736111111109</v>
      </c>
      <c r="L294" t="s">
        <v>36</v>
      </c>
      <c r="M294" s="1">
        <v>43348.625</v>
      </c>
      <c r="N294" s="1">
        <v>42795</v>
      </c>
      <c r="O294" s="1">
        <v>42376.743055555555</v>
      </c>
      <c r="P294" t="s">
        <v>36</v>
      </c>
      <c r="Q294" t="s">
        <v>36</v>
      </c>
      <c r="R294" s="1">
        <v>43329.319444444445</v>
      </c>
      <c r="S294" s="1">
        <v>43467.236111111109</v>
      </c>
      <c r="T294" t="s">
        <v>36</v>
      </c>
      <c r="U294" s="1">
        <v>43618.270833333336</v>
      </c>
      <c r="V294" s="1">
        <v>42473.520833333336</v>
      </c>
      <c r="W294" s="1">
        <v>42477.895833333336</v>
      </c>
      <c r="X294" s="1">
        <v>42193.618055555555</v>
      </c>
      <c r="Y294" t="s">
        <v>36</v>
      </c>
      <c r="Z294" s="1">
        <v>42648.458333333336</v>
      </c>
      <c r="AA294" s="1">
        <v>43618.263888888891</v>
      </c>
      <c r="AB294" s="1">
        <v>42486.548611111109</v>
      </c>
      <c r="AC294" s="1">
        <v>42485.743055555555</v>
      </c>
      <c r="AD294" s="1">
        <v>42649.430555555555</v>
      </c>
      <c r="AE294" t="s">
        <v>36</v>
      </c>
      <c r="AF294" t="s">
        <v>36</v>
      </c>
      <c r="AG294" t="s">
        <v>36</v>
      </c>
      <c r="AH294" s="1">
        <v>43556.604166666664</v>
      </c>
      <c r="AI294" t="s">
        <v>36</v>
      </c>
      <c r="AJ294" t="s">
        <v>36</v>
      </c>
    </row>
    <row r="295" spans="1:36" x14ac:dyDescent="0.35">
      <c r="A295">
        <v>229</v>
      </c>
      <c r="B295" t="s">
        <v>158</v>
      </c>
      <c r="C295" t="s">
        <v>36</v>
      </c>
      <c r="D295" t="s">
        <v>36</v>
      </c>
      <c r="E295" t="s">
        <v>36</v>
      </c>
      <c r="F295" t="s">
        <v>36</v>
      </c>
      <c r="G295" t="s">
        <v>36</v>
      </c>
      <c r="H295" t="s">
        <v>36</v>
      </c>
      <c r="I295" t="s">
        <v>36</v>
      </c>
      <c r="J295" s="1">
        <v>43061.090277777781</v>
      </c>
      <c r="K295" t="s">
        <v>36</v>
      </c>
      <c r="L295" t="s">
        <v>36</v>
      </c>
      <c r="M295" t="s">
        <v>36</v>
      </c>
      <c r="N295" t="s">
        <v>36</v>
      </c>
      <c r="O295" t="s">
        <v>36</v>
      </c>
      <c r="P295" t="s">
        <v>36</v>
      </c>
      <c r="Q295" t="s">
        <v>36</v>
      </c>
      <c r="R295" t="s">
        <v>36</v>
      </c>
      <c r="S295" t="s">
        <v>36</v>
      </c>
      <c r="T295" t="s">
        <v>36</v>
      </c>
      <c r="U295" t="s">
        <v>36</v>
      </c>
      <c r="V295" t="s">
        <v>36</v>
      </c>
      <c r="W295" s="1">
        <v>42477.895833333336</v>
      </c>
      <c r="X295" t="s">
        <v>36</v>
      </c>
      <c r="Y295" t="s">
        <v>36</v>
      </c>
      <c r="Z295" t="s">
        <v>36</v>
      </c>
      <c r="AA295" t="s">
        <v>36</v>
      </c>
      <c r="AB295" s="1">
        <v>41225.597222222219</v>
      </c>
      <c r="AC295" t="s">
        <v>36</v>
      </c>
      <c r="AD295" t="s">
        <v>36</v>
      </c>
      <c r="AE295" t="s">
        <v>36</v>
      </c>
      <c r="AF295" t="s">
        <v>36</v>
      </c>
      <c r="AG295" t="s">
        <v>36</v>
      </c>
      <c r="AH295" t="s">
        <v>36</v>
      </c>
      <c r="AI295" t="s">
        <v>36</v>
      </c>
      <c r="AJ295" t="s">
        <v>36</v>
      </c>
    </row>
    <row r="296" spans="1:36" x14ac:dyDescent="0.35">
      <c r="A296">
        <v>227</v>
      </c>
      <c r="B296" t="s">
        <v>156</v>
      </c>
      <c r="C296" t="s">
        <v>36</v>
      </c>
      <c r="D296" t="s">
        <v>36</v>
      </c>
      <c r="E296" t="s">
        <v>36</v>
      </c>
      <c r="F296" t="s">
        <v>36</v>
      </c>
      <c r="G296" t="s">
        <v>36</v>
      </c>
      <c r="H296" t="s">
        <v>36</v>
      </c>
      <c r="I296" t="s">
        <v>36</v>
      </c>
      <c r="J296" s="1">
        <v>43061.215277777781</v>
      </c>
      <c r="K296" t="s">
        <v>36</v>
      </c>
      <c r="L296" t="s">
        <v>36</v>
      </c>
      <c r="M296" t="s">
        <v>36</v>
      </c>
      <c r="N296" t="s">
        <v>36</v>
      </c>
      <c r="O296" t="s">
        <v>36</v>
      </c>
      <c r="P296" t="s">
        <v>36</v>
      </c>
      <c r="Q296" t="s">
        <v>36</v>
      </c>
      <c r="R296" t="s">
        <v>36</v>
      </c>
      <c r="S296" t="s">
        <v>36</v>
      </c>
      <c r="T296" t="s">
        <v>36</v>
      </c>
      <c r="U296" t="s">
        <v>36</v>
      </c>
      <c r="V296" t="s">
        <v>36</v>
      </c>
      <c r="W296" s="1">
        <v>42477.895833333336</v>
      </c>
      <c r="X296" t="s">
        <v>36</v>
      </c>
      <c r="Y296" t="s">
        <v>36</v>
      </c>
      <c r="Z296" t="s">
        <v>36</v>
      </c>
      <c r="AA296" t="s">
        <v>36</v>
      </c>
      <c r="AB296" t="s">
        <v>36</v>
      </c>
      <c r="AC296" t="s">
        <v>36</v>
      </c>
      <c r="AD296" t="s">
        <v>36</v>
      </c>
      <c r="AE296" t="s">
        <v>36</v>
      </c>
      <c r="AF296" t="s">
        <v>36</v>
      </c>
      <c r="AG296" t="s">
        <v>36</v>
      </c>
      <c r="AH296" t="s">
        <v>36</v>
      </c>
      <c r="AI296" t="s">
        <v>36</v>
      </c>
      <c r="AJ296" t="s">
        <v>36</v>
      </c>
    </row>
    <row r="297" spans="1:36" x14ac:dyDescent="0.35">
      <c r="A297">
        <v>158</v>
      </c>
      <c r="B297" t="s">
        <v>130</v>
      </c>
      <c r="C297" t="s">
        <v>36</v>
      </c>
      <c r="D297" s="1">
        <v>42058.680555555555</v>
      </c>
      <c r="E297" t="s">
        <v>36</v>
      </c>
      <c r="F297" t="s">
        <v>36</v>
      </c>
      <c r="G297" s="1">
        <v>41426</v>
      </c>
      <c r="H297" t="s">
        <v>36</v>
      </c>
      <c r="I297" t="s">
        <v>36</v>
      </c>
      <c r="J297" t="s">
        <v>36</v>
      </c>
      <c r="K297" t="s">
        <v>36</v>
      </c>
      <c r="L297" t="s">
        <v>36</v>
      </c>
      <c r="M297" s="1">
        <v>43348.631944444445</v>
      </c>
      <c r="N297" s="1">
        <v>42795</v>
      </c>
      <c r="O297" s="1">
        <v>42662.875</v>
      </c>
      <c r="P297" s="1">
        <v>41426</v>
      </c>
      <c r="Q297" t="s">
        <v>36</v>
      </c>
      <c r="R297" t="s">
        <v>36</v>
      </c>
      <c r="S297" t="s">
        <v>36</v>
      </c>
      <c r="T297" s="1">
        <v>39873</v>
      </c>
      <c r="U297" t="s">
        <v>36</v>
      </c>
      <c r="V297" t="s">
        <v>36</v>
      </c>
      <c r="W297" t="s">
        <v>36</v>
      </c>
      <c r="X297" s="1">
        <v>42193.618055555555</v>
      </c>
      <c r="Y297" t="s">
        <v>36</v>
      </c>
      <c r="Z297" t="s">
        <v>36</v>
      </c>
      <c r="AA297" t="s">
        <v>36</v>
      </c>
      <c r="AB297" t="s">
        <v>36</v>
      </c>
      <c r="AC297" t="s">
        <v>36</v>
      </c>
      <c r="AD297" t="s">
        <v>36</v>
      </c>
      <c r="AE297" t="s">
        <v>36</v>
      </c>
      <c r="AF297" s="1">
        <v>41513.4375</v>
      </c>
      <c r="AG297" s="1">
        <v>43040</v>
      </c>
      <c r="AH297" t="s">
        <v>36</v>
      </c>
      <c r="AI297" s="1">
        <v>41365</v>
      </c>
      <c r="AJ297" s="1">
        <v>41426</v>
      </c>
    </row>
  </sheetData>
  <autoFilter ref="A1:AJ297" xr:uid="{E1E89631-EBA3-46A9-B9F2-C6628663FCA0}">
    <sortState xmlns:xlrd2="http://schemas.microsoft.com/office/spreadsheetml/2017/richdata2" ref="A2:AJ297">
      <sortCondition ref="B1:B297"/>
    </sortState>
  </autoFilter>
  <sortState xmlns:xlrd2="http://schemas.microsoft.com/office/spreadsheetml/2017/richdata2" ref="A2:AJ297">
    <sortCondition ref="B2:B297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734AE-3B17-4061-8693-47EA0403378A}">
  <sheetPr codeName="Sheet7"/>
  <dimension ref="A1:AJ681"/>
  <sheetViews>
    <sheetView topLeftCell="A644" workbookViewId="0">
      <selection activeCell="B680" sqref="B680"/>
    </sheetView>
  </sheetViews>
  <sheetFormatPr defaultRowHeight="14.5" x14ac:dyDescent="0.35"/>
  <cols>
    <col min="2" max="2" width="24.26953125" customWidth="1"/>
  </cols>
  <sheetData>
    <row r="1" spans="1:36" x14ac:dyDescent="0.35">
      <c r="A1" t="s">
        <v>856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</row>
    <row r="2" spans="1:36" x14ac:dyDescent="0.35">
      <c r="A2">
        <v>233</v>
      </c>
      <c r="B2" t="s">
        <v>160</v>
      </c>
      <c r="C2" t="s">
        <v>36</v>
      </c>
      <c r="D2" t="s">
        <v>36</v>
      </c>
      <c r="E2" t="s">
        <v>36</v>
      </c>
      <c r="F2" t="s">
        <v>36</v>
      </c>
      <c r="G2" t="s">
        <v>36</v>
      </c>
      <c r="H2" t="s">
        <v>36</v>
      </c>
      <c r="I2" t="s">
        <v>36</v>
      </c>
      <c r="J2" t="s">
        <v>36</v>
      </c>
      <c r="K2" t="s">
        <v>36</v>
      </c>
      <c r="L2" t="s">
        <v>36</v>
      </c>
      <c r="M2" t="s">
        <v>36</v>
      </c>
      <c r="N2" t="s">
        <v>36</v>
      </c>
      <c r="O2" t="s">
        <v>36</v>
      </c>
      <c r="P2" t="s">
        <v>36</v>
      </c>
      <c r="Q2" t="s">
        <v>36</v>
      </c>
      <c r="R2" t="s">
        <v>36</v>
      </c>
      <c r="S2" t="s">
        <v>36</v>
      </c>
      <c r="T2" t="s">
        <v>36</v>
      </c>
      <c r="U2" t="s">
        <v>36</v>
      </c>
      <c r="V2" t="s">
        <v>36</v>
      </c>
      <c r="W2" t="s">
        <v>36</v>
      </c>
      <c r="X2" t="s">
        <v>36</v>
      </c>
      <c r="Y2" t="s">
        <v>36</v>
      </c>
      <c r="Z2" t="s">
        <v>36</v>
      </c>
      <c r="AA2" t="s">
        <v>36</v>
      </c>
      <c r="AB2" t="s">
        <v>36</v>
      </c>
      <c r="AC2" t="s">
        <v>36</v>
      </c>
      <c r="AD2" t="s">
        <v>36</v>
      </c>
      <c r="AE2" t="s">
        <v>36</v>
      </c>
      <c r="AF2" t="s">
        <v>36</v>
      </c>
      <c r="AG2" t="s">
        <v>36</v>
      </c>
      <c r="AH2" t="s">
        <v>36</v>
      </c>
      <c r="AI2" t="s">
        <v>36</v>
      </c>
      <c r="AJ2" t="s">
        <v>36</v>
      </c>
    </row>
    <row r="3" spans="1:36" x14ac:dyDescent="0.35">
      <c r="A3">
        <v>320</v>
      </c>
      <c r="B3" t="s">
        <v>188</v>
      </c>
      <c r="C3" t="s">
        <v>36</v>
      </c>
      <c r="D3" t="s">
        <v>36</v>
      </c>
      <c r="E3" t="s">
        <v>36</v>
      </c>
      <c r="F3" t="s">
        <v>36</v>
      </c>
      <c r="G3" s="1">
        <v>41426</v>
      </c>
      <c r="H3" t="s">
        <v>36</v>
      </c>
      <c r="I3" t="s">
        <v>36</v>
      </c>
      <c r="J3" t="s">
        <v>36</v>
      </c>
      <c r="K3" t="s">
        <v>36</v>
      </c>
      <c r="L3" t="s">
        <v>36</v>
      </c>
      <c r="M3" t="s">
        <v>36</v>
      </c>
      <c r="N3" t="s">
        <v>36</v>
      </c>
      <c r="O3" t="s">
        <v>36</v>
      </c>
      <c r="P3" s="1">
        <v>43059.576388888891</v>
      </c>
      <c r="Q3" t="s">
        <v>36</v>
      </c>
      <c r="R3" t="s">
        <v>36</v>
      </c>
      <c r="S3" t="s">
        <v>36</v>
      </c>
      <c r="T3" s="1">
        <v>42528.291666666664</v>
      </c>
      <c r="U3" t="s">
        <v>36</v>
      </c>
      <c r="V3" t="s">
        <v>36</v>
      </c>
      <c r="W3" t="s">
        <v>36</v>
      </c>
      <c r="X3" t="s">
        <v>36</v>
      </c>
      <c r="Y3" t="s">
        <v>36</v>
      </c>
      <c r="Z3" t="s">
        <v>36</v>
      </c>
      <c r="AA3" t="s">
        <v>36</v>
      </c>
      <c r="AB3" t="s">
        <v>36</v>
      </c>
      <c r="AC3" t="s">
        <v>36</v>
      </c>
      <c r="AD3" t="s">
        <v>36</v>
      </c>
      <c r="AE3" t="s">
        <v>36</v>
      </c>
      <c r="AF3" s="1">
        <v>42058.680555555555</v>
      </c>
      <c r="AG3" s="32">
        <v>43040</v>
      </c>
      <c r="AH3" t="s">
        <v>36</v>
      </c>
      <c r="AI3" s="1">
        <v>41426</v>
      </c>
      <c r="AJ3" s="1">
        <v>43059.576388888891</v>
      </c>
    </row>
    <row r="4" spans="1:36" x14ac:dyDescent="0.35">
      <c r="A4">
        <v>4109</v>
      </c>
      <c r="B4" t="s">
        <v>1002</v>
      </c>
      <c r="C4" t="s">
        <v>36</v>
      </c>
      <c r="D4" t="s">
        <v>36</v>
      </c>
      <c r="E4" t="s">
        <v>36</v>
      </c>
      <c r="F4" t="s">
        <v>36</v>
      </c>
      <c r="G4" s="1">
        <v>43530</v>
      </c>
      <c r="H4" t="s">
        <v>36</v>
      </c>
      <c r="I4" t="s">
        <v>36</v>
      </c>
      <c r="J4" t="s">
        <v>36</v>
      </c>
      <c r="K4" t="s">
        <v>36</v>
      </c>
      <c r="L4" t="s">
        <v>36</v>
      </c>
      <c r="M4" t="s">
        <v>36</v>
      </c>
      <c r="N4" t="s">
        <v>36</v>
      </c>
      <c r="O4" t="s">
        <v>36</v>
      </c>
      <c r="P4" s="1">
        <v>43557</v>
      </c>
      <c r="Q4" t="s">
        <v>36</v>
      </c>
      <c r="R4" t="s">
        <v>36</v>
      </c>
      <c r="S4" t="s">
        <v>36</v>
      </c>
      <c r="T4" s="1">
        <v>43557</v>
      </c>
      <c r="U4" t="s">
        <v>36</v>
      </c>
      <c r="V4" t="s">
        <v>36</v>
      </c>
      <c r="W4" t="s">
        <v>36</v>
      </c>
      <c r="X4" t="s">
        <v>36</v>
      </c>
      <c r="Y4" t="s">
        <v>36</v>
      </c>
      <c r="Z4" t="s">
        <v>36</v>
      </c>
      <c r="AA4" t="s">
        <v>36</v>
      </c>
      <c r="AB4" t="s">
        <v>36</v>
      </c>
      <c r="AC4" t="s">
        <v>36</v>
      </c>
      <c r="AD4" t="s">
        <v>36</v>
      </c>
      <c r="AE4" t="s">
        <v>36</v>
      </c>
      <c r="AF4" s="1">
        <v>43529</v>
      </c>
      <c r="AG4" t="s">
        <v>36</v>
      </c>
      <c r="AH4" t="s">
        <v>36</v>
      </c>
      <c r="AI4" s="1">
        <v>43530</v>
      </c>
      <c r="AJ4" s="1">
        <v>43528</v>
      </c>
    </row>
    <row r="5" spans="1:36" x14ac:dyDescent="0.35">
      <c r="A5">
        <v>4110</v>
      </c>
      <c r="B5" t="s">
        <v>1003</v>
      </c>
      <c r="C5" t="s">
        <v>36</v>
      </c>
      <c r="D5" t="s">
        <v>36</v>
      </c>
      <c r="E5" t="s">
        <v>36</v>
      </c>
      <c r="F5" t="s">
        <v>36</v>
      </c>
      <c r="G5" s="1">
        <v>43530</v>
      </c>
      <c r="H5" t="s">
        <v>36</v>
      </c>
      <c r="I5" t="s">
        <v>36</v>
      </c>
      <c r="J5" t="s">
        <v>36</v>
      </c>
      <c r="K5" t="s">
        <v>36</v>
      </c>
      <c r="L5" t="s">
        <v>36</v>
      </c>
      <c r="M5" t="s">
        <v>36</v>
      </c>
      <c r="N5" t="s">
        <v>36</v>
      </c>
      <c r="O5" t="s">
        <v>36</v>
      </c>
      <c r="P5" s="1">
        <v>43556</v>
      </c>
      <c r="Q5" t="s">
        <v>36</v>
      </c>
      <c r="R5" t="s">
        <v>36</v>
      </c>
      <c r="S5" t="s">
        <v>36</v>
      </c>
      <c r="T5" s="1">
        <v>43557</v>
      </c>
      <c r="U5" t="s">
        <v>36</v>
      </c>
      <c r="V5" t="s">
        <v>36</v>
      </c>
      <c r="W5" t="s">
        <v>36</v>
      </c>
      <c r="X5" t="s">
        <v>36</v>
      </c>
      <c r="Y5" t="s">
        <v>36</v>
      </c>
      <c r="Z5" t="s">
        <v>36</v>
      </c>
      <c r="AA5" t="s">
        <v>36</v>
      </c>
      <c r="AB5" t="s">
        <v>36</v>
      </c>
      <c r="AC5" t="s">
        <v>36</v>
      </c>
      <c r="AD5" t="s">
        <v>36</v>
      </c>
      <c r="AE5" t="s">
        <v>36</v>
      </c>
      <c r="AF5" s="1">
        <v>43529</v>
      </c>
      <c r="AG5" t="s">
        <v>36</v>
      </c>
      <c r="AH5" t="s">
        <v>36</v>
      </c>
      <c r="AI5" s="1">
        <v>43530</v>
      </c>
      <c r="AJ5" s="1">
        <v>43528</v>
      </c>
    </row>
    <row r="6" spans="1:36" x14ac:dyDescent="0.35">
      <c r="A6">
        <v>4111</v>
      </c>
      <c r="B6" t="s">
        <v>1004</v>
      </c>
      <c r="C6" t="s">
        <v>36</v>
      </c>
      <c r="D6" t="s">
        <v>36</v>
      </c>
      <c r="E6" t="s">
        <v>36</v>
      </c>
      <c r="F6" t="s">
        <v>36</v>
      </c>
      <c r="G6" s="1">
        <v>43530</v>
      </c>
      <c r="H6" t="s">
        <v>36</v>
      </c>
      <c r="I6" t="s">
        <v>36</v>
      </c>
      <c r="J6" t="s">
        <v>36</v>
      </c>
      <c r="K6" t="s">
        <v>36</v>
      </c>
      <c r="L6" t="s">
        <v>36</v>
      </c>
      <c r="M6" t="s">
        <v>36</v>
      </c>
      <c r="N6" t="s">
        <v>36</v>
      </c>
      <c r="O6" t="s">
        <v>36</v>
      </c>
      <c r="P6" s="1">
        <v>43556</v>
      </c>
      <c r="Q6" t="s">
        <v>36</v>
      </c>
      <c r="R6" t="s">
        <v>36</v>
      </c>
      <c r="S6" t="s">
        <v>36</v>
      </c>
      <c r="T6" s="1">
        <v>43557</v>
      </c>
      <c r="U6" t="s">
        <v>36</v>
      </c>
      <c r="V6" t="s">
        <v>36</v>
      </c>
      <c r="W6" t="s">
        <v>36</v>
      </c>
      <c r="X6" t="s">
        <v>36</v>
      </c>
      <c r="Y6" t="s">
        <v>36</v>
      </c>
      <c r="Z6" t="s">
        <v>36</v>
      </c>
      <c r="AA6" t="s">
        <v>36</v>
      </c>
      <c r="AB6" t="s">
        <v>36</v>
      </c>
      <c r="AC6" t="s">
        <v>36</v>
      </c>
      <c r="AD6" t="s">
        <v>36</v>
      </c>
      <c r="AE6" t="s">
        <v>36</v>
      </c>
      <c r="AF6" s="1">
        <v>43529</v>
      </c>
      <c r="AG6" t="s">
        <v>36</v>
      </c>
      <c r="AH6" t="s">
        <v>36</v>
      </c>
      <c r="AI6" s="1">
        <v>43530</v>
      </c>
      <c r="AJ6" s="1">
        <v>43528</v>
      </c>
    </row>
    <row r="7" spans="1:36" x14ac:dyDescent="0.35">
      <c r="A7">
        <v>306</v>
      </c>
      <c r="B7" t="s">
        <v>183</v>
      </c>
      <c r="C7" t="s">
        <v>36</v>
      </c>
      <c r="D7" s="1">
        <v>42058.680555555555</v>
      </c>
      <c r="E7" t="s">
        <v>36</v>
      </c>
      <c r="F7" t="s">
        <v>36</v>
      </c>
      <c r="G7" t="s">
        <v>36</v>
      </c>
      <c r="H7" t="s">
        <v>36</v>
      </c>
      <c r="I7" t="s">
        <v>36</v>
      </c>
      <c r="J7" t="s">
        <v>36</v>
      </c>
      <c r="K7" t="s">
        <v>36</v>
      </c>
      <c r="L7" t="s">
        <v>36</v>
      </c>
      <c r="M7" t="s">
        <v>36</v>
      </c>
      <c r="N7" s="1">
        <v>42735.993055555555</v>
      </c>
      <c r="O7" s="1">
        <v>42206.590277777781</v>
      </c>
      <c r="P7" t="s">
        <v>36</v>
      </c>
      <c r="Q7" t="s">
        <v>36</v>
      </c>
      <c r="R7" t="s">
        <v>36</v>
      </c>
      <c r="S7" t="s">
        <v>36</v>
      </c>
      <c r="T7" t="s">
        <v>36</v>
      </c>
      <c r="U7" t="s">
        <v>36</v>
      </c>
      <c r="V7" t="s">
        <v>36</v>
      </c>
      <c r="W7" t="s">
        <v>36</v>
      </c>
      <c r="X7" s="1">
        <v>42193.659722222219</v>
      </c>
      <c r="Y7" t="s">
        <v>36</v>
      </c>
      <c r="Z7" t="s">
        <v>36</v>
      </c>
      <c r="AA7" t="s">
        <v>36</v>
      </c>
      <c r="AB7" t="s">
        <v>36</v>
      </c>
      <c r="AC7" t="s">
        <v>36</v>
      </c>
      <c r="AD7" t="s">
        <v>36</v>
      </c>
      <c r="AE7" t="s">
        <v>36</v>
      </c>
      <c r="AF7" t="s">
        <v>36</v>
      </c>
      <c r="AG7" t="s">
        <v>36</v>
      </c>
      <c r="AH7" t="s">
        <v>36</v>
      </c>
      <c r="AI7" t="s">
        <v>36</v>
      </c>
      <c r="AJ7" t="s">
        <v>36</v>
      </c>
    </row>
    <row r="8" spans="1:36" x14ac:dyDescent="0.35">
      <c r="A8">
        <v>31</v>
      </c>
      <c r="B8" t="s">
        <v>66</v>
      </c>
      <c r="C8" s="1">
        <v>42544.520833333336</v>
      </c>
      <c r="D8" s="1">
        <v>42058.680555555555</v>
      </c>
      <c r="E8" s="1">
        <v>39245.465277777781</v>
      </c>
      <c r="F8" s="1">
        <v>43002.951388888891</v>
      </c>
      <c r="G8" s="1">
        <v>41426</v>
      </c>
      <c r="H8" s="1">
        <v>43059.576388888891</v>
      </c>
      <c r="I8" s="1">
        <v>38757.354166666664</v>
      </c>
      <c r="J8" s="1">
        <v>39631.4375</v>
      </c>
      <c r="K8" s="1">
        <v>42528.291666666664</v>
      </c>
      <c r="L8" s="1">
        <v>42058.680555555555</v>
      </c>
      <c r="M8" s="1">
        <v>43009</v>
      </c>
      <c r="N8" s="1">
        <v>42735.993055555555</v>
      </c>
      <c r="O8" s="1">
        <v>42206.583333333336</v>
      </c>
      <c r="P8" s="1">
        <v>43059.576388888891</v>
      </c>
      <c r="Q8" s="1">
        <v>40911.534722222219</v>
      </c>
      <c r="R8" t="s">
        <v>36</v>
      </c>
      <c r="S8" s="1">
        <v>42735.993055555555</v>
      </c>
      <c r="T8" s="1">
        <v>42528.291666666664</v>
      </c>
      <c r="U8" s="1">
        <v>43054.631944444445</v>
      </c>
      <c r="V8" s="1">
        <v>42473.520833333336</v>
      </c>
      <c r="W8" s="1">
        <v>42735.993055555555</v>
      </c>
      <c r="X8" s="1">
        <v>42193.652777777781</v>
      </c>
      <c r="Y8" s="1">
        <v>43394</v>
      </c>
      <c r="Z8" s="1">
        <v>42648.465277777781</v>
      </c>
      <c r="AA8" s="1">
        <v>43054.611111111109</v>
      </c>
      <c r="AB8" s="1">
        <v>41225.597222222219</v>
      </c>
      <c r="AC8" s="1">
        <v>42485.743055555555</v>
      </c>
      <c r="AD8" s="1">
        <v>43009</v>
      </c>
      <c r="AE8" t="s">
        <v>36</v>
      </c>
      <c r="AF8" s="1">
        <v>42058.680555555555</v>
      </c>
      <c r="AG8" s="32">
        <v>43040</v>
      </c>
      <c r="AH8" s="1">
        <v>42735.993055555555</v>
      </c>
      <c r="AI8" s="1">
        <v>41426</v>
      </c>
      <c r="AJ8" s="1">
        <v>43059.576388888891</v>
      </c>
    </row>
    <row r="9" spans="1:36" x14ac:dyDescent="0.35">
      <c r="A9">
        <v>939</v>
      </c>
      <c r="B9" t="s">
        <v>875</v>
      </c>
      <c r="C9" s="1">
        <v>42713.381944444445</v>
      </c>
      <c r="D9" t="s">
        <v>36</v>
      </c>
      <c r="E9" t="s">
        <v>36</v>
      </c>
      <c r="F9" t="s">
        <v>36</v>
      </c>
      <c r="G9" s="1">
        <v>43530</v>
      </c>
      <c r="H9" t="s">
        <v>36</v>
      </c>
      <c r="I9" t="s">
        <v>36</v>
      </c>
      <c r="J9" t="s">
        <v>36</v>
      </c>
      <c r="K9" s="1">
        <v>42692.506944444445</v>
      </c>
      <c r="L9" t="s">
        <v>36</v>
      </c>
      <c r="M9" s="1">
        <v>43348.625</v>
      </c>
      <c r="N9" s="1">
        <v>43948.465277777781</v>
      </c>
      <c r="O9" s="1">
        <v>42206.583333333336</v>
      </c>
      <c r="P9" s="1">
        <v>43559</v>
      </c>
      <c r="Q9" s="1">
        <v>42692.506944444445</v>
      </c>
      <c r="R9" t="s">
        <v>36</v>
      </c>
      <c r="S9" t="s">
        <v>36</v>
      </c>
      <c r="T9" s="1">
        <v>43557</v>
      </c>
      <c r="U9" t="s">
        <v>36</v>
      </c>
      <c r="V9" s="1">
        <v>42719.638888888891</v>
      </c>
      <c r="W9" s="1">
        <v>42735.993055555555</v>
      </c>
      <c r="X9" t="s">
        <v>36</v>
      </c>
      <c r="Y9" t="s">
        <v>36</v>
      </c>
      <c r="Z9" s="1">
        <v>42713.590277777781</v>
      </c>
      <c r="AA9" t="s">
        <v>36</v>
      </c>
      <c r="AB9" s="1">
        <v>42692.506944444445</v>
      </c>
      <c r="AC9" s="1">
        <v>42692.506944444445</v>
      </c>
      <c r="AD9" s="1">
        <v>43009</v>
      </c>
      <c r="AE9" t="s">
        <v>36</v>
      </c>
      <c r="AF9" s="1">
        <v>43529</v>
      </c>
      <c r="AG9" t="s">
        <v>36</v>
      </c>
      <c r="AH9" t="s">
        <v>36</v>
      </c>
      <c r="AI9" s="1">
        <v>43530</v>
      </c>
      <c r="AJ9" s="1">
        <v>43528</v>
      </c>
    </row>
    <row r="10" spans="1:36" x14ac:dyDescent="0.35">
      <c r="A10">
        <v>940</v>
      </c>
      <c r="B10" t="s">
        <v>876</v>
      </c>
      <c r="C10" s="1">
        <v>42713.381944444445</v>
      </c>
      <c r="D10" t="s">
        <v>36</v>
      </c>
      <c r="E10" t="s">
        <v>36</v>
      </c>
      <c r="F10" t="s">
        <v>36</v>
      </c>
      <c r="G10" s="1">
        <v>43530</v>
      </c>
      <c r="H10" t="s">
        <v>36</v>
      </c>
      <c r="I10" t="s">
        <v>36</v>
      </c>
      <c r="J10" t="s">
        <v>36</v>
      </c>
      <c r="K10" s="1">
        <v>42692.506944444445</v>
      </c>
      <c r="L10" t="s">
        <v>36</v>
      </c>
      <c r="M10" s="1">
        <v>43348.625</v>
      </c>
      <c r="N10" s="1">
        <v>43948.465277777781</v>
      </c>
      <c r="O10" s="1">
        <v>42206.583333333336</v>
      </c>
      <c r="P10" s="1">
        <v>43557</v>
      </c>
      <c r="Q10" s="1">
        <v>42692.506944444445</v>
      </c>
      <c r="R10" t="s">
        <v>36</v>
      </c>
      <c r="S10" t="s">
        <v>36</v>
      </c>
      <c r="T10" s="1">
        <v>43557</v>
      </c>
      <c r="U10" t="s">
        <v>36</v>
      </c>
      <c r="V10" s="1">
        <v>42719.638888888891</v>
      </c>
      <c r="W10" s="1">
        <v>42735.993055555555</v>
      </c>
      <c r="X10" t="s">
        <v>36</v>
      </c>
      <c r="Y10" t="s">
        <v>36</v>
      </c>
      <c r="Z10" s="1">
        <v>42713.590277777781</v>
      </c>
      <c r="AA10" t="s">
        <v>36</v>
      </c>
      <c r="AB10" s="1">
        <v>42692.506944444445</v>
      </c>
      <c r="AC10" s="1">
        <v>42692.506944444445</v>
      </c>
      <c r="AD10" s="1">
        <v>43009</v>
      </c>
      <c r="AE10" t="s">
        <v>36</v>
      </c>
      <c r="AF10" s="1">
        <v>43529</v>
      </c>
      <c r="AG10" t="s">
        <v>36</v>
      </c>
      <c r="AH10" t="s">
        <v>36</v>
      </c>
      <c r="AI10" s="1">
        <v>43530</v>
      </c>
      <c r="AJ10" s="1">
        <v>43528</v>
      </c>
    </row>
    <row r="11" spans="1:36" x14ac:dyDescent="0.35">
      <c r="A11">
        <v>941</v>
      </c>
      <c r="B11" t="s">
        <v>877</v>
      </c>
      <c r="C11" s="1">
        <v>42713.381944444445</v>
      </c>
      <c r="D11" t="s">
        <v>36</v>
      </c>
      <c r="E11" t="s">
        <v>36</v>
      </c>
      <c r="F11" t="s">
        <v>36</v>
      </c>
      <c r="G11" s="1">
        <v>43530</v>
      </c>
      <c r="H11" t="s">
        <v>36</v>
      </c>
      <c r="I11" t="s">
        <v>36</v>
      </c>
      <c r="J11" t="s">
        <v>36</v>
      </c>
      <c r="K11" s="1">
        <v>42692.506944444445</v>
      </c>
      <c r="L11" t="s">
        <v>36</v>
      </c>
      <c r="M11" s="1">
        <v>43348.625</v>
      </c>
      <c r="N11" t="s">
        <v>36</v>
      </c>
      <c r="O11" t="s">
        <v>36</v>
      </c>
      <c r="P11" s="1">
        <v>43557</v>
      </c>
      <c r="Q11" s="1">
        <v>42692.506944444445</v>
      </c>
      <c r="R11" t="s">
        <v>36</v>
      </c>
      <c r="S11" t="s">
        <v>36</v>
      </c>
      <c r="T11" s="1">
        <v>43557</v>
      </c>
      <c r="U11" t="s">
        <v>36</v>
      </c>
      <c r="V11" s="1">
        <v>42719.638888888891</v>
      </c>
      <c r="W11" s="1">
        <v>42735.993055555555</v>
      </c>
      <c r="X11" t="s">
        <v>36</v>
      </c>
      <c r="Y11" t="s">
        <v>36</v>
      </c>
      <c r="Z11" s="1">
        <v>42713.590277777781</v>
      </c>
      <c r="AA11" t="s">
        <v>36</v>
      </c>
      <c r="AB11" s="1">
        <v>42692.506944444445</v>
      </c>
      <c r="AC11" s="1">
        <v>42692.506944444445</v>
      </c>
      <c r="AD11" s="1">
        <v>43009</v>
      </c>
      <c r="AE11" t="s">
        <v>36</v>
      </c>
      <c r="AF11" s="1">
        <v>43529</v>
      </c>
      <c r="AG11" t="s">
        <v>36</v>
      </c>
      <c r="AH11" t="s">
        <v>36</v>
      </c>
      <c r="AI11" s="1">
        <v>43530</v>
      </c>
      <c r="AJ11" s="1">
        <v>43528</v>
      </c>
    </row>
    <row r="12" spans="1:36" x14ac:dyDescent="0.35">
      <c r="A12">
        <v>323</v>
      </c>
      <c r="B12" t="s">
        <v>191</v>
      </c>
      <c r="C12" t="s">
        <v>36</v>
      </c>
      <c r="D12" t="s">
        <v>36</v>
      </c>
      <c r="E12" t="s">
        <v>36</v>
      </c>
      <c r="F12" t="s">
        <v>36</v>
      </c>
      <c r="G12" s="1">
        <v>41426</v>
      </c>
      <c r="H12" t="s">
        <v>36</v>
      </c>
      <c r="I12" t="s">
        <v>36</v>
      </c>
      <c r="J12" t="s">
        <v>36</v>
      </c>
      <c r="K12" t="s">
        <v>36</v>
      </c>
      <c r="L12" t="s">
        <v>36</v>
      </c>
      <c r="M12" t="s">
        <v>36</v>
      </c>
      <c r="N12" t="s">
        <v>36</v>
      </c>
      <c r="O12" t="s">
        <v>36</v>
      </c>
      <c r="P12" s="1">
        <v>43059.576388888891</v>
      </c>
      <c r="Q12" t="s">
        <v>36</v>
      </c>
      <c r="R12" t="s">
        <v>36</v>
      </c>
      <c r="S12" t="s">
        <v>36</v>
      </c>
      <c r="T12" s="1">
        <v>42528.291666666664</v>
      </c>
      <c r="U12" t="s">
        <v>36</v>
      </c>
      <c r="V12" t="s">
        <v>36</v>
      </c>
      <c r="W12" t="s">
        <v>36</v>
      </c>
      <c r="X12" t="s">
        <v>36</v>
      </c>
      <c r="Y12" t="s">
        <v>36</v>
      </c>
      <c r="Z12" t="s">
        <v>36</v>
      </c>
      <c r="AA12" t="s">
        <v>36</v>
      </c>
      <c r="AB12" t="s">
        <v>36</v>
      </c>
      <c r="AC12" t="s">
        <v>36</v>
      </c>
      <c r="AD12" t="s">
        <v>36</v>
      </c>
      <c r="AE12" t="s">
        <v>36</v>
      </c>
      <c r="AF12" s="1">
        <v>42058.680555555555</v>
      </c>
      <c r="AG12" t="s">
        <v>36</v>
      </c>
      <c r="AH12" t="s">
        <v>36</v>
      </c>
      <c r="AI12" s="1">
        <v>41426</v>
      </c>
      <c r="AJ12" s="1">
        <v>43059.576388888891</v>
      </c>
    </row>
    <row r="13" spans="1:36" x14ac:dyDescent="0.35">
      <c r="A13">
        <v>4115</v>
      </c>
      <c r="B13" t="s">
        <v>1005</v>
      </c>
      <c r="C13" t="s">
        <v>36</v>
      </c>
      <c r="D13" t="s">
        <v>36</v>
      </c>
      <c r="E13" t="s">
        <v>36</v>
      </c>
      <c r="F13" t="s">
        <v>36</v>
      </c>
      <c r="G13" s="1">
        <v>43530</v>
      </c>
      <c r="H13" t="s">
        <v>36</v>
      </c>
      <c r="I13" t="s">
        <v>36</v>
      </c>
      <c r="J13" t="s">
        <v>36</v>
      </c>
      <c r="K13" t="s">
        <v>36</v>
      </c>
      <c r="L13" t="s">
        <v>36</v>
      </c>
      <c r="M13" t="s">
        <v>36</v>
      </c>
      <c r="N13" t="s">
        <v>36</v>
      </c>
      <c r="O13" t="s">
        <v>36</v>
      </c>
      <c r="P13" s="1">
        <v>43559</v>
      </c>
      <c r="Q13" t="s">
        <v>36</v>
      </c>
      <c r="R13" t="s">
        <v>36</v>
      </c>
      <c r="S13" t="s">
        <v>36</v>
      </c>
      <c r="T13" s="1">
        <v>43557</v>
      </c>
      <c r="U13" t="s">
        <v>36</v>
      </c>
      <c r="V13" t="s">
        <v>36</v>
      </c>
      <c r="W13" t="s">
        <v>36</v>
      </c>
      <c r="X13" t="s">
        <v>36</v>
      </c>
      <c r="Y13" t="s">
        <v>36</v>
      </c>
      <c r="Z13" t="s">
        <v>36</v>
      </c>
      <c r="AA13" t="s">
        <v>36</v>
      </c>
      <c r="AB13" t="s">
        <v>36</v>
      </c>
      <c r="AC13" t="s">
        <v>36</v>
      </c>
      <c r="AD13" t="s">
        <v>36</v>
      </c>
      <c r="AE13" t="s">
        <v>36</v>
      </c>
      <c r="AF13" s="1">
        <v>43529</v>
      </c>
      <c r="AG13" t="s">
        <v>36</v>
      </c>
      <c r="AH13" t="s">
        <v>36</v>
      </c>
      <c r="AI13" s="1">
        <v>43530</v>
      </c>
      <c r="AJ13" s="1">
        <v>43528</v>
      </c>
    </row>
    <row r="14" spans="1:36" x14ac:dyDescent="0.35">
      <c r="A14">
        <v>4116</v>
      </c>
      <c r="B14" t="s">
        <v>1006</v>
      </c>
      <c r="C14" t="s">
        <v>36</v>
      </c>
      <c r="D14" t="s">
        <v>36</v>
      </c>
      <c r="E14" t="s">
        <v>36</v>
      </c>
      <c r="F14" t="s">
        <v>36</v>
      </c>
      <c r="G14" s="1">
        <v>43530</v>
      </c>
      <c r="H14" t="s">
        <v>36</v>
      </c>
      <c r="I14" t="s">
        <v>36</v>
      </c>
      <c r="J14" t="s">
        <v>36</v>
      </c>
      <c r="K14" t="s">
        <v>36</v>
      </c>
      <c r="L14" t="s">
        <v>36</v>
      </c>
      <c r="M14" t="s">
        <v>36</v>
      </c>
      <c r="N14" t="s">
        <v>36</v>
      </c>
      <c r="O14" t="s">
        <v>36</v>
      </c>
      <c r="P14" s="1">
        <v>43557</v>
      </c>
      <c r="Q14" t="s">
        <v>36</v>
      </c>
      <c r="R14" t="s">
        <v>36</v>
      </c>
      <c r="S14" t="s">
        <v>36</v>
      </c>
      <c r="T14" s="1">
        <v>43557</v>
      </c>
      <c r="U14" t="s">
        <v>36</v>
      </c>
      <c r="V14" t="s">
        <v>36</v>
      </c>
      <c r="W14" t="s">
        <v>36</v>
      </c>
      <c r="X14" t="s">
        <v>36</v>
      </c>
      <c r="Y14" t="s">
        <v>36</v>
      </c>
      <c r="Z14" t="s">
        <v>36</v>
      </c>
      <c r="AA14" t="s">
        <v>36</v>
      </c>
      <c r="AB14" t="s">
        <v>36</v>
      </c>
      <c r="AC14" t="s">
        <v>36</v>
      </c>
      <c r="AD14" t="s">
        <v>36</v>
      </c>
      <c r="AE14" t="s">
        <v>36</v>
      </c>
      <c r="AF14" s="1">
        <v>43529</v>
      </c>
      <c r="AG14" t="s">
        <v>36</v>
      </c>
      <c r="AH14" t="s">
        <v>36</v>
      </c>
      <c r="AI14" s="1">
        <v>43530</v>
      </c>
      <c r="AJ14" s="1">
        <v>43528</v>
      </c>
    </row>
    <row r="15" spans="1:36" x14ac:dyDescent="0.35">
      <c r="A15">
        <v>4117</v>
      </c>
      <c r="B15" t="s">
        <v>1007</v>
      </c>
      <c r="C15" t="s">
        <v>36</v>
      </c>
      <c r="D15" t="s">
        <v>36</v>
      </c>
      <c r="E15" t="s">
        <v>36</v>
      </c>
      <c r="F15" t="s">
        <v>36</v>
      </c>
      <c r="G15" s="1">
        <v>43530</v>
      </c>
      <c r="H15" t="s">
        <v>36</v>
      </c>
      <c r="I15" t="s">
        <v>36</v>
      </c>
      <c r="J15" t="s">
        <v>36</v>
      </c>
      <c r="K15" t="s">
        <v>36</v>
      </c>
      <c r="L15" t="s">
        <v>36</v>
      </c>
      <c r="M15" t="s">
        <v>36</v>
      </c>
      <c r="N15" t="s">
        <v>36</v>
      </c>
      <c r="O15" t="s">
        <v>36</v>
      </c>
      <c r="P15" s="1">
        <v>43557</v>
      </c>
      <c r="Q15" t="s">
        <v>36</v>
      </c>
      <c r="R15" t="s">
        <v>36</v>
      </c>
      <c r="S15" t="s">
        <v>36</v>
      </c>
      <c r="T15" s="1">
        <v>43557</v>
      </c>
      <c r="U15" t="s">
        <v>36</v>
      </c>
      <c r="V15" t="s">
        <v>36</v>
      </c>
      <c r="W15" t="s">
        <v>36</v>
      </c>
      <c r="X15" t="s">
        <v>36</v>
      </c>
      <c r="Y15" t="s">
        <v>36</v>
      </c>
      <c r="Z15" t="s">
        <v>36</v>
      </c>
      <c r="AA15" t="s">
        <v>36</v>
      </c>
      <c r="AB15" t="s">
        <v>36</v>
      </c>
      <c r="AC15" t="s">
        <v>36</v>
      </c>
      <c r="AD15" t="s">
        <v>36</v>
      </c>
      <c r="AE15" t="s">
        <v>36</v>
      </c>
      <c r="AF15" s="1">
        <v>43529</v>
      </c>
      <c r="AG15" t="s">
        <v>36</v>
      </c>
      <c r="AH15" t="s">
        <v>36</v>
      </c>
      <c r="AI15" s="1">
        <v>43530</v>
      </c>
      <c r="AJ15" s="1">
        <v>43528</v>
      </c>
    </row>
    <row r="16" spans="1:36" x14ac:dyDescent="0.35">
      <c r="A16">
        <v>330</v>
      </c>
      <c r="B16" t="s">
        <v>198</v>
      </c>
      <c r="C16" t="s">
        <v>36</v>
      </c>
      <c r="D16" t="s">
        <v>36</v>
      </c>
      <c r="E16" t="s">
        <v>36</v>
      </c>
      <c r="F16" t="s">
        <v>36</v>
      </c>
      <c r="G16" s="1">
        <v>41426</v>
      </c>
      <c r="H16" t="s">
        <v>36</v>
      </c>
      <c r="I16" t="s">
        <v>36</v>
      </c>
      <c r="J16" t="s">
        <v>36</v>
      </c>
      <c r="K16" t="s">
        <v>36</v>
      </c>
      <c r="L16" t="s">
        <v>36</v>
      </c>
      <c r="M16" t="s">
        <v>36</v>
      </c>
      <c r="N16" t="s">
        <v>36</v>
      </c>
      <c r="O16" t="s">
        <v>36</v>
      </c>
      <c r="P16" s="1">
        <v>43059.576388888891</v>
      </c>
      <c r="Q16" t="s">
        <v>36</v>
      </c>
      <c r="R16" t="s">
        <v>36</v>
      </c>
      <c r="S16" t="s">
        <v>36</v>
      </c>
      <c r="T16" s="1">
        <v>42528.291666666664</v>
      </c>
      <c r="U16" t="s">
        <v>36</v>
      </c>
      <c r="V16" t="s">
        <v>36</v>
      </c>
      <c r="W16" t="s">
        <v>36</v>
      </c>
      <c r="X16" t="s">
        <v>36</v>
      </c>
      <c r="Y16" t="s">
        <v>36</v>
      </c>
      <c r="Z16" t="s">
        <v>36</v>
      </c>
      <c r="AA16" t="s">
        <v>36</v>
      </c>
      <c r="AB16" t="s">
        <v>36</v>
      </c>
      <c r="AC16" t="s">
        <v>36</v>
      </c>
      <c r="AD16" t="s">
        <v>36</v>
      </c>
      <c r="AE16" t="s">
        <v>36</v>
      </c>
      <c r="AF16" s="1">
        <v>42058.680555555555</v>
      </c>
      <c r="AG16" s="32">
        <v>43040</v>
      </c>
      <c r="AH16" t="s">
        <v>36</v>
      </c>
      <c r="AI16" s="1">
        <v>41426</v>
      </c>
      <c r="AJ16" s="1">
        <v>43059.576388888891</v>
      </c>
    </row>
    <row r="17" spans="1:36" x14ac:dyDescent="0.35">
      <c r="A17">
        <v>331</v>
      </c>
      <c r="B17" t="s">
        <v>199</v>
      </c>
      <c r="C17" t="s">
        <v>36</v>
      </c>
      <c r="D17" t="s">
        <v>36</v>
      </c>
      <c r="E17" t="s">
        <v>36</v>
      </c>
      <c r="F17" t="s">
        <v>36</v>
      </c>
      <c r="G17" s="1">
        <v>41426</v>
      </c>
      <c r="H17" t="s">
        <v>36</v>
      </c>
      <c r="I17" t="s">
        <v>36</v>
      </c>
      <c r="J17" t="s">
        <v>36</v>
      </c>
      <c r="K17" t="s">
        <v>36</v>
      </c>
      <c r="L17" t="s">
        <v>36</v>
      </c>
      <c r="M17" t="s">
        <v>36</v>
      </c>
      <c r="N17" t="s">
        <v>36</v>
      </c>
      <c r="O17" t="s">
        <v>36</v>
      </c>
      <c r="P17" s="1">
        <v>43059.576388888891</v>
      </c>
      <c r="Q17" t="s">
        <v>36</v>
      </c>
      <c r="R17" t="s">
        <v>36</v>
      </c>
      <c r="S17" t="s">
        <v>36</v>
      </c>
      <c r="T17" s="1">
        <v>42528.291666666664</v>
      </c>
      <c r="U17" t="s">
        <v>36</v>
      </c>
      <c r="V17" t="s">
        <v>36</v>
      </c>
      <c r="W17" t="s">
        <v>36</v>
      </c>
      <c r="X17" t="s">
        <v>36</v>
      </c>
      <c r="Y17" t="s">
        <v>36</v>
      </c>
      <c r="Z17" t="s">
        <v>36</v>
      </c>
      <c r="AA17" t="s">
        <v>36</v>
      </c>
      <c r="AB17" t="s">
        <v>36</v>
      </c>
      <c r="AC17" t="s">
        <v>36</v>
      </c>
      <c r="AD17" t="s">
        <v>36</v>
      </c>
      <c r="AE17" t="s">
        <v>36</v>
      </c>
      <c r="AF17" s="1">
        <v>42058.680555555555</v>
      </c>
      <c r="AG17" s="32">
        <v>43040</v>
      </c>
      <c r="AH17" t="s">
        <v>36</v>
      </c>
      <c r="AI17" s="1">
        <v>41426</v>
      </c>
      <c r="AJ17" s="1">
        <v>43059.576388888891</v>
      </c>
    </row>
    <row r="18" spans="1:36" x14ac:dyDescent="0.35">
      <c r="A18">
        <v>3197</v>
      </c>
      <c r="B18" t="s">
        <v>316</v>
      </c>
      <c r="C18" t="s">
        <v>36</v>
      </c>
      <c r="D18" t="s">
        <v>36</v>
      </c>
      <c r="E18" t="s">
        <v>36</v>
      </c>
      <c r="F18" t="s">
        <v>36</v>
      </c>
      <c r="G18" t="s">
        <v>36</v>
      </c>
      <c r="H18" t="s">
        <v>36</v>
      </c>
      <c r="I18" t="s">
        <v>36</v>
      </c>
      <c r="J18" t="s">
        <v>36</v>
      </c>
      <c r="K18" t="s">
        <v>36</v>
      </c>
      <c r="L18" t="s">
        <v>36</v>
      </c>
      <c r="M18" t="s">
        <v>36</v>
      </c>
      <c r="N18" t="s">
        <v>36</v>
      </c>
      <c r="O18" t="s">
        <v>36</v>
      </c>
      <c r="P18" t="s">
        <v>36</v>
      </c>
      <c r="Q18" s="1">
        <v>43390.659722222219</v>
      </c>
      <c r="R18" t="s">
        <v>36</v>
      </c>
      <c r="S18" t="s">
        <v>36</v>
      </c>
      <c r="T18" t="s">
        <v>36</v>
      </c>
      <c r="U18" t="s">
        <v>36</v>
      </c>
      <c r="V18" t="s">
        <v>36</v>
      </c>
      <c r="W18" t="s">
        <v>36</v>
      </c>
      <c r="X18" t="s">
        <v>36</v>
      </c>
      <c r="Y18" t="s">
        <v>36</v>
      </c>
      <c r="Z18" t="s">
        <v>36</v>
      </c>
      <c r="AA18" t="s">
        <v>36</v>
      </c>
      <c r="AB18" t="s">
        <v>36</v>
      </c>
      <c r="AC18" t="s">
        <v>36</v>
      </c>
      <c r="AD18" t="s">
        <v>36</v>
      </c>
      <c r="AE18" t="s">
        <v>36</v>
      </c>
      <c r="AF18" t="s">
        <v>36</v>
      </c>
      <c r="AG18" t="s">
        <v>36</v>
      </c>
      <c r="AH18" t="s">
        <v>36</v>
      </c>
      <c r="AI18" t="s">
        <v>36</v>
      </c>
      <c r="AJ18" t="s">
        <v>36</v>
      </c>
    </row>
    <row r="19" spans="1:36" x14ac:dyDescent="0.35">
      <c r="A19">
        <v>4389</v>
      </c>
      <c r="B19" t="s">
        <v>1170</v>
      </c>
      <c r="C19" t="s">
        <v>36</v>
      </c>
      <c r="D19" t="s">
        <v>36</v>
      </c>
      <c r="E19" t="s">
        <v>36</v>
      </c>
      <c r="F19" t="s">
        <v>36</v>
      </c>
      <c r="G19" t="s">
        <v>36</v>
      </c>
      <c r="H19" t="s">
        <v>36</v>
      </c>
      <c r="I19" t="s">
        <v>36</v>
      </c>
      <c r="J19" t="s">
        <v>36</v>
      </c>
      <c r="K19" t="s">
        <v>36</v>
      </c>
      <c r="L19" t="s">
        <v>36</v>
      </c>
      <c r="M19" t="s">
        <v>36</v>
      </c>
      <c r="N19" t="s">
        <v>36</v>
      </c>
      <c r="O19" t="s">
        <v>36</v>
      </c>
      <c r="P19" t="s">
        <v>36</v>
      </c>
      <c r="Q19" s="1">
        <v>43857.791666666664</v>
      </c>
      <c r="R19" t="s">
        <v>36</v>
      </c>
      <c r="S19" t="s">
        <v>36</v>
      </c>
      <c r="T19" t="s">
        <v>36</v>
      </c>
      <c r="U19" t="s">
        <v>36</v>
      </c>
      <c r="V19" t="s">
        <v>36</v>
      </c>
      <c r="W19" t="s">
        <v>36</v>
      </c>
      <c r="X19" t="s">
        <v>36</v>
      </c>
      <c r="Y19" t="s">
        <v>36</v>
      </c>
      <c r="Z19" t="s">
        <v>36</v>
      </c>
      <c r="AA19" t="s">
        <v>36</v>
      </c>
      <c r="AB19" t="s">
        <v>36</v>
      </c>
      <c r="AC19" t="s">
        <v>36</v>
      </c>
      <c r="AD19" t="s">
        <v>36</v>
      </c>
      <c r="AE19" t="s">
        <v>36</v>
      </c>
      <c r="AF19" t="s">
        <v>36</v>
      </c>
      <c r="AG19" t="s">
        <v>36</v>
      </c>
      <c r="AH19" t="s">
        <v>36</v>
      </c>
      <c r="AI19" t="s">
        <v>36</v>
      </c>
      <c r="AJ19" t="s">
        <v>36</v>
      </c>
    </row>
    <row r="20" spans="1:36" x14ac:dyDescent="0.35">
      <c r="A20">
        <v>4390</v>
      </c>
      <c r="B20" t="s">
        <v>1171</v>
      </c>
      <c r="C20" t="s">
        <v>36</v>
      </c>
      <c r="D20" t="s">
        <v>36</v>
      </c>
      <c r="E20" t="s">
        <v>36</v>
      </c>
      <c r="F20" t="s">
        <v>36</v>
      </c>
      <c r="G20" t="s">
        <v>36</v>
      </c>
      <c r="H20" t="s">
        <v>36</v>
      </c>
      <c r="I20" t="s">
        <v>36</v>
      </c>
      <c r="J20" t="s">
        <v>36</v>
      </c>
      <c r="K20" t="s">
        <v>36</v>
      </c>
      <c r="L20" t="s">
        <v>36</v>
      </c>
      <c r="M20" t="s">
        <v>36</v>
      </c>
      <c r="N20" t="s">
        <v>36</v>
      </c>
      <c r="O20" t="s">
        <v>36</v>
      </c>
      <c r="P20" t="s">
        <v>36</v>
      </c>
      <c r="Q20" s="1">
        <v>43857.791666666664</v>
      </c>
      <c r="R20" t="s">
        <v>36</v>
      </c>
      <c r="S20" t="s">
        <v>36</v>
      </c>
      <c r="T20" t="s">
        <v>36</v>
      </c>
      <c r="U20" t="s">
        <v>36</v>
      </c>
      <c r="V20" t="s">
        <v>36</v>
      </c>
      <c r="W20" t="s">
        <v>36</v>
      </c>
      <c r="X20" t="s">
        <v>36</v>
      </c>
      <c r="Y20" t="s">
        <v>36</v>
      </c>
      <c r="Z20" t="s">
        <v>36</v>
      </c>
      <c r="AA20" t="s">
        <v>36</v>
      </c>
      <c r="AB20" t="s">
        <v>36</v>
      </c>
      <c r="AC20" t="s">
        <v>36</v>
      </c>
      <c r="AD20" t="s">
        <v>36</v>
      </c>
      <c r="AE20" t="s">
        <v>36</v>
      </c>
      <c r="AF20" t="s">
        <v>36</v>
      </c>
      <c r="AG20" t="s">
        <v>36</v>
      </c>
      <c r="AH20" t="s">
        <v>36</v>
      </c>
      <c r="AI20" t="s">
        <v>36</v>
      </c>
      <c r="AJ20" t="s">
        <v>36</v>
      </c>
    </row>
    <row r="21" spans="1:36" x14ac:dyDescent="0.35">
      <c r="A21">
        <v>4391</v>
      </c>
      <c r="B21" t="s">
        <v>1172</v>
      </c>
      <c r="C21" t="s">
        <v>36</v>
      </c>
      <c r="D21" t="s">
        <v>36</v>
      </c>
      <c r="E21" t="s">
        <v>36</v>
      </c>
      <c r="F21" t="s">
        <v>36</v>
      </c>
      <c r="G21" t="s">
        <v>36</v>
      </c>
      <c r="H21" t="s">
        <v>36</v>
      </c>
      <c r="I21" t="s">
        <v>36</v>
      </c>
      <c r="J21" t="s">
        <v>36</v>
      </c>
      <c r="K21" t="s">
        <v>36</v>
      </c>
      <c r="L21" t="s">
        <v>36</v>
      </c>
      <c r="M21" t="s">
        <v>36</v>
      </c>
      <c r="N21" t="s">
        <v>36</v>
      </c>
      <c r="O21" t="s">
        <v>36</v>
      </c>
      <c r="P21" t="s">
        <v>36</v>
      </c>
      <c r="Q21" s="1">
        <v>43857.791666666664</v>
      </c>
      <c r="R21" t="s">
        <v>36</v>
      </c>
      <c r="S21" t="s">
        <v>36</v>
      </c>
      <c r="T21" t="s">
        <v>36</v>
      </c>
      <c r="U21" t="s">
        <v>36</v>
      </c>
      <c r="V21" t="s">
        <v>36</v>
      </c>
      <c r="W21" t="s">
        <v>36</v>
      </c>
      <c r="X21" t="s">
        <v>36</v>
      </c>
      <c r="Y21" t="s">
        <v>36</v>
      </c>
      <c r="Z21" t="s">
        <v>36</v>
      </c>
      <c r="AA21" t="s">
        <v>36</v>
      </c>
      <c r="AB21" t="s">
        <v>36</v>
      </c>
      <c r="AC21" t="s">
        <v>36</v>
      </c>
      <c r="AD21" t="s">
        <v>36</v>
      </c>
      <c r="AE21" t="s">
        <v>36</v>
      </c>
      <c r="AF21" t="s">
        <v>36</v>
      </c>
      <c r="AG21" t="s">
        <v>36</v>
      </c>
      <c r="AH21" t="s">
        <v>36</v>
      </c>
      <c r="AI21" t="s">
        <v>36</v>
      </c>
      <c r="AJ21" t="s">
        <v>36</v>
      </c>
    </row>
    <row r="22" spans="1:36" x14ac:dyDescent="0.35">
      <c r="A22">
        <v>230</v>
      </c>
      <c r="B22" t="s">
        <v>159</v>
      </c>
      <c r="C22" t="s">
        <v>36</v>
      </c>
      <c r="D22" t="s">
        <v>36</v>
      </c>
      <c r="E22" t="s">
        <v>36</v>
      </c>
      <c r="F22" t="s">
        <v>36</v>
      </c>
      <c r="G22" t="s">
        <v>36</v>
      </c>
      <c r="H22" t="s">
        <v>36</v>
      </c>
      <c r="I22" t="s">
        <v>36</v>
      </c>
      <c r="J22" t="s">
        <v>36</v>
      </c>
      <c r="K22" t="s">
        <v>36</v>
      </c>
      <c r="L22" t="s">
        <v>36</v>
      </c>
      <c r="M22" t="s">
        <v>36</v>
      </c>
      <c r="N22" t="s">
        <v>36</v>
      </c>
      <c r="O22" t="s">
        <v>36</v>
      </c>
      <c r="P22" t="s">
        <v>36</v>
      </c>
      <c r="Q22" t="s">
        <v>36</v>
      </c>
      <c r="R22" t="s">
        <v>36</v>
      </c>
      <c r="S22" t="s">
        <v>36</v>
      </c>
      <c r="T22" t="s">
        <v>36</v>
      </c>
      <c r="U22" t="s">
        <v>36</v>
      </c>
      <c r="V22" t="s">
        <v>36</v>
      </c>
      <c r="W22" t="s">
        <v>36</v>
      </c>
      <c r="X22" t="s">
        <v>36</v>
      </c>
      <c r="Y22" t="s">
        <v>36</v>
      </c>
      <c r="Z22" t="s">
        <v>36</v>
      </c>
      <c r="AA22" t="s">
        <v>36</v>
      </c>
      <c r="AB22" t="s">
        <v>36</v>
      </c>
      <c r="AC22" t="s">
        <v>36</v>
      </c>
      <c r="AD22" t="s">
        <v>36</v>
      </c>
      <c r="AE22" t="s">
        <v>36</v>
      </c>
      <c r="AF22" t="s">
        <v>36</v>
      </c>
      <c r="AG22" t="s">
        <v>36</v>
      </c>
      <c r="AH22" t="s">
        <v>36</v>
      </c>
      <c r="AI22" t="s">
        <v>36</v>
      </c>
      <c r="AJ22" t="s">
        <v>36</v>
      </c>
    </row>
    <row r="23" spans="1:36" x14ac:dyDescent="0.35">
      <c r="A23">
        <v>14</v>
      </c>
      <c r="B23" t="s">
        <v>49</v>
      </c>
      <c r="C23" t="s">
        <v>36</v>
      </c>
      <c r="D23" t="s">
        <v>36</v>
      </c>
      <c r="E23" t="s">
        <v>36</v>
      </c>
      <c r="F23" t="s">
        <v>36</v>
      </c>
      <c r="G23" t="s">
        <v>36</v>
      </c>
      <c r="H23" t="s">
        <v>36</v>
      </c>
      <c r="I23" t="s">
        <v>36</v>
      </c>
      <c r="J23" t="s">
        <v>36</v>
      </c>
      <c r="K23" t="s">
        <v>36</v>
      </c>
      <c r="L23" t="s">
        <v>36</v>
      </c>
      <c r="M23" t="s">
        <v>36</v>
      </c>
      <c r="N23" t="s">
        <v>36</v>
      </c>
      <c r="O23" t="s">
        <v>36</v>
      </c>
      <c r="P23" t="s">
        <v>36</v>
      </c>
      <c r="Q23" s="1">
        <v>40911.534722222219</v>
      </c>
      <c r="R23" t="s">
        <v>36</v>
      </c>
      <c r="S23" t="s">
        <v>36</v>
      </c>
      <c r="T23" t="s">
        <v>36</v>
      </c>
      <c r="U23" t="s">
        <v>36</v>
      </c>
      <c r="V23" t="s">
        <v>36</v>
      </c>
      <c r="W23" t="s">
        <v>36</v>
      </c>
      <c r="X23" t="s">
        <v>36</v>
      </c>
      <c r="Y23" t="s">
        <v>36</v>
      </c>
      <c r="Z23" t="s">
        <v>36</v>
      </c>
      <c r="AA23" t="s">
        <v>36</v>
      </c>
      <c r="AB23" t="s">
        <v>36</v>
      </c>
      <c r="AC23" t="s">
        <v>36</v>
      </c>
      <c r="AD23" t="s">
        <v>36</v>
      </c>
      <c r="AE23" t="s">
        <v>36</v>
      </c>
      <c r="AF23" t="s">
        <v>36</v>
      </c>
      <c r="AG23" t="s">
        <v>36</v>
      </c>
      <c r="AH23" t="s">
        <v>36</v>
      </c>
      <c r="AI23" t="s">
        <v>36</v>
      </c>
      <c r="AJ23" t="s">
        <v>36</v>
      </c>
    </row>
    <row r="24" spans="1:36" x14ac:dyDescent="0.35">
      <c r="A24">
        <v>3052</v>
      </c>
      <c r="B24" t="s">
        <v>917</v>
      </c>
      <c r="C24" t="s">
        <v>36</v>
      </c>
      <c r="D24" t="s">
        <v>36</v>
      </c>
      <c r="E24" t="s">
        <v>36</v>
      </c>
      <c r="F24" t="s">
        <v>36</v>
      </c>
      <c r="G24" t="s">
        <v>36</v>
      </c>
      <c r="H24" t="s">
        <v>36</v>
      </c>
      <c r="I24" t="s">
        <v>36</v>
      </c>
      <c r="J24" t="s">
        <v>36</v>
      </c>
      <c r="K24" t="s">
        <v>36</v>
      </c>
      <c r="L24" t="s">
        <v>36</v>
      </c>
      <c r="M24" t="s">
        <v>36</v>
      </c>
      <c r="N24" t="s">
        <v>36</v>
      </c>
      <c r="O24" t="s">
        <v>36</v>
      </c>
      <c r="P24" t="s">
        <v>36</v>
      </c>
      <c r="Q24" s="1">
        <v>43245.618055555555</v>
      </c>
      <c r="R24" t="s">
        <v>36</v>
      </c>
      <c r="S24" t="s">
        <v>36</v>
      </c>
      <c r="T24" t="s">
        <v>36</v>
      </c>
      <c r="U24" t="s">
        <v>36</v>
      </c>
      <c r="V24" t="s">
        <v>36</v>
      </c>
      <c r="W24" t="s">
        <v>36</v>
      </c>
      <c r="X24" t="s">
        <v>36</v>
      </c>
      <c r="Y24" t="s">
        <v>36</v>
      </c>
      <c r="Z24" t="s">
        <v>36</v>
      </c>
      <c r="AA24" t="s">
        <v>36</v>
      </c>
      <c r="AB24" t="s">
        <v>36</v>
      </c>
      <c r="AC24" t="s">
        <v>36</v>
      </c>
      <c r="AD24" t="s">
        <v>36</v>
      </c>
      <c r="AE24" t="s">
        <v>36</v>
      </c>
      <c r="AF24" t="s">
        <v>36</v>
      </c>
      <c r="AG24" t="s">
        <v>36</v>
      </c>
      <c r="AH24" t="s">
        <v>36</v>
      </c>
      <c r="AI24" t="s">
        <v>36</v>
      </c>
      <c r="AJ24" t="s">
        <v>36</v>
      </c>
    </row>
    <row r="25" spans="1:36" x14ac:dyDescent="0.35">
      <c r="A25">
        <v>3053</v>
      </c>
      <c r="B25" t="s">
        <v>918</v>
      </c>
      <c r="C25" t="s">
        <v>36</v>
      </c>
      <c r="D25" t="s">
        <v>36</v>
      </c>
      <c r="E25" t="s">
        <v>36</v>
      </c>
      <c r="F25" t="s">
        <v>36</v>
      </c>
      <c r="G25" t="s">
        <v>36</v>
      </c>
      <c r="H25" t="s">
        <v>36</v>
      </c>
      <c r="I25" t="s">
        <v>36</v>
      </c>
      <c r="J25" t="s">
        <v>36</v>
      </c>
      <c r="K25" t="s">
        <v>36</v>
      </c>
      <c r="L25" t="s">
        <v>36</v>
      </c>
      <c r="M25" t="s">
        <v>36</v>
      </c>
      <c r="N25" t="s">
        <v>36</v>
      </c>
      <c r="O25" t="s">
        <v>36</v>
      </c>
      <c r="P25" t="s">
        <v>36</v>
      </c>
      <c r="Q25" s="1">
        <v>43245.618055555555</v>
      </c>
      <c r="R25" t="s">
        <v>36</v>
      </c>
      <c r="S25" t="s">
        <v>36</v>
      </c>
      <c r="T25" t="s">
        <v>36</v>
      </c>
      <c r="U25" t="s">
        <v>36</v>
      </c>
      <c r="V25" t="s">
        <v>36</v>
      </c>
      <c r="W25" t="s">
        <v>36</v>
      </c>
      <c r="X25" t="s">
        <v>36</v>
      </c>
      <c r="Y25" t="s">
        <v>36</v>
      </c>
      <c r="Z25" t="s">
        <v>36</v>
      </c>
      <c r="AA25" t="s">
        <v>36</v>
      </c>
      <c r="AB25" t="s">
        <v>36</v>
      </c>
      <c r="AC25" t="s">
        <v>36</v>
      </c>
      <c r="AD25" t="s">
        <v>36</v>
      </c>
      <c r="AE25" t="s">
        <v>36</v>
      </c>
      <c r="AF25" t="s">
        <v>36</v>
      </c>
      <c r="AG25" t="s">
        <v>36</v>
      </c>
      <c r="AH25" t="s">
        <v>36</v>
      </c>
      <c r="AI25" t="s">
        <v>36</v>
      </c>
      <c r="AJ25" t="s">
        <v>36</v>
      </c>
    </row>
    <row r="26" spans="1:36" x14ac:dyDescent="0.35">
      <c r="A26">
        <v>3054</v>
      </c>
      <c r="B26" t="s">
        <v>919</v>
      </c>
      <c r="C26" t="s">
        <v>36</v>
      </c>
      <c r="D26" t="s">
        <v>36</v>
      </c>
      <c r="E26" t="s">
        <v>36</v>
      </c>
      <c r="F26" t="s">
        <v>36</v>
      </c>
      <c r="G26" t="s">
        <v>36</v>
      </c>
      <c r="H26" t="s">
        <v>36</v>
      </c>
      <c r="I26" t="s">
        <v>36</v>
      </c>
      <c r="J26" t="s">
        <v>36</v>
      </c>
      <c r="K26" t="s">
        <v>36</v>
      </c>
      <c r="L26" t="s">
        <v>36</v>
      </c>
      <c r="M26" t="s">
        <v>36</v>
      </c>
      <c r="N26" t="s">
        <v>36</v>
      </c>
      <c r="O26" t="s">
        <v>36</v>
      </c>
      <c r="P26" t="s">
        <v>36</v>
      </c>
      <c r="Q26" s="1">
        <v>43245.618055555555</v>
      </c>
      <c r="R26" t="s">
        <v>36</v>
      </c>
      <c r="S26" t="s">
        <v>36</v>
      </c>
      <c r="T26" t="s">
        <v>36</v>
      </c>
      <c r="U26" t="s">
        <v>36</v>
      </c>
      <c r="V26" t="s">
        <v>36</v>
      </c>
      <c r="W26" t="s">
        <v>36</v>
      </c>
      <c r="X26" t="s">
        <v>36</v>
      </c>
      <c r="Y26" t="s">
        <v>36</v>
      </c>
      <c r="Z26" t="s">
        <v>36</v>
      </c>
      <c r="AA26" t="s">
        <v>36</v>
      </c>
      <c r="AB26" t="s">
        <v>36</v>
      </c>
      <c r="AC26" t="s">
        <v>36</v>
      </c>
      <c r="AD26" t="s">
        <v>36</v>
      </c>
      <c r="AE26" t="s">
        <v>36</v>
      </c>
      <c r="AF26" t="s">
        <v>36</v>
      </c>
      <c r="AG26" t="s">
        <v>36</v>
      </c>
      <c r="AH26" t="s">
        <v>36</v>
      </c>
      <c r="AI26" t="s">
        <v>36</v>
      </c>
      <c r="AJ26" t="s">
        <v>36</v>
      </c>
    </row>
    <row r="27" spans="1:36" x14ac:dyDescent="0.35">
      <c r="A27">
        <v>11</v>
      </c>
      <c r="B27" t="s">
        <v>46</v>
      </c>
      <c r="C27" t="s">
        <v>36</v>
      </c>
      <c r="D27" t="s">
        <v>36</v>
      </c>
      <c r="E27" t="s">
        <v>36</v>
      </c>
      <c r="F27" t="s">
        <v>36</v>
      </c>
      <c r="G27" t="s">
        <v>36</v>
      </c>
      <c r="H27" t="s">
        <v>36</v>
      </c>
      <c r="I27" t="s">
        <v>36</v>
      </c>
      <c r="J27" t="s">
        <v>36</v>
      </c>
      <c r="K27" t="s">
        <v>36</v>
      </c>
      <c r="L27" t="s">
        <v>36</v>
      </c>
      <c r="M27" t="s">
        <v>36</v>
      </c>
      <c r="N27" t="s">
        <v>36</v>
      </c>
      <c r="O27" t="s">
        <v>36</v>
      </c>
      <c r="P27" t="s">
        <v>36</v>
      </c>
      <c r="Q27" s="1">
        <v>40911.534722222219</v>
      </c>
      <c r="R27" t="s">
        <v>36</v>
      </c>
      <c r="S27" t="s">
        <v>36</v>
      </c>
      <c r="T27" t="s">
        <v>36</v>
      </c>
      <c r="U27" t="s">
        <v>36</v>
      </c>
      <c r="V27" t="s">
        <v>36</v>
      </c>
      <c r="W27" t="s">
        <v>36</v>
      </c>
      <c r="X27" t="s">
        <v>36</v>
      </c>
      <c r="Y27" t="s">
        <v>36</v>
      </c>
      <c r="Z27" t="s">
        <v>36</v>
      </c>
      <c r="AA27" t="s">
        <v>36</v>
      </c>
      <c r="AB27" t="s">
        <v>36</v>
      </c>
      <c r="AC27" t="s">
        <v>36</v>
      </c>
      <c r="AD27" t="s">
        <v>36</v>
      </c>
      <c r="AE27" t="s">
        <v>36</v>
      </c>
      <c r="AF27" t="s">
        <v>36</v>
      </c>
      <c r="AG27" t="s">
        <v>36</v>
      </c>
      <c r="AH27" t="s">
        <v>36</v>
      </c>
      <c r="AI27" t="s">
        <v>36</v>
      </c>
      <c r="AJ27" t="s">
        <v>36</v>
      </c>
    </row>
    <row r="28" spans="1:36" x14ac:dyDescent="0.35">
      <c r="A28">
        <v>4392</v>
      </c>
      <c r="B28" t="s">
        <v>1173</v>
      </c>
      <c r="C28" t="s">
        <v>36</v>
      </c>
      <c r="D28" t="s">
        <v>36</v>
      </c>
      <c r="E28" t="s">
        <v>36</v>
      </c>
      <c r="F28" t="s">
        <v>36</v>
      </c>
      <c r="G28" t="s">
        <v>36</v>
      </c>
      <c r="H28" t="s">
        <v>36</v>
      </c>
      <c r="I28" t="s">
        <v>36</v>
      </c>
      <c r="J28" t="s">
        <v>36</v>
      </c>
      <c r="K28" t="s">
        <v>36</v>
      </c>
      <c r="L28" t="s">
        <v>36</v>
      </c>
      <c r="M28" t="s">
        <v>36</v>
      </c>
      <c r="N28" t="s">
        <v>36</v>
      </c>
      <c r="O28" t="s">
        <v>36</v>
      </c>
      <c r="P28" t="s">
        <v>36</v>
      </c>
      <c r="Q28" s="1">
        <v>43857.791666666664</v>
      </c>
      <c r="R28" t="s">
        <v>36</v>
      </c>
      <c r="S28" t="s">
        <v>36</v>
      </c>
      <c r="T28" t="s">
        <v>36</v>
      </c>
      <c r="U28" t="s">
        <v>36</v>
      </c>
      <c r="V28" t="s">
        <v>36</v>
      </c>
      <c r="W28" t="s">
        <v>36</v>
      </c>
      <c r="X28" t="s">
        <v>36</v>
      </c>
      <c r="Y28" t="s">
        <v>36</v>
      </c>
      <c r="Z28" t="s">
        <v>36</v>
      </c>
      <c r="AA28" t="s">
        <v>36</v>
      </c>
      <c r="AB28" t="s">
        <v>36</v>
      </c>
      <c r="AC28" t="s">
        <v>36</v>
      </c>
      <c r="AD28" t="s">
        <v>36</v>
      </c>
      <c r="AE28" t="s">
        <v>36</v>
      </c>
      <c r="AF28" t="s">
        <v>36</v>
      </c>
      <c r="AG28" t="s">
        <v>36</v>
      </c>
      <c r="AH28" t="s">
        <v>36</v>
      </c>
      <c r="AI28" t="s">
        <v>36</v>
      </c>
      <c r="AJ28" t="s">
        <v>36</v>
      </c>
    </row>
    <row r="29" spans="1:36" x14ac:dyDescent="0.35">
      <c r="A29">
        <v>4393</v>
      </c>
      <c r="B29" t="s">
        <v>1174</v>
      </c>
      <c r="C29" t="s">
        <v>36</v>
      </c>
      <c r="D29" t="s">
        <v>36</v>
      </c>
      <c r="E29" t="s">
        <v>36</v>
      </c>
      <c r="F29" t="s">
        <v>36</v>
      </c>
      <c r="G29" t="s">
        <v>36</v>
      </c>
      <c r="H29" t="s">
        <v>36</v>
      </c>
      <c r="I29" t="s">
        <v>36</v>
      </c>
      <c r="J29" t="s">
        <v>36</v>
      </c>
      <c r="K29" t="s">
        <v>36</v>
      </c>
      <c r="L29" t="s">
        <v>36</v>
      </c>
      <c r="M29" t="s">
        <v>36</v>
      </c>
      <c r="N29" t="s">
        <v>36</v>
      </c>
      <c r="O29" t="s">
        <v>36</v>
      </c>
      <c r="P29" t="s">
        <v>36</v>
      </c>
      <c r="Q29" s="1">
        <v>43857.791666666664</v>
      </c>
      <c r="R29" t="s">
        <v>36</v>
      </c>
      <c r="S29" t="s">
        <v>36</v>
      </c>
      <c r="T29" t="s">
        <v>36</v>
      </c>
      <c r="U29" t="s">
        <v>36</v>
      </c>
      <c r="V29" t="s">
        <v>36</v>
      </c>
      <c r="W29" t="s">
        <v>36</v>
      </c>
      <c r="X29" t="s">
        <v>36</v>
      </c>
      <c r="Y29" t="s">
        <v>36</v>
      </c>
      <c r="Z29" t="s">
        <v>36</v>
      </c>
      <c r="AA29" t="s">
        <v>36</v>
      </c>
      <c r="AB29" t="s">
        <v>36</v>
      </c>
      <c r="AC29" t="s">
        <v>36</v>
      </c>
      <c r="AD29" t="s">
        <v>36</v>
      </c>
      <c r="AE29" t="s">
        <v>36</v>
      </c>
      <c r="AF29" t="s">
        <v>36</v>
      </c>
      <c r="AG29" t="s">
        <v>36</v>
      </c>
      <c r="AH29" t="s">
        <v>36</v>
      </c>
      <c r="AI29" t="s">
        <v>36</v>
      </c>
      <c r="AJ29" t="s">
        <v>36</v>
      </c>
    </row>
    <row r="30" spans="1:36" x14ac:dyDescent="0.35">
      <c r="A30">
        <v>4394</v>
      </c>
      <c r="B30" t="s">
        <v>1175</v>
      </c>
      <c r="C30" t="s">
        <v>36</v>
      </c>
      <c r="D30" t="s">
        <v>36</v>
      </c>
      <c r="E30" t="s">
        <v>36</v>
      </c>
      <c r="F30" t="s">
        <v>36</v>
      </c>
      <c r="G30" t="s">
        <v>36</v>
      </c>
      <c r="H30" t="s">
        <v>36</v>
      </c>
      <c r="I30" t="s">
        <v>36</v>
      </c>
      <c r="J30" t="s">
        <v>36</v>
      </c>
      <c r="K30" t="s">
        <v>36</v>
      </c>
      <c r="L30" t="s">
        <v>36</v>
      </c>
      <c r="M30" t="s">
        <v>36</v>
      </c>
      <c r="N30" t="s">
        <v>36</v>
      </c>
      <c r="O30" t="s">
        <v>36</v>
      </c>
      <c r="P30" t="s">
        <v>36</v>
      </c>
      <c r="Q30" s="1">
        <v>43857.791666666664</v>
      </c>
      <c r="R30" t="s">
        <v>36</v>
      </c>
      <c r="S30" t="s">
        <v>36</v>
      </c>
      <c r="T30" t="s">
        <v>36</v>
      </c>
      <c r="U30" t="s">
        <v>36</v>
      </c>
      <c r="V30" t="s">
        <v>36</v>
      </c>
      <c r="W30" t="s">
        <v>36</v>
      </c>
      <c r="X30" t="s">
        <v>36</v>
      </c>
      <c r="Y30" t="s">
        <v>36</v>
      </c>
      <c r="Z30" t="s">
        <v>36</v>
      </c>
      <c r="AA30" t="s">
        <v>36</v>
      </c>
      <c r="AB30" t="s">
        <v>36</v>
      </c>
      <c r="AC30" t="s">
        <v>36</v>
      </c>
      <c r="AD30" t="s">
        <v>36</v>
      </c>
      <c r="AE30" t="s">
        <v>36</v>
      </c>
      <c r="AF30" t="s">
        <v>36</v>
      </c>
      <c r="AG30" t="s">
        <v>36</v>
      </c>
      <c r="AH30" t="s">
        <v>36</v>
      </c>
      <c r="AI30" t="s">
        <v>36</v>
      </c>
      <c r="AJ30" t="s">
        <v>36</v>
      </c>
    </row>
    <row r="31" spans="1:36" x14ac:dyDescent="0.35">
      <c r="A31">
        <v>17</v>
      </c>
      <c r="B31" t="s">
        <v>52</v>
      </c>
      <c r="C31" t="s">
        <v>36</v>
      </c>
      <c r="D31" t="s">
        <v>36</v>
      </c>
      <c r="E31" t="s">
        <v>36</v>
      </c>
      <c r="F31" t="s">
        <v>36</v>
      </c>
      <c r="G31" t="s">
        <v>36</v>
      </c>
      <c r="H31" t="s">
        <v>36</v>
      </c>
      <c r="I31" t="s">
        <v>36</v>
      </c>
      <c r="J31" t="s">
        <v>36</v>
      </c>
      <c r="K31" t="s">
        <v>36</v>
      </c>
      <c r="L31" t="s">
        <v>36</v>
      </c>
      <c r="M31" t="s">
        <v>36</v>
      </c>
      <c r="N31" t="s">
        <v>36</v>
      </c>
      <c r="O31" t="s">
        <v>36</v>
      </c>
      <c r="P31" t="s">
        <v>36</v>
      </c>
      <c r="Q31" s="1">
        <v>40911.534722222219</v>
      </c>
      <c r="R31" t="s">
        <v>36</v>
      </c>
      <c r="S31" t="s">
        <v>36</v>
      </c>
      <c r="T31" t="s">
        <v>36</v>
      </c>
      <c r="U31" t="s">
        <v>36</v>
      </c>
      <c r="V31" t="s">
        <v>36</v>
      </c>
      <c r="W31" t="s">
        <v>36</v>
      </c>
      <c r="X31" t="s">
        <v>36</v>
      </c>
      <c r="Y31" t="s">
        <v>36</v>
      </c>
      <c r="Z31" t="s">
        <v>36</v>
      </c>
      <c r="AA31" t="s">
        <v>36</v>
      </c>
      <c r="AB31" t="s">
        <v>36</v>
      </c>
      <c r="AC31" t="s">
        <v>36</v>
      </c>
      <c r="AD31" t="s">
        <v>36</v>
      </c>
      <c r="AE31" t="s">
        <v>36</v>
      </c>
      <c r="AF31" t="s">
        <v>36</v>
      </c>
      <c r="AG31" t="s">
        <v>36</v>
      </c>
      <c r="AH31" t="s">
        <v>36</v>
      </c>
      <c r="AI31" t="s">
        <v>36</v>
      </c>
      <c r="AJ31" t="s">
        <v>36</v>
      </c>
    </row>
    <row r="32" spans="1:36" x14ac:dyDescent="0.35">
      <c r="A32">
        <v>4200</v>
      </c>
      <c r="B32" t="s">
        <v>1050</v>
      </c>
      <c r="C32" t="s">
        <v>36</v>
      </c>
      <c r="D32" t="s">
        <v>36</v>
      </c>
      <c r="E32" t="s">
        <v>36</v>
      </c>
      <c r="F32" t="s">
        <v>36</v>
      </c>
      <c r="G32" t="s">
        <v>36</v>
      </c>
      <c r="H32" t="s">
        <v>36</v>
      </c>
      <c r="I32" t="s">
        <v>36</v>
      </c>
      <c r="J32" t="s">
        <v>36</v>
      </c>
      <c r="K32" t="s">
        <v>36</v>
      </c>
      <c r="L32" t="s">
        <v>36</v>
      </c>
      <c r="M32" t="s">
        <v>36</v>
      </c>
      <c r="N32" t="s">
        <v>36</v>
      </c>
      <c r="O32" t="s">
        <v>36</v>
      </c>
      <c r="P32" t="s">
        <v>36</v>
      </c>
      <c r="Q32" s="1">
        <v>43856.479166666664</v>
      </c>
      <c r="R32" t="s">
        <v>36</v>
      </c>
      <c r="S32" t="s">
        <v>36</v>
      </c>
      <c r="T32" t="s">
        <v>36</v>
      </c>
      <c r="U32" t="s">
        <v>36</v>
      </c>
      <c r="V32" t="s">
        <v>36</v>
      </c>
      <c r="W32" t="s">
        <v>36</v>
      </c>
      <c r="X32" t="s">
        <v>36</v>
      </c>
      <c r="Y32" t="s">
        <v>36</v>
      </c>
      <c r="Z32" t="s">
        <v>36</v>
      </c>
      <c r="AA32" t="s">
        <v>36</v>
      </c>
      <c r="AB32" t="s">
        <v>36</v>
      </c>
      <c r="AC32" t="s">
        <v>36</v>
      </c>
      <c r="AD32" t="s">
        <v>36</v>
      </c>
      <c r="AE32" t="s">
        <v>36</v>
      </c>
      <c r="AF32" t="s">
        <v>36</v>
      </c>
      <c r="AG32" t="s">
        <v>36</v>
      </c>
      <c r="AH32" t="s">
        <v>36</v>
      </c>
      <c r="AI32" t="s">
        <v>36</v>
      </c>
      <c r="AJ32" t="s">
        <v>36</v>
      </c>
    </row>
    <row r="33" spans="1:36" x14ac:dyDescent="0.35">
      <c r="A33">
        <v>4201</v>
      </c>
      <c r="B33" t="s">
        <v>1051</v>
      </c>
      <c r="C33" t="s">
        <v>36</v>
      </c>
      <c r="D33" t="s">
        <v>36</v>
      </c>
      <c r="E33" t="s">
        <v>36</v>
      </c>
      <c r="F33" t="s">
        <v>36</v>
      </c>
      <c r="G33" t="s">
        <v>36</v>
      </c>
      <c r="H33" t="s">
        <v>36</v>
      </c>
      <c r="I33" t="s">
        <v>36</v>
      </c>
      <c r="J33" t="s">
        <v>36</v>
      </c>
      <c r="K33" t="s">
        <v>36</v>
      </c>
      <c r="L33" t="s">
        <v>36</v>
      </c>
      <c r="M33" t="s">
        <v>36</v>
      </c>
      <c r="N33" t="s">
        <v>36</v>
      </c>
      <c r="O33" t="s">
        <v>36</v>
      </c>
      <c r="P33" t="s">
        <v>36</v>
      </c>
      <c r="Q33" s="1">
        <v>43856.479166666664</v>
      </c>
      <c r="R33" t="s">
        <v>36</v>
      </c>
      <c r="S33" t="s">
        <v>36</v>
      </c>
      <c r="T33" t="s">
        <v>36</v>
      </c>
      <c r="U33" t="s">
        <v>36</v>
      </c>
      <c r="V33" t="s">
        <v>36</v>
      </c>
      <c r="W33" t="s">
        <v>36</v>
      </c>
      <c r="X33" t="s">
        <v>36</v>
      </c>
      <c r="Y33" t="s">
        <v>36</v>
      </c>
      <c r="Z33" t="s">
        <v>36</v>
      </c>
      <c r="AA33" t="s">
        <v>36</v>
      </c>
      <c r="AB33" t="s">
        <v>36</v>
      </c>
      <c r="AC33" t="s">
        <v>36</v>
      </c>
      <c r="AD33" t="s">
        <v>36</v>
      </c>
      <c r="AE33" t="s">
        <v>36</v>
      </c>
      <c r="AF33" t="s">
        <v>36</v>
      </c>
      <c r="AG33" t="s">
        <v>36</v>
      </c>
      <c r="AH33" t="s">
        <v>36</v>
      </c>
      <c r="AI33" t="s">
        <v>36</v>
      </c>
      <c r="AJ33" t="s">
        <v>36</v>
      </c>
    </row>
    <row r="34" spans="1:36" x14ac:dyDescent="0.35">
      <c r="A34">
        <v>4202</v>
      </c>
      <c r="B34" t="s">
        <v>1052</v>
      </c>
      <c r="C34" t="s">
        <v>36</v>
      </c>
      <c r="D34" t="s">
        <v>36</v>
      </c>
      <c r="E34" t="s">
        <v>36</v>
      </c>
      <c r="F34" t="s">
        <v>36</v>
      </c>
      <c r="G34" t="s">
        <v>36</v>
      </c>
      <c r="H34" t="s">
        <v>36</v>
      </c>
      <c r="I34" t="s">
        <v>36</v>
      </c>
      <c r="J34" t="s">
        <v>36</v>
      </c>
      <c r="K34" t="s">
        <v>36</v>
      </c>
      <c r="L34" t="s">
        <v>36</v>
      </c>
      <c r="M34" t="s">
        <v>36</v>
      </c>
      <c r="N34" t="s">
        <v>36</v>
      </c>
      <c r="O34" t="s">
        <v>36</v>
      </c>
      <c r="P34" t="s">
        <v>36</v>
      </c>
      <c r="Q34" s="1">
        <v>43856.479166666664</v>
      </c>
      <c r="R34" t="s">
        <v>36</v>
      </c>
      <c r="S34" t="s">
        <v>36</v>
      </c>
      <c r="T34" t="s">
        <v>36</v>
      </c>
      <c r="U34" t="s">
        <v>36</v>
      </c>
      <c r="V34" t="s">
        <v>36</v>
      </c>
      <c r="W34" t="s">
        <v>36</v>
      </c>
      <c r="X34" t="s">
        <v>36</v>
      </c>
      <c r="Y34" t="s">
        <v>36</v>
      </c>
      <c r="Z34" t="s">
        <v>36</v>
      </c>
      <c r="AA34" t="s">
        <v>36</v>
      </c>
      <c r="AB34" t="s">
        <v>36</v>
      </c>
      <c r="AC34" t="s">
        <v>36</v>
      </c>
      <c r="AD34" t="s">
        <v>36</v>
      </c>
      <c r="AE34" t="s">
        <v>36</v>
      </c>
      <c r="AF34" t="s">
        <v>36</v>
      </c>
      <c r="AG34" t="s">
        <v>36</v>
      </c>
      <c r="AH34" t="s">
        <v>36</v>
      </c>
      <c r="AI34" t="s">
        <v>36</v>
      </c>
      <c r="AJ34" t="s">
        <v>36</v>
      </c>
    </row>
    <row r="35" spans="1:36" x14ac:dyDescent="0.35">
      <c r="A35">
        <v>83</v>
      </c>
      <c r="B35" t="s">
        <v>96</v>
      </c>
      <c r="C35" s="1">
        <v>42544.479166666664</v>
      </c>
      <c r="D35" s="1">
        <v>42058.680555555555</v>
      </c>
      <c r="E35" t="s">
        <v>36</v>
      </c>
      <c r="F35" t="s">
        <v>36</v>
      </c>
      <c r="G35" t="s">
        <v>36</v>
      </c>
      <c r="H35" t="s">
        <v>36</v>
      </c>
      <c r="I35" t="s">
        <v>36</v>
      </c>
      <c r="J35" t="s">
        <v>36</v>
      </c>
      <c r="K35" s="1">
        <v>42528.291666666664</v>
      </c>
      <c r="L35" t="s">
        <v>36</v>
      </c>
      <c r="M35" s="1">
        <v>43348.625</v>
      </c>
      <c r="N35" s="1">
        <v>42735.993055555555</v>
      </c>
      <c r="O35" s="1">
        <v>42206.583333333336</v>
      </c>
      <c r="P35" t="s">
        <v>36</v>
      </c>
      <c r="Q35" s="1">
        <v>42470.777777777781</v>
      </c>
      <c r="R35" t="s">
        <v>36</v>
      </c>
      <c r="S35" t="s">
        <v>36</v>
      </c>
      <c r="T35" t="s">
        <v>36</v>
      </c>
      <c r="U35" t="s">
        <v>36</v>
      </c>
      <c r="V35" s="1">
        <v>42473.520833333336</v>
      </c>
      <c r="W35" s="1">
        <v>42735.993055555555</v>
      </c>
      <c r="X35" s="1">
        <v>42193.652777777781</v>
      </c>
      <c r="Y35" t="s">
        <v>36</v>
      </c>
      <c r="Z35" s="1">
        <v>42648.458333333336</v>
      </c>
      <c r="AA35" t="s">
        <v>36</v>
      </c>
      <c r="AB35" t="s">
        <v>36</v>
      </c>
      <c r="AC35" s="1">
        <v>42485.736111111109</v>
      </c>
      <c r="AD35" s="1">
        <v>43009</v>
      </c>
      <c r="AE35" t="s">
        <v>36</v>
      </c>
      <c r="AF35" t="s">
        <v>36</v>
      </c>
      <c r="AG35" t="s">
        <v>36</v>
      </c>
      <c r="AH35" t="s">
        <v>36</v>
      </c>
      <c r="AI35" t="s">
        <v>36</v>
      </c>
      <c r="AJ35" t="s">
        <v>36</v>
      </c>
    </row>
    <row r="36" spans="1:36" x14ac:dyDescent="0.35">
      <c r="A36">
        <v>80</v>
      </c>
      <c r="B36" t="s">
        <v>93</v>
      </c>
      <c r="C36" t="s">
        <v>36</v>
      </c>
      <c r="D36" t="s">
        <v>36</v>
      </c>
      <c r="E36" t="s">
        <v>36</v>
      </c>
      <c r="F36" t="s">
        <v>36</v>
      </c>
      <c r="G36" s="1">
        <v>42482.388888888891</v>
      </c>
      <c r="H36" t="s">
        <v>36</v>
      </c>
      <c r="I36" t="s">
        <v>36</v>
      </c>
      <c r="J36" s="1">
        <v>39631.4375</v>
      </c>
      <c r="K36" t="s">
        <v>36</v>
      </c>
      <c r="L36" s="1">
        <v>42058.680555555555</v>
      </c>
      <c r="M36" t="s">
        <v>36</v>
      </c>
      <c r="N36" t="s">
        <v>36</v>
      </c>
      <c r="O36" t="s">
        <v>36</v>
      </c>
      <c r="P36" s="1">
        <v>43059.576388888891</v>
      </c>
      <c r="Q36" t="s">
        <v>36</v>
      </c>
      <c r="R36" t="s">
        <v>36</v>
      </c>
      <c r="S36" s="1">
        <v>43227.3125</v>
      </c>
      <c r="T36" s="1">
        <v>42555.659722222219</v>
      </c>
      <c r="U36" t="s">
        <v>36</v>
      </c>
      <c r="V36" t="s">
        <v>36</v>
      </c>
      <c r="W36" s="1">
        <v>42735.993055555555</v>
      </c>
      <c r="X36" t="s">
        <v>36</v>
      </c>
      <c r="Y36" t="s">
        <v>36</v>
      </c>
      <c r="Z36" t="s">
        <v>36</v>
      </c>
      <c r="AA36" t="s">
        <v>36</v>
      </c>
      <c r="AB36" t="s">
        <v>36</v>
      </c>
      <c r="AC36" t="s">
        <v>36</v>
      </c>
      <c r="AD36" t="s">
        <v>36</v>
      </c>
      <c r="AE36" t="s">
        <v>36</v>
      </c>
      <c r="AF36" s="1">
        <v>42492.493055555555</v>
      </c>
      <c r="AG36" t="s">
        <v>36</v>
      </c>
      <c r="AH36" t="s">
        <v>36</v>
      </c>
      <c r="AI36" s="1">
        <v>42492.895833333336</v>
      </c>
      <c r="AJ36" s="1">
        <v>43059.576388888891</v>
      </c>
    </row>
    <row r="37" spans="1:36" x14ac:dyDescent="0.35">
      <c r="A37">
        <v>3523</v>
      </c>
      <c r="B37" t="s">
        <v>317</v>
      </c>
      <c r="C37" t="s">
        <v>36</v>
      </c>
      <c r="D37" t="s">
        <v>36</v>
      </c>
      <c r="E37" t="s">
        <v>36</v>
      </c>
      <c r="F37" t="s">
        <v>36</v>
      </c>
      <c r="G37" s="1">
        <v>43536.375</v>
      </c>
      <c r="H37" t="s">
        <v>36</v>
      </c>
      <c r="I37" t="s">
        <v>36</v>
      </c>
      <c r="J37" s="1">
        <v>39631.4375</v>
      </c>
      <c r="K37" t="s">
        <v>36</v>
      </c>
      <c r="L37" s="1">
        <v>42058.680555555555</v>
      </c>
      <c r="M37" t="s">
        <v>36</v>
      </c>
      <c r="N37" t="s">
        <v>36</v>
      </c>
      <c r="O37" t="s">
        <v>36</v>
      </c>
      <c r="P37" s="1">
        <v>43536.395833333336</v>
      </c>
      <c r="Q37" t="s">
        <v>36</v>
      </c>
      <c r="R37" t="s">
        <v>36</v>
      </c>
      <c r="S37" s="1">
        <v>43466.631944444445</v>
      </c>
      <c r="T37" s="1">
        <v>43542.381944444445</v>
      </c>
      <c r="U37" t="s">
        <v>36</v>
      </c>
      <c r="V37" t="s">
        <v>36</v>
      </c>
      <c r="W37" s="1">
        <v>43536.395833333336</v>
      </c>
      <c r="X37" t="s">
        <v>36</v>
      </c>
      <c r="Y37" t="s">
        <v>36</v>
      </c>
      <c r="Z37" t="s">
        <v>36</v>
      </c>
      <c r="AA37" t="s">
        <v>36</v>
      </c>
      <c r="AB37" t="s">
        <v>36</v>
      </c>
      <c r="AC37" t="s">
        <v>36</v>
      </c>
      <c r="AD37" t="s">
        <v>36</v>
      </c>
      <c r="AE37" t="s">
        <v>36</v>
      </c>
      <c r="AF37" s="1">
        <v>43536.395833333336</v>
      </c>
      <c r="AG37" t="s">
        <v>36</v>
      </c>
      <c r="AH37" t="s">
        <v>36</v>
      </c>
      <c r="AI37" s="1">
        <v>43536.395833333336</v>
      </c>
      <c r="AJ37" s="1">
        <v>43536.395833333336</v>
      </c>
    </row>
    <row r="38" spans="1:36" x14ac:dyDescent="0.35">
      <c r="A38">
        <v>3524</v>
      </c>
      <c r="B38" t="s">
        <v>318</v>
      </c>
      <c r="C38" t="s">
        <v>36</v>
      </c>
      <c r="D38" t="s">
        <v>36</v>
      </c>
      <c r="E38" t="s">
        <v>36</v>
      </c>
      <c r="F38" t="s">
        <v>36</v>
      </c>
      <c r="G38" s="1">
        <v>43536.375</v>
      </c>
      <c r="H38" t="s">
        <v>36</v>
      </c>
      <c r="I38" t="s">
        <v>36</v>
      </c>
      <c r="J38" s="1">
        <v>39631.4375</v>
      </c>
      <c r="K38" t="s">
        <v>36</v>
      </c>
      <c r="L38" s="1">
        <v>42058.680555555555</v>
      </c>
      <c r="M38" t="s">
        <v>36</v>
      </c>
      <c r="N38" t="s">
        <v>36</v>
      </c>
      <c r="O38" t="s">
        <v>36</v>
      </c>
      <c r="P38" s="1">
        <v>43536.395833333336</v>
      </c>
      <c r="Q38" t="s">
        <v>36</v>
      </c>
      <c r="R38" t="s">
        <v>36</v>
      </c>
      <c r="S38" s="1">
        <v>43466.631944444445</v>
      </c>
      <c r="T38" s="1">
        <v>43542.381944444445</v>
      </c>
      <c r="U38" t="s">
        <v>36</v>
      </c>
      <c r="V38" t="s">
        <v>36</v>
      </c>
      <c r="W38" s="1">
        <v>43536.395833333336</v>
      </c>
      <c r="X38" t="s">
        <v>36</v>
      </c>
      <c r="Y38" t="s">
        <v>36</v>
      </c>
      <c r="Z38" t="s">
        <v>36</v>
      </c>
      <c r="AA38" t="s">
        <v>36</v>
      </c>
      <c r="AB38" t="s">
        <v>36</v>
      </c>
      <c r="AC38" t="s">
        <v>36</v>
      </c>
      <c r="AD38" t="s">
        <v>36</v>
      </c>
      <c r="AE38" t="s">
        <v>36</v>
      </c>
      <c r="AF38" s="1">
        <v>43536.395833333336</v>
      </c>
      <c r="AG38" t="s">
        <v>36</v>
      </c>
      <c r="AH38" t="s">
        <v>36</v>
      </c>
      <c r="AI38" s="1">
        <v>43536.395833333336</v>
      </c>
      <c r="AJ38" s="1">
        <v>43536.395833333336</v>
      </c>
    </row>
    <row r="39" spans="1:36" x14ac:dyDescent="0.35">
      <c r="A39">
        <v>3525</v>
      </c>
      <c r="B39" t="s">
        <v>319</v>
      </c>
      <c r="C39" t="s">
        <v>36</v>
      </c>
      <c r="D39" t="s">
        <v>36</v>
      </c>
      <c r="E39" t="s">
        <v>36</v>
      </c>
      <c r="F39" t="s">
        <v>36</v>
      </c>
      <c r="G39" s="1">
        <v>43536.375</v>
      </c>
      <c r="H39" t="s">
        <v>36</v>
      </c>
      <c r="I39" t="s">
        <v>36</v>
      </c>
      <c r="J39" s="1">
        <v>39631.4375</v>
      </c>
      <c r="K39" t="s">
        <v>36</v>
      </c>
      <c r="L39" s="1">
        <v>42058.680555555555</v>
      </c>
      <c r="M39" t="s">
        <v>36</v>
      </c>
      <c r="N39" t="s">
        <v>36</v>
      </c>
      <c r="O39" t="s">
        <v>36</v>
      </c>
      <c r="P39" s="1">
        <v>43536.395833333336</v>
      </c>
      <c r="Q39" t="s">
        <v>36</v>
      </c>
      <c r="R39" t="s">
        <v>36</v>
      </c>
      <c r="S39" s="1">
        <v>43466.631944444445</v>
      </c>
      <c r="T39" s="1">
        <v>43542.381944444445</v>
      </c>
      <c r="U39" t="s">
        <v>36</v>
      </c>
      <c r="V39" t="s">
        <v>36</v>
      </c>
      <c r="W39" s="1">
        <v>43536.395833333336</v>
      </c>
      <c r="X39" t="s">
        <v>36</v>
      </c>
      <c r="Y39" t="s">
        <v>36</v>
      </c>
      <c r="Z39" t="s">
        <v>36</v>
      </c>
      <c r="AA39" t="s">
        <v>36</v>
      </c>
      <c r="AB39" t="s">
        <v>36</v>
      </c>
      <c r="AC39" t="s">
        <v>36</v>
      </c>
      <c r="AD39" t="s">
        <v>36</v>
      </c>
      <c r="AE39" t="s">
        <v>36</v>
      </c>
      <c r="AF39" s="1">
        <v>43536.395833333336</v>
      </c>
      <c r="AG39" t="s">
        <v>36</v>
      </c>
      <c r="AH39" t="s">
        <v>36</v>
      </c>
      <c r="AI39" s="1">
        <v>43536.395833333336</v>
      </c>
      <c r="AJ39" s="1">
        <v>43536.395833333336</v>
      </c>
    </row>
    <row r="40" spans="1:36" x14ac:dyDescent="0.35">
      <c r="A40">
        <v>81</v>
      </c>
      <c r="B40" t="s">
        <v>94</v>
      </c>
      <c r="C40" t="s">
        <v>36</v>
      </c>
      <c r="D40" t="s">
        <v>36</v>
      </c>
      <c r="E40" t="s">
        <v>36</v>
      </c>
      <c r="F40" t="s">
        <v>36</v>
      </c>
      <c r="G40" s="1">
        <v>42482.388888888891</v>
      </c>
      <c r="H40" t="s">
        <v>36</v>
      </c>
      <c r="I40" t="s">
        <v>36</v>
      </c>
      <c r="J40" s="1">
        <v>39631.4375</v>
      </c>
      <c r="K40" t="s">
        <v>36</v>
      </c>
      <c r="L40" s="1">
        <v>42058.680555555555</v>
      </c>
      <c r="M40" t="s">
        <v>36</v>
      </c>
      <c r="N40" t="s">
        <v>36</v>
      </c>
      <c r="O40" t="s">
        <v>36</v>
      </c>
      <c r="P40" s="1">
        <v>43059.576388888891</v>
      </c>
      <c r="Q40" t="s">
        <v>36</v>
      </c>
      <c r="R40" t="s">
        <v>36</v>
      </c>
      <c r="S40" s="1">
        <v>43227.3125</v>
      </c>
      <c r="T40" s="1">
        <v>42555.659722222219</v>
      </c>
      <c r="U40" t="s">
        <v>36</v>
      </c>
      <c r="V40" t="s">
        <v>36</v>
      </c>
      <c r="W40" s="1">
        <v>42735.993055555555</v>
      </c>
      <c r="X40" t="s">
        <v>36</v>
      </c>
      <c r="Y40" t="s">
        <v>36</v>
      </c>
      <c r="Z40" t="s">
        <v>36</v>
      </c>
      <c r="AA40" t="s">
        <v>36</v>
      </c>
      <c r="AB40" t="s">
        <v>36</v>
      </c>
      <c r="AC40" t="s">
        <v>36</v>
      </c>
      <c r="AD40" t="s">
        <v>36</v>
      </c>
      <c r="AE40" t="s">
        <v>36</v>
      </c>
      <c r="AF40" s="1">
        <v>42492.493055555555</v>
      </c>
      <c r="AG40" t="s">
        <v>36</v>
      </c>
      <c r="AH40" t="s">
        <v>36</v>
      </c>
      <c r="AI40" s="1">
        <v>42492.895833333336</v>
      </c>
      <c r="AJ40" s="1">
        <v>43059.576388888891</v>
      </c>
    </row>
    <row r="41" spans="1:36" x14ac:dyDescent="0.35">
      <c r="A41">
        <v>3526</v>
      </c>
      <c r="B41" t="s">
        <v>320</v>
      </c>
      <c r="C41" t="s">
        <v>36</v>
      </c>
      <c r="D41" t="s">
        <v>36</v>
      </c>
      <c r="E41" t="s">
        <v>36</v>
      </c>
      <c r="F41" t="s">
        <v>36</v>
      </c>
      <c r="G41" s="1">
        <v>43536.375</v>
      </c>
      <c r="H41" t="s">
        <v>36</v>
      </c>
      <c r="I41" t="s">
        <v>36</v>
      </c>
      <c r="J41" s="1">
        <v>39631.4375</v>
      </c>
      <c r="K41" t="s">
        <v>36</v>
      </c>
      <c r="L41" s="1">
        <v>42058.680555555555</v>
      </c>
      <c r="M41" t="s">
        <v>36</v>
      </c>
      <c r="N41" t="s">
        <v>36</v>
      </c>
      <c r="O41" t="s">
        <v>36</v>
      </c>
      <c r="P41" s="1">
        <v>43536.395833333336</v>
      </c>
      <c r="Q41" t="s">
        <v>36</v>
      </c>
      <c r="R41" t="s">
        <v>36</v>
      </c>
      <c r="S41" s="1">
        <v>43466.631944444445</v>
      </c>
      <c r="T41" s="1">
        <v>43542.381944444445</v>
      </c>
      <c r="U41" t="s">
        <v>36</v>
      </c>
      <c r="V41" t="s">
        <v>36</v>
      </c>
      <c r="W41" s="1">
        <v>43536.395833333336</v>
      </c>
      <c r="X41" t="s">
        <v>36</v>
      </c>
      <c r="Y41" t="s">
        <v>36</v>
      </c>
      <c r="Z41" t="s">
        <v>36</v>
      </c>
      <c r="AA41" t="s">
        <v>36</v>
      </c>
      <c r="AB41" t="s">
        <v>36</v>
      </c>
      <c r="AC41" t="s">
        <v>36</v>
      </c>
      <c r="AD41" t="s">
        <v>36</v>
      </c>
      <c r="AE41" t="s">
        <v>36</v>
      </c>
      <c r="AF41" s="1">
        <v>43536.395833333336</v>
      </c>
      <c r="AG41" t="s">
        <v>36</v>
      </c>
      <c r="AH41" t="s">
        <v>36</v>
      </c>
      <c r="AI41" s="1">
        <v>43536.395833333336</v>
      </c>
      <c r="AJ41" s="1">
        <v>43536.395833333336</v>
      </c>
    </row>
    <row r="42" spans="1:36" x14ac:dyDescent="0.35">
      <c r="A42">
        <v>3527</v>
      </c>
      <c r="B42" t="s">
        <v>321</v>
      </c>
      <c r="C42" t="s">
        <v>36</v>
      </c>
      <c r="D42" t="s">
        <v>36</v>
      </c>
      <c r="E42" t="s">
        <v>36</v>
      </c>
      <c r="F42" t="s">
        <v>36</v>
      </c>
      <c r="G42" s="1">
        <v>43536.375</v>
      </c>
      <c r="H42" t="s">
        <v>36</v>
      </c>
      <c r="I42" t="s">
        <v>36</v>
      </c>
      <c r="J42" s="1">
        <v>39631.4375</v>
      </c>
      <c r="K42" t="s">
        <v>36</v>
      </c>
      <c r="L42" s="1">
        <v>42058.680555555555</v>
      </c>
      <c r="M42" t="s">
        <v>36</v>
      </c>
      <c r="N42" t="s">
        <v>36</v>
      </c>
      <c r="O42" t="s">
        <v>36</v>
      </c>
      <c r="P42" s="1">
        <v>43536.395833333336</v>
      </c>
      <c r="Q42" t="s">
        <v>36</v>
      </c>
      <c r="R42" t="s">
        <v>36</v>
      </c>
      <c r="S42" s="1">
        <v>43466.631944444445</v>
      </c>
      <c r="T42" s="1">
        <v>43542.381944444445</v>
      </c>
      <c r="U42" t="s">
        <v>36</v>
      </c>
      <c r="V42" t="s">
        <v>36</v>
      </c>
      <c r="W42" s="1">
        <v>43536.395833333336</v>
      </c>
      <c r="X42" t="s">
        <v>36</v>
      </c>
      <c r="Y42" t="s">
        <v>36</v>
      </c>
      <c r="Z42" t="s">
        <v>36</v>
      </c>
      <c r="AA42" t="s">
        <v>36</v>
      </c>
      <c r="AB42" t="s">
        <v>36</v>
      </c>
      <c r="AC42" t="s">
        <v>36</v>
      </c>
      <c r="AD42" t="s">
        <v>36</v>
      </c>
      <c r="AE42" t="s">
        <v>36</v>
      </c>
      <c r="AF42" s="1">
        <v>43536.395833333336</v>
      </c>
      <c r="AG42" t="s">
        <v>36</v>
      </c>
      <c r="AH42" t="s">
        <v>36</v>
      </c>
      <c r="AI42" s="1">
        <v>43536.395833333336</v>
      </c>
      <c r="AJ42" s="1">
        <v>43536.395833333336</v>
      </c>
    </row>
    <row r="43" spans="1:36" x14ac:dyDescent="0.35">
      <c r="A43">
        <v>3528</v>
      </c>
      <c r="B43" t="s">
        <v>322</v>
      </c>
      <c r="C43" t="s">
        <v>36</v>
      </c>
      <c r="D43" t="s">
        <v>36</v>
      </c>
      <c r="E43" t="s">
        <v>36</v>
      </c>
      <c r="F43" t="s">
        <v>36</v>
      </c>
      <c r="G43" s="1">
        <v>43536.375</v>
      </c>
      <c r="H43" t="s">
        <v>36</v>
      </c>
      <c r="I43" t="s">
        <v>36</v>
      </c>
      <c r="J43" s="1">
        <v>39631.4375</v>
      </c>
      <c r="K43" t="s">
        <v>36</v>
      </c>
      <c r="L43" s="1">
        <v>42058.680555555555</v>
      </c>
      <c r="M43" t="s">
        <v>36</v>
      </c>
      <c r="N43" t="s">
        <v>36</v>
      </c>
      <c r="O43" t="s">
        <v>36</v>
      </c>
      <c r="P43" s="1">
        <v>43536.395833333336</v>
      </c>
      <c r="Q43" t="s">
        <v>36</v>
      </c>
      <c r="R43" t="s">
        <v>36</v>
      </c>
      <c r="S43" s="1">
        <v>43466.631944444445</v>
      </c>
      <c r="T43" s="1">
        <v>43542.381944444445</v>
      </c>
      <c r="U43" t="s">
        <v>36</v>
      </c>
      <c r="V43" t="s">
        <v>36</v>
      </c>
      <c r="W43" s="1">
        <v>43536.395833333336</v>
      </c>
      <c r="X43" t="s">
        <v>36</v>
      </c>
      <c r="Y43" t="s">
        <v>36</v>
      </c>
      <c r="Z43" t="s">
        <v>36</v>
      </c>
      <c r="AA43" t="s">
        <v>36</v>
      </c>
      <c r="AB43" t="s">
        <v>36</v>
      </c>
      <c r="AC43" t="s">
        <v>36</v>
      </c>
      <c r="AD43" t="s">
        <v>36</v>
      </c>
      <c r="AE43" t="s">
        <v>36</v>
      </c>
      <c r="AF43" s="1">
        <v>43536.395833333336</v>
      </c>
      <c r="AG43" t="s">
        <v>36</v>
      </c>
      <c r="AH43" t="s">
        <v>36</v>
      </c>
      <c r="AI43" s="1">
        <v>43536.395833333336</v>
      </c>
      <c r="AJ43" s="1">
        <v>43536.395833333336</v>
      </c>
    </row>
    <row r="44" spans="1:36" x14ac:dyDescent="0.35">
      <c r="A44">
        <v>82</v>
      </c>
      <c r="B44" t="s">
        <v>95</v>
      </c>
      <c r="C44" t="s">
        <v>36</v>
      </c>
      <c r="D44" t="s">
        <v>36</v>
      </c>
      <c r="E44" t="s">
        <v>36</v>
      </c>
      <c r="F44" t="s">
        <v>36</v>
      </c>
      <c r="G44" s="1">
        <v>42482.388888888891</v>
      </c>
      <c r="H44" t="s">
        <v>36</v>
      </c>
      <c r="I44" t="s">
        <v>36</v>
      </c>
      <c r="J44" s="1">
        <v>39631.4375</v>
      </c>
      <c r="K44" t="s">
        <v>36</v>
      </c>
      <c r="L44" s="1">
        <v>42058.680555555555</v>
      </c>
      <c r="M44" t="s">
        <v>36</v>
      </c>
      <c r="N44" t="s">
        <v>36</v>
      </c>
      <c r="O44" t="s">
        <v>36</v>
      </c>
      <c r="P44" s="1">
        <v>43059.576388888891</v>
      </c>
      <c r="Q44" t="s">
        <v>36</v>
      </c>
      <c r="R44" t="s">
        <v>36</v>
      </c>
      <c r="S44" s="1">
        <v>43227.3125</v>
      </c>
      <c r="T44" s="1">
        <v>42555.659722222219</v>
      </c>
      <c r="U44" t="s">
        <v>36</v>
      </c>
      <c r="V44" t="s">
        <v>36</v>
      </c>
      <c r="W44" s="1">
        <v>42735.993055555555</v>
      </c>
      <c r="X44" t="s">
        <v>36</v>
      </c>
      <c r="Y44" t="s">
        <v>36</v>
      </c>
      <c r="Z44" t="s">
        <v>36</v>
      </c>
      <c r="AA44" t="s">
        <v>36</v>
      </c>
      <c r="AB44" t="s">
        <v>36</v>
      </c>
      <c r="AC44" t="s">
        <v>36</v>
      </c>
      <c r="AD44" t="s">
        <v>36</v>
      </c>
      <c r="AE44" t="s">
        <v>36</v>
      </c>
      <c r="AF44" s="1">
        <v>42492.493055555555</v>
      </c>
      <c r="AG44" t="s">
        <v>36</v>
      </c>
      <c r="AH44" t="s">
        <v>36</v>
      </c>
      <c r="AI44" s="1">
        <v>42492.895833333336</v>
      </c>
      <c r="AJ44" s="1">
        <v>43059.576388888891</v>
      </c>
    </row>
    <row r="45" spans="1:36" x14ac:dyDescent="0.35">
      <c r="A45">
        <v>3529</v>
      </c>
      <c r="B45" t="s">
        <v>323</v>
      </c>
      <c r="C45" t="s">
        <v>36</v>
      </c>
      <c r="D45" t="s">
        <v>36</v>
      </c>
      <c r="E45" t="s">
        <v>36</v>
      </c>
      <c r="F45" t="s">
        <v>36</v>
      </c>
      <c r="G45" s="1">
        <v>43536.375</v>
      </c>
      <c r="H45" t="s">
        <v>36</v>
      </c>
      <c r="I45" t="s">
        <v>36</v>
      </c>
      <c r="J45" s="1">
        <v>39631.4375</v>
      </c>
      <c r="K45" t="s">
        <v>36</v>
      </c>
      <c r="L45" s="1">
        <v>42058.680555555555</v>
      </c>
      <c r="M45" t="s">
        <v>36</v>
      </c>
      <c r="N45" t="s">
        <v>36</v>
      </c>
      <c r="O45" t="s">
        <v>36</v>
      </c>
      <c r="P45" s="1">
        <v>43536.395833333336</v>
      </c>
      <c r="Q45" t="s">
        <v>36</v>
      </c>
      <c r="R45" t="s">
        <v>36</v>
      </c>
      <c r="S45" s="1">
        <v>43466.631944444445</v>
      </c>
      <c r="T45" s="1">
        <v>43542.381944444445</v>
      </c>
      <c r="U45" t="s">
        <v>36</v>
      </c>
      <c r="V45" t="s">
        <v>36</v>
      </c>
      <c r="W45" s="1">
        <v>43536.395833333336</v>
      </c>
      <c r="X45" t="s">
        <v>36</v>
      </c>
      <c r="Y45" t="s">
        <v>36</v>
      </c>
      <c r="Z45" t="s">
        <v>36</v>
      </c>
      <c r="AA45" t="s">
        <v>36</v>
      </c>
      <c r="AB45" t="s">
        <v>36</v>
      </c>
      <c r="AC45" t="s">
        <v>36</v>
      </c>
      <c r="AD45" t="s">
        <v>36</v>
      </c>
      <c r="AE45" t="s">
        <v>36</v>
      </c>
      <c r="AF45" s="1">
        <v>43536.395833333336</v>
      </c>
      <c r="AG45" t="s">
        <v>36</v>
      </c>
      <c r="AH45" t="s">
        <v>36</v>
      </c>
      <c r="AI45" s="1">
        <v>43536.395833333336</v>
      </c>
      <c r="AJ45" s="1">
        <v>43536.395833333336</v>
      </c>
    </row>
    <row r="46" spans="1:36" x14ac:dyDescent="0.35">
      <c r="A46">
        <v>3530</v>
      </c>
      <c r="B46" t="s">
        <v>324</v>
      </c>
      <c r="C46" t="s">
        <v>36</v>
      </c>
      <c r="D46" t="s">
        <v>36</v>
      </c>
      <c r="E46" t="s">
        <v>36</v>
      </c>
      <c r="F46" t="s">
        <v>36</v>
      </c>
      <c r="G46" s="1">
        <v>43536.375</v>
      </c>
      <c r="H46" t="s">
        <v>36</v>
      </c>
      <c r="I46" t="s">
        <v>36</v>
      </c>
      <c r="J46" s="1">
        <v>39631.4375</v>
      </c>
      <c r="K46" t="s">
        <v>36</v>
      </c>
      <c r="L46" s="1">
        <v>42058.680555555555</v>
      </c>
      <c r="M46" t="s">
        <v>36</v>
      </c>
      <c r="N46" t="s">
        <v>36</v>
      </c>
      <c r="O46" t="s">
        <v>36</v>
      </c>
      <c r="P46" s="1">
        <v>43536.395833333336</v>
      </c>
      <c r="Q46" t="s">
        <v>36</v>
      </c>
      <c r="R46" t="s">
        <v>36</v>
      </c>
      <c r="S46" s="1">
        <v>43466.631944444445</v>
      </c>
      <c r="T46" s="1">
        <v>43542.381944444445</v>
      </c>
      <c r="U46" t="s">
        <v>36</v>
      </c>
      <c r="V46" t="s">
        <v>36</v>
      </c>
      <c r="W46" s="1">
        <v>43536.395833333336</v>
      </c>
      <c r="X46" t="s">
        <v>36</v>
      </c>
      <c r="Y46" t="s">
        <v>36</v>
      </c>
      <c r="Z46" t="s">
        <v>36</v>
      </c>
      <c r="AA46" t="s">
        <v>36</v>
      </c>
      <c r="AB46" t="s">
        <v>36</v>
      </c>
      <c r="AC46" t="s">
        <v>36</v>
      </c>
      <c r="AD46" t="s">
        <v>36</v>
      </c>
      <c r="AE46" t="s">
        <v>36</v>
      </c>
      <c r="AF46" s="1">
        <v>43536.395833333336</v>
      </c>
      <c r="AG46" t="s">
        <v>36</v>
      </c>
      <c r="AH46" t="s">
        <v>36</v>
      </c>
      <c r="AI46" s="1">
        <v>43536.395833333336</v>
      </c>
      <c r="AJ46" s="1">
        <v>43536.395833333336</v>
      </c>
    </row>
    <row r="47" spans="1:36" x14ac:dyDescent="0.35">
      <c r="A47">
        <v>3531</v>
      </c>
      <c r="B47" t="s">
        <v>325</v>
      </c>
      <c r="C47" t="s">
        <v>36</v>
      </c>
      <c r="D47" t="s">
        <v>36</v>
      </c>
      <c r="E47" t="s">
        <v>36</v>
      </c>
      <c r="F47" t="s">
        <v>36</v>
      </c>
      <c r="G47" s="1">
        <v>43536.375</v>
      </c>
      <c r="H47" t="s">
        <v>36</v>
      </c>
      <c r="I47" t="s">
        <v>36</v>
      </c>
      <c r="J47" s="1">
        <v>39631.4375</v>
      </c>
      <c r="K47" t="s">
        <v>36</v>
      </c>
      <c r="L47" s="1">
        <v>42058.680555555555</v>
      </c>
      <c r="M47" t="s">
        <v>36</v>
      </c>
      <c r="N47" t="s">
        <v>36</v>
      </c>
      <c r="O47" t="s">
        <v>36</v>
      </c>
      <c r="P47" s="1">
        <v>43536.395833333336</v>
      </c>
      <c r="Q47" t="s">
        <v>36</v>
      </c>
      <c r="R47" t="s">
        <v>36</v>
      </c>
      <c r="S47" s="1">
        <v>43466.631944444445</v>
      </c>
      <c r="T47" s="1">
        <v>43542.381944444445</v>
      </c>
      <c r="U47" t="s">
        <v>36</v>
      </c>
      <c r="V47" t="s">
        <v>36</v>
      </c>
      <c r="W47" s="1">
        <v>43536.395833333336</v>
      </c>
      <c r="X47" t="s">
        <v>36</v>
      </c>
      <c r="Y47" t="s">
        <v>36</v>
      </c>
      <c r="Z47" t="s">
        <v>36</v>
      </c>
      <c r="AA47" t="s">
        <v>36</v>
      </c>
      <c r="AB47" t="s">
        <v>36</v>
      </c>
      <c r="AC47" t="s">
        <v>36</v>
      </c>
      <c r="AD47" t="s">
        <v>36</v>
      </c>
      <c r="AE47" t="s">
        <v>36</v>
      </c>
      <c r="AF47" s="1">
        <v>43536.395833333336</v>
      </c>
      <c r="AG47" t="s">
        <v>36</v>
      </c>
      <c r="AH47" t="s">
        <v>36</v>
      </c>
      <c r="AI47" s="1">
        <v>43536.395833333336</v>
      </c>
      <c r="AJ47" s="1">
        <v>43536.395833333336</v>
      </c>
    </row>
    <row r="48" spans="1:36" x14ac:dyDescent="0.35">
      <c r="A48">
        <v>918</v>
      </c>
      <c r="B48" t="s">
        <v>866</v>
      </c>
      <c r="C48" s="1">
        <v>42713.375</v>
      </c>
      <c r="D48" s="1">
        <v>42087</v>
      </c>
      <c r="E48" t="s">
        <v>36</v>
      </c>
      <c r="F48" t="s">
        <v>36</v>
      </c>
      <c r="G48" t="s">
        <v>36</v>
      </c>
      <c r="H48" t="s">
        <v>36</v>
      </c>
      <c r="I48" t="s">
        <v>36</v>
      </c>
      <c r="J48" t="s">
        <v>36</v>
      </c>
      <c r="K48" s="1">
        <v>42692.493055555555</v>
      </c>
      <c r="L48" t="s">
        <v>36</v>
      </c>
      <c r="M48" s="1">
        <v>43348.625</v>
      </c>
      <c r="N48" s="1">
        <v>42735.993055555555</v>
      </c>
      <c r="O48" s="1">
        <v>42206.583333333336</v>
      </c>
      <c r="P48" t="s">
        <v>36</v>
      </c>
      <c r="Q48" t="s">
        <v>36</v>
      </c>
      <c r="R48" t="s">
        <v>36</v>
      </c>
      <c r="S48" t="s">
        <v>36</v>
      </c>
      <c r="T48" t="s">
        <v>36</v>
      </c>
      <c r="U48" t="s">
        <v>36</v>
      </c>
      <c r="V48" s="1">
        <v>42719.486111111109</v>
      </c>
      <c r="W48" s="1">
        <v>42735.993055555555</v>
      </c>
      <c r="X48" s="1">
        <v>42193.652777777781</v>
      </c>
      <c r="Y48" t="s">
        <v>36</v>
      </c>
      <c r="Z48" s="1">
        <v>42713.555555555555</v>
      </c>
      <c r="AA48" t="s">
        <v>36</v>
      </c>
      <c r="AB48" t="s">
        <v>36</v>
      </c>
      <c r="AC48" s="1">
        <v>42692.5</v>
      </c>
      <c r="AD48" s="1">
        <v>43009</v>
      </c>
      <c r="AE48" t="s">
        <v>36</v>
      </c>
      <c r="AF48" t="s">
        <v>36</v>
      </c>
      <c r="AG48" t="s">
        <v>36</v>
      </c>
      <c r="AH48" t="s">
        <v>36</v>
      </c>
      <c r="AI48" t="s">
        <v>36</v>
      </c>
      <c r="AJ48" t="s">
        <v>36</v>
      </c>
    </row>
    <row r="49" spans="1:36" x14ac:dyDescent="0.35">
      <c r="A49">
        <v>919</v>
      </c>
      <c r="B49" t="s">
        <v>867</v>
      </c>
      <c r="C49" s="1">
        <v>42713.375</v>
      </c>
      <c r="D49" s="1">
        <v>42087</v>
      </c>
      <c r="E49" t="s">
        <v>36</v>
      </c>
      <c r="F49" t="s">
        <v>36</v>
      </c>
      <c r="G49" t="s">
        <v>36</v>
      </c>
      <c r="H49" t="s">
        <v>36</v>
      </c>
      <c r="I49" t="s">
        <v>36</v>
      </c>
      <c r="J49" t="s">
        <v>36</v>
      </c>
      <c r="K49" s="1">
        <v>42692.493055555555</v>
      </c>
      <c r="L49" t="s">
        <v>36</v>
      </c>
      <c r="M49" s="1">
        <v>43348.625</v>
      </c>
      <c r="N49" s="1">
        <v>42735.993055555555</v>
      </c>
      <c r="O49" s="1">
        <v>42206.583333333336</v>
      </c>
      <c r="P49" t="s">
        <v>36</v>
      </c>
      <c r="Q49" t="s">
        <v>36</v>
      </c>
      <c r="R49" t="s">
        <v>36</v>
      </c>
      <c r="S49" t="s">
        <v>36</v>
      </c>
      <c r="T49" t="s">
        <v>36</v>
      </c>
      <c r="U49" t="s">
        <v>36</v>
      </c>
      <c r="V49" s="1">
        <v>42719.486111111109</v>
      </c>
      <c r="W49" s="1">
        <v>42735.993055555555</v>
      </c>
      <c r="X49" s="1">
        <v>42193.652777777781</v>
      </c>
      <c r="Y49" t="s">
        <v>36</v>
      </c>
      <c r="Z49" s="1">
        <v>42713.555555555555</v>
      </c>
      <c r="AA49" t="s">
        <v>36</v>
      </c>
      <c r="AB49" t="s">
        <v>36</v>
      </c>
      <c r="AC49" s="1">
        <v>42692.5</v>
      </c>
      <c r="AD49" s="1">
        <v>43009</v>
      </c>
      <c r="AE49" t="s">
        <v>36</v>
      </c>
      <c r="AF49" t="s">
        <v>36</v>
      </c>
      <c r="AG49" t="s">
        <v>36</v>
      </c>
      <c r="AH49" t="s">
        <v>36</v>
      </c>
      <c r="AI49" t="s">
        <v>36</v>
      </c>
      <c r="AJ49" t="s">
        <v>36</v>
      </c>
    </row>
    <row r="50" spans="1:36" x14ac:dyDescent="0.35">
      <c r="A50">
        <v>920</v>
      </c>
      <c r="B50" t="s">
        <v>868</v>
      </c>
      <c r="C50" s="1">
        <v>42713.375</v>
      </c>
      <c r="D50" s="1">
        <v>42087</v>
      </c>
      <c r="E50" t="s">
        <v>36</v>
      </c>
      <c r="F50" t="s">
        <v>36</v>
      </c>
      <c r="G50" t="s">
        <v>36</v>
      </c>
      <c r="H50" t="s">
        <v>36</v>
      </c>
      <c r="I50" t="s">
        <v>36</v>
      </c>
      <c r="J50" t="s">
        <v>36</v>
      </c>
      <c r="K50" s="1">
        <v>42692.493055555555</v>
      </c>
      <c r="L50" t="s">
        <v>36</v>
      </c>
      <c r="M50" s="1">
        <v>43348.625</v>
      </c>
      <c r="N50" s="1">
        <v>42735.993055555555</v>
      </c>
      <c r="O50" s="1">
        <v>42206.583333333336</v>
      </c>
      <c r="P50" t="s">
        <v>36</v>
      </c>
      <c r="Q50" t="s">
        <v>36</v>
      </c>
      <c r="R50" t="s">
        <v>36</v>
      </c>
      <c r="S50" t="s">
        <v>36</v>
      </c>
      <c r="T50" t="s">
        <v>36</v>
      </c>
      <c r="U50" t="s">
        <v>36</v>
      </c>
      <c r="V50" s="1">
        <v>42719.486111111109</v>
      </c>
      <c r="W50" s="1">
        <v>42735.993055555555</v>
      </c>
      <c r="X50" s="1">
        <v>42193.652777777781</v>
      </c>
      <c r="Y50" t="s">
        <v>36</v>
      </c>
      <c r="Z50" s="1">
        <v>42713.555555555555</v>
      </c>
      <c r="AA50" t="s">
        <v>36</v>
      </c>
      <c r="AB50" t="s">
        <v>36</v>
      </c>
      <c r="AC50" s="1">
        <v>42692.5</v>
      </c>
      <c r="AD50" s="1">
        <v>43009</v>
      </c>
      <c r="AE50" t="s">
        <v>36</v>
      </c>
      <c r="AF50" t="s">
        <v>36</v>
      </c>
      <c r="AG50" t="s">
        <v>36</v>
      </c>
      <c r="AH50" t="s">
        <v>36</v>
      </c>
      <c r="AI50" t="s">
        <v>36</v>
      </c>
      <c r="AJ50" t="s">
        <v>36</v>
      </c>
    </row>
    <row r="51" spans="1:36" x14ac:dyDescent="0.35">
      <c r="A51">
        <v>15</v>
      </c>
      <c r="B51" t="s">
        <v>50</v>
      </c>
      <c r="C51" t="s">
        <v>36</v>
      </c>
      <c r="D51" t="s">
        <v>36</v>
      </c>
      <c r="E51" t="s">
        <v>36</v>
      </c>
      <c r="F51" t="s">
        <v>36</v>
      </c>
      <c r="G51" t="s">
        <v>36</v>
      </c>
      <c r="H51" t="s">
        <v>36</v>
      </c>
      <c r="I51" t="s">
        <v>36</v>
      </c>
      <c r="J51" t="s">
        <v>36</v>
      </c>
      <c r="K51" t="s">
        <v>36</v>
      </c>
      <c r="L51" t="s">
        <v>36</v>
      </c>
      <c r="M51" t="s">
        <v>36</v>
      </c>
      <c r="N51" t="s">
        <v>36</v>
      </c>
      <c r="O51" t="s">
        <v>36</v>
      </c>
      <c r="P51" t="s">
        <v>36</v>
      </c>
      <c r="Q51" s="1">
        <v>40911.534722222219</v>
      </c>
      <c r="R51" t="s">
        <v>36</v>
      </c>
      <c r="S51" t="s">
        <v>36</v>
      </c>
      <c r="T51" t="s">
        <v>36</v>
      </c>
      <c r="U51" t="s">
        <v>36</v>
      </c>
      <c r="V51" t="s">
        <v>36</v>
      </c>
      <c r="W51" t="s">
        <v>36</v>
      </c>
      <c r="X51" t="s">
        <v>36</v>
      </c>
      <c r="Y51" t="s">
        <v>36</v>
      </c>
      <c r="Z51" t="s">
        <v>36</v>
      </c>
      <c r="AA51" t="s">
        <v>36</v>
      </c>
      <c r="AB51" t="s">
        <v>36</v>
      </c>
      <c r="AC51" t="s">
        <v>36</v>
      </c>
      <c r="AD51" t="s">
        <v>36</v>
      </c>
      <c r="AE51" t="s">
        <v>36</v>
      </c>
      <c r="AF51" t="s">
        <v>36</v>
      </c>
      <c r="AG51" t="s">
        <v>36</v>
      </c>
      <c r="AH51" t="s">
        <v>36</v>
      </c>
      <c r="AI51" t="s">
        <v>36</v>
      </c>
      <c r="AJ51" t="s">
        <v>36</v>
      </c>
    </row>
    <row r="52" spans="1:36" x14ac:dyDescent="0.35">
      <c r="A52">
        <v>3055</v>
      </c>
      <c r="B52" t="s">
        <v>920</v>
      </c>
      <c r="C52" t="s">
        <v>36</v>
      </c>
      <c r="D52" t="s">
        <v>36</v>
      </c>
      <c r="E52" t="s">
        <v>36</v>
      </c>
      <c r="F52" t="s">
        <v>36</v>
      </c>
      <c r="G52" t="s">
        <v>36</v>
      </c>
      <c r="H52" t="s">
        <v>36</v>
      </c>
      <c r="I52" t="s">
        <v>36</v>
      </c>
      <c r="J52" t="s">
        <v>36</v>
      </c>
      <c r="K52" t="s">
        <v>36</v>
      </c>
      <c r="L52" t="s">
        <v>36</v>
      </c>
      <c r="M52" t="s">
        <v>36</v>
      </c>
      <c r="N52" t="s">
        <v>36</v>
      </c>
      <c r="O52" t="s">
        <v>36</v>
      </c>
      <c r="P52" t="s">
        <v>36</v>
      </c>
      <c r="Q52" s="1">
        <v>43245.618055555555</v>
      </c>
      <c r="R52" t="s">
        <v>36</v>
      </c>
      <c r="S52" t="s">
        <v>36</v>
      </c>
      <c r="T52" t="s">
        <v>36</v>
      </c>
      <c r="U52" t="s">
        <v>36</v>
      </c>
      <c r="V52" t="s">
        <v>36</v>
      </c>
      <c r="W52" t="s">
        <v>36</v>
      </c>
      <c r="X52" t="s">
        <v>36</v>
      </c>
      <c r="Y52" t="s">
        <v>36</v>
      </c>
      <c r="Z52" t="s">
        <v>36</v>
      </c>
      <c r="AA52" t="s">
        <v>36</v>
      </c>
      <c r="AB52" t="s">
        <v>36</v>
      </c>
      <c r="AC52" t="s">
        <v>36</v>
      </c>
      <c r="AD52" t="s">
        <v>36</v>
      </c>
      <c r="AE52" t="s">
        <v>36</v>
      </c>
      <c r="AF52" t="s">
        <v>36</v>
      </c>
      <c r="AG52" t="s">
        <v>36</v>
      </c>
      <c r="AH52" t="s">
        <v>36</v>
      </c>
      <c r="AI52" t="s">
        <v>36</v>
      </c>
      <c r="AJ52" t="s">
        <v>36</v>
      </c>
    </row>
    <row r="53" spans="1:36" x14ac:dyDescent="0.35">
      <c r="A53">
        <v>3056</v>
      </c>
      <c r="B53" t="s">
        <v>921</v>
      </c>
      <c r="C53" t="s">
        <v>36</v>
      </c>
      <c r="D53" t="s">
        <v>36</v>
      </c>
      <c r="E53" t="s">
        <v>36</v>
      </c>
      <c r="F53" t="s">
        <v>36</v>
      </c>
      <c r="G53" t="s">
        <v>36</v>
      </c>
      <c r="H53" t="s">
        <v>36</v>
      </c>
      <c r="I53" t="s">
        <v>36</v>
      </c>
      <c r="J53" t="s">
        <v>36</v>
      </c>
      <c r="K53" t="s">
        <v>36</v>
      </c>
      <c r="L53" t="s">
        <v>36</v>
      </c>
      <c r="M53" t="s">
        <v>36</v>
      </c>
      <c r="N53" t="s">
        <v>36</v>
      </c>
      <c r="O53" t="s">
        <v>36</v>
      </c>
      <c r="P53" t="s">
        <v>36</v>
      </c>
      <c r="Q53" s="1">
        <v>43245.618055555555</v>
      </c>
      <c r="R53" t="s">
        <v>36</v>
      </c>
      <c r="S53" t="s">
        <v>36</v>
      </c>
      <c r="T53" t="s">
        <v>36</v>
      </c>
      <c r="U53" t="s">
        <v>36</v>
      </c>
      <c r="V53" t="s">
        <v>36</v>
      </c>
      <c r="W53" t="s">
        <v>36</v>
      </c>
      <c r="X53" t="s">
        <v>36</v>
      </c>
      <c r="Y53" t="s">
        <v>36</v>
      </c>
      <c r="Z53" t="s">
        <v>36</v>
      </c>
      <c r="AA53" t="s">
        <v>36</v>
      </c>
      <c r="AB53" t="s">
        <v>36</v>
      </c>
      <c r="AC53" t="s">
        <v>36</v>
      </c>
      <c r="AD53" t="s">
        <v>36</v>
      </c>
      <c r="AE53" t="s">
        <v>36</v>
      </c>
      <c r="AF53" t="s">
        <v>36</v>
      </c>
      <c r="AG53" t="s">
        <v>36</v>
      </c>
      <c r="AH53" t="s">
        <v>36</v>
      </c>
      <c r="AI53" t="s">
        <v>36</v>
      </c>
      <c r="AJ53" t="s">
        <v>36</v>
      </c>
    </row>
    <row r="54" spans="1:36" x14ac:dyDescent="0.35">
      <c r="A54">
        <v>3057</v>
      </c>
      <c r="B54" t="s">
        <v>922</v>
      </c>
      <c r="C54" t="s">
        <v>36</v>
      </c>
      <c r="D54" t="s">
        <v>36</v>
      </c>
      <c r="E54" t="s">
        <v>36</v>
      </c>
      <c r="F54" t="s">
        <v>36</v>
      </c>
      <c r="G54" t="s">
        <v>36</v>
      </c>
      <c r="H54" t="s">
        <v>36</v>
      </c>
      <c r="I54" t="s">
        <v>36</v>
      </c>
      <c r="J54" t="s">
        <v>36</v>
      </c>
      <c r="K54" t="s">
        <v>36</v>
      </c>
      <c r="L54" t="s">
        <v>36</v>
      </c>
      <c r="M54" t="s">
        <v>36</v>
      </c>
      <c r="N54" t="s">
        <v>36</v>
      </c>
      <c r="O54" t="s">
        <v>36</v>
      </c>
      <c r="P54" t="s">
        <v>36</v>
      </c>
      <c r="Q54" s="1">
        <v>43245.618055555555</v>
      </c>
      <c r="R54" t="s">
        <v>36</v>
      </c>
      <c r="S54" t="s">
        <v>36</v>
      </c>
      <c r="T54" t="s">
        <v>36</v>
      </c>
      <c r="U54" t="s">
        <v>36</v>
      </c>
      <c r="V54" t="s">
        <v>36</v>
      </c>
      <c r="W54" t="s">
        <v>36</v>
      </c>
      <c r="X54" t="s">
        <v>36</v>
      </c>
      <c r="Y54" t="s">
        <v>36</v>
      </c>
      <c r="Z54" t="s">
        <v>36</v>
      </c>
      <c r="AA54" t="s">
        <v>36</v>
      </c>
      <c r="AB54" t="s">
        <v>36</v>
      </c>
      <c r="AC54" t="s">
        <v>36</v>
      </c>
      <c r="AD54" t="s">
        <v>36</v>
      </c>
      <c r="AE54" t="s">
        <v>36</v>
      </c>
      <c r="AF54" t="s">
        <v>36</v>
      </c>
      <c r="AG54" t="s">
        <v>36</v>
      </c>
      <c r="AH54" t="s">
        <v>36</v>
      </c>
      <c r="AI54" t="s">
        <v>36</v>
      </c>
      <c r="AJ54" t="s">
        <v>36</v>
      </c>
    </row>
    <row r="55" spans="1:36" x14ac:dyDescent="0.35">
      <c r="A55">
        <v>12</v>
      </c>
      <c r="B55" t="s">
        <v>47</v>
      </c>
      <c r="C55" t="s">
        <v>36</v>
      </c>
      <c r="D55" t="s">
        <v>36</v>
      </c>
      <c r="E55" t="s">
        <v>36</v>
      </c>
      <c r="F55" t="s">
        <v>36</v>
      </c>
      <c r="G55" t="s">
        <v>36</v>
      </c>
      <c r="H55" t="s">
        <v>36</v>
      </c>
      <c r="I55" t="s">
        <v>36</v>
      </c>
      <c r="J55" t="s">
        <v>36</v>
      </c>
      <c r="K55" t="s">
        <v>36</v>
      </c>
      <c r="L55" t="s">
        <v>36</v>
      </c>
      <c r="M55" t="s">
        <v>36</v>
      </c>
      <c r="N55" t="s">
        <v>36</v>
      </c>
      <c r="O55" t="s">
        <v>36</v>
      </c>
      <c r="P55" t="s">
        <v>36</v>
      </c>
      <c r="Q55" s="1">
        <v>40911.534722222219</v>
      </c>
      <c r="R55" t="s">
        <v>36</v>
      </c>
      <c r="S55" t="s">
        <v>36</v>
      </c>
      <c r="T55" t="s">
        <v>36</v>
      </c>
      <c r="U55" t="s">
        <v>36</v>
      </c>
      <c r="V55" t="s">
        <v>36</v>
      </c>
      <c r="W55" t="s">
        <v>36</v>
      </c>
      <c r="X55" t="s">
        <v>36</v>
      </c>
      <c r="Y55" t="s">
        <v>36</v>
      </c>
      <c r="Z55" t="s">
        <v>36</v>
      </c>
      <c r="AA55" t="s">
        <v>36</v>
      </c>
      <c r="AB55" t="s">
        <v>36</v>
      </c>
      <c r="AC55" t="s">
        <v>36</v>
      </c>
      <c r="AD55" t="s">
        <v>36</v>
      </c>
      <c r="AE55" t="s">
        <v>36</v>
      </c>
      <c r="AF55" t="s">
        <v>36</v>
      </c>
      <c r="AG55" t="s">
        <v>36</v>
      </c>
      <c r="AH55" t="s">
        <v>36</v>
      </c>
      <c r="AI55" t="s">
        <v>36</v>
      </c>
      <c r="AJ55" t="s">
        <v>36</v>
      </c>
    </row>
    <row r="56" spans="1:36" x14ac:dyDescent="0.35">
      <c r="A56">
        <v>4395</v>
      </c>
      <c r="B56" t="s">
        <v>1176</v>
      </c>
      <c r="C56" t="s">
        <v>36</v>
      </c>
      <c r="D56" t="s">
        <v>36</v>
      </c>
      <c r="E56" t="s">
        <v>36</v>
      </c>
      <c r="F56" t="s">
        <v>36</v>
      </c>
      <c r="G56" t="s">
        <v>36</v>
      </c>
      <c r="H56" t="s">
        <v>36</v>
      </c>
      <c r="I56" t="s">
        <v>36</v>
      </c>
      <c r="J56" t="s">
        <v>36</v>
      </c>
      <c r="K56" t="s">
        <v>36</v>
      </c>
      <c r="L56" t="s">
        <v>36</v>
      </c>
      <c r="M56" t="s">
        <v>36</v>
      </c>
      <c r="N56" t="s">
        <v>36</v>
      </c>
      <c r="O56" t="s">
        <v>36</v>
      </c>
      <c r="P56" t="s">
        <v>36</v>
      </c>
      <c r="Q56" s="1">
        <v>43857.791666666664</v>
      </c>
      <c r="R56" t="s">
        <v>36</v>
      </c>
      <c r="S56" t="s">
        <v>36</v>
      </c>
      <c r="T56" t="s">
        <v>36</v>
      </c>
      <c r="U56" t="s">
        <v>36</v>
      </c>
      <c r="V56" t="s">
        <v>36</v>
      </c>
      <c r="W56" t="s">
        <v>36</v>
      </c>
      <c r="X56" t="s">
        <v>36</v>
      </c>
      <c r="Y56" t="s">
        <v>36</v>
      </c>
      <c r="Z56" t="s">
        <v>36</v>
      </c>
      <c r="AA56" t="s">
        <v>36</v>
      </c>
      <c r="AB56" t="s">
        <v>36</v>
      </c>
      <c r="AC56" t="s">
        <v>36</v>
      </c>
      <c r="AD56" t="s">
        <v>36</v>
      </c>
      <c r="AE56" t="s">
        <v>36</v>
      </c>
      <c r="AF56" t="s">
        <v>36</v>
      </c>
      <c r="AG56" t="s">
        <v>36</v>
      </c>
      <c r="AH56" t="s">
        <v>36</v>
      </c>
      <c r="AI56" t="s">
        <v>36</v>
      </c>
      <c r="AJ56" t="s">
        <v>36</v>
      </c>
    </row>
    <row r="57" spans="1:36" x14ac:dyDescent="0.35">
      <c r="A57">
        <v>4396</v>
      </c>
      <c r="B57" t="s">
        <v>1177</v>
      </c>
      <c r="C57" t="s">
        <v>36</v>
      </c>
      <c r="D57" t="s">
        <v>36</v>
      </c>
      <c r="E57" t="s">
        <v>36</v>
      </c>
      <c r="F57" t="s">
        <v>36</v>
      </c>
      <c r="G57" t="s">
        <v>36</v>
      </c>
      <c r="H57" t="s">
        <v>36</v>
      </c>
      <c r="I57" t="s">
        <v>36</v>
      </c>
      <c r="J57" t="s">
        <v>36</v>
      </c>
      <c r="K57" t="s">
        <v>36</v>
      </c>
      <c r="L57" t="s">
        <v>36</v>
      </c>
      <c r="M57" t="s">
        <v>36</v>
      </c>
      <c r="N57" t="s">
        <v>36</v>
      </c>
      <c r="O57" t="s">
        <v>36</v>
      </c>
      <c r="P57" t="s">
        <v>36</v>
      </c>
      <c r="Q57" s="1">
        <v>43857.791666666664</v>
      </c>
      <c r="R57" t="s">
        <v>36</v>
      </c>
      <c r="S57" t="s">
        <v>36</v>
      </c>
      <c r="T57" t="s">
        <v>36</v>
      </c>
      <c r="U57" t="s">
        <v>36</v>
      </c>
      <c r="V57" t="s">
        <v>36</v>
      </c>
      <c r="W57" t="s">
        <v>36</v>
      </c>
      <c r="X57" t="s">
        <v>36</v>
      </c>
      <c r="Y57" t="s">
        <v>36</v>
      </c>
      <c r="Z57" t="s">
        <v>36</v>
      </c>
      <c r="AA57" t="s">
        <v>36</v>
      </c>
      <c r="AB57" t="s">
        <v>36</v>
      </c>
      <c r="AC57" t="s">
        <v>36</v>
      </c>
      <c r="AD57" t="s">
        <v>36</v>
      </c>
      <c r="AE57" t="s">
        <v>36</v>
      </c>
      <c r="AF57" t="s">
        <v>36</v>
      </c>
      <c r="AG57" t="s">
        <v>36</v>
      </c>
      <c r="AH57" t="s">
        <v>36</v>
      </c>
      <c r="AI57" t="s">
        <v>36</v>
      </c>
      <c r="AJ57" t="s">
        <v>36</v>
      </c>
    </row>
    <row r="58" spans="1:36" x14ac:dyDescent="0.35">
      <c r="A58">
        <v>4397</v>
      </c>
      <c r="B58" t="s">
        <v>1178</v>
      </c>
      <c r="C58" t="s">
        <v>36</v>
      </c>
      <c r="D58" t="s">
        <v>36</v>
      </c>
      <c r="E58" t="s">
        <v>36</v>
      </c>
      <c r="F58" t="s">
        <v>36</v>
      </c>
      <c r="G58" t="s">
        <v>36</v>
      </c>
      <c r="H58" t="s">
        <v>36</v>
      </c>
      <c r="I58" t="s">
        <v>36</v>
      </c>
      <c r="J58" t="s">
        <v>36</v>
      </c>
      <c r="K58" t="s">
        <v>36</v>
      </c>
      <c r="L58" t="s">
        <v>36</v>
      </c>
      <c r="M58" t="s">
        <v>36</v>
      </c>
      <c r="N58" t="s">
        <v>36</v>
      </c>
      <c r="O58" t="s">
        <v>36</v>
      </c>
      <c r="P58" t="s">
        <v>36</v>
      </c>
      <c r="Q58" s="1">
        <v>43857.791666666664</v>
      </c>
      <c r="R58" t="s">
        <v>36</v>
      </c>
      <c r="S58" t="s">
        <v>36</v>
      </c>
      <c r="T58" t="s">
        <v>36</v>
      </c>
      <c r="U58" t="s">
        <v>36</v>
      </c>
      <c r="V58" t="s">
        <v>36</v>
      </c>
      <c r="W58" t="s">
        <v>36</v>
      </c>
      <c r="X58" t="s">
        <v>36</v>
      </c>
      <c r="Y58" t="s">
        <v>36</v>
      </c>
      <c r="Z58" t="s">
        <v>36</v>
      </c>
      <c r="AA58" t="s">
        <v>36</v>
      </c>
      <c r="AB58" t="s">
        <v>36</v>
      </c>
      <c r="AC58" t="s">
        <v>36</v>
      </c>
      <c r="AD58" t="s">
        <v>36</v>
      </c>
      <c r="AE58" t="s">
        <v>36</v>
      </c>
      <c r="AF58" t="s">
        <v>36</v>
      </c>
      <c r="AG58" t="s">
        <v>36</v>
      </c>
      <c r="AH58" t="s">
        <v>36</v>
      </c>
      <c r="AI58" t="s">
        <v>36</v>
      </c>
      <c r="AJ58" t="s">
        <v>36</v>
      </c>
    </row>
    <row r="59" spans="1:36" x14ac:dyDescent="0.35">
      <c r="A59">
        <v>18</v>
      </c>
      <c r="B59" t="s">
        <v>53</v>
      </c>
      <c r="C59" t="s">
        <v>36</v>
      </c>
      <c r="D59" t="s">
        <v>36</v>
      </c>
      <c r="E59" t="s">
        <v>36</v>
      </c>
      <c r="F59" t="s">
        <v>36</v>
      </c>
      <c r="G59" t="s">
        <v>36</v>
      </c>
      <c r="H59" t="s">
        <v>36</v>
      </c>
      <c r="I59" t="s">
        <v>36</v>
      </c>
      <c r="J59" t="s">
        <v>36</v>
      </c>
      <c r="K59" t="s">
        <v>36</v>
      </c>
      <c r="L59" t="s">
        <v>36</v>
      </c>
      <c r="M59" t="s">
        <v>36</v>
      </c>
      <c r="N59" t="s">
        <v>36</v>
      </c>
      <c r="O59" t="s">
        <v>36</v>
      </c>
      <c r="P59" t="s">
        <v>36</v>
      </c>
      <c r="Q59" s="1">
        <v>40911.534722222219</v>
      </c>
      <c r="R59" t="s">
        <v>36</v>
      </c>
      <c r="S59" t="s">
        <v>36</v>
      </c>
      <c r="T59" t="s">
        <v>36</v>
      </c>
      <c r="U59" t="s">
        <v>36</v>
      </c>
      <c r="V59" t="s">
        <v>36</v>
      </c>
      <c r="W59" t="s">
        <v>36</v>
      </c>
      <c r="X59" t="s">
        <v>36</v>
      </c>
      <c r="Y59" t="s">
        <v>36</v>
      </c>
      <c r="Z59" t="s">
        <v>36</v>
      </c>
      <c r="AA59" t="s">
        <v>36</v>
      </c>
      <c r="AB59" t="s">
        <v>36</v>
      </c>
      <c r="AC59" t="s">
        <v>36</v>
      </c>
      <c r="AD59" t="s">
        <v>36</v>
      </c>
      <c r="AE59" t="s">
        <v>36</v>
      </c>
      <c r="AF59" t="s">
        <v>36</v>
      </c>
      <c r="AG59" t="s">
        <v>36</v>
      </c>
      <c r="AH59" t="s">
        <v>36</v>
      </c>
      <c r="AI59" t="s">
        <v>36</v>
      </c>
      <c r="AJ59" t="s">
        <v>36</v>
      </c>
    </row>
    <row r="60" spans="1:36" x14ac:dyDescent="0.35">
      <c r="A60">
        <v>4203</v>
      </c>
      <c r="B60" t="s">
        <v>1053</v>
      </c>
      <c r="C60" t="s">
        <v>36</v>
      </c>
      <c r="D60" t="s">
        <v>36</v>
      </c>
      <c r="E60" t="s">
        <v>36</v>
      </c>
      <c r="F60" t="s">
        <v>36</v>
      </c>
      <c r="G60" t="s">
        <v>36</v>
      </c>
      <c r="H60" t="s">
        <v>36</v>
      </c>
      <c r="I60" t="s">
        <v>36</v>
      </c>
      <c r="J60" t="s">
        <v>36</v>
      </c>
      <c r="K60" t="s">
        <v>36</v>
      </c>
      <c r="L60" t="s">
        <v>36</v>
      </c>
      <c r="M60" t="s">
        <v>36</v>
      </c>
      <c r="N60" t="s">
        <v>36</v>
      </c>
      <c r="O60" t="s">
        <v>36</v>
      </c>
      <c r="P60" t="s">
        <v>36</v>
      </c>
      <c r="Q60" s="1">
        <v>43856.479166666664</v>
      </c>
      <c r="R60" t="s">
        <v>36</v>
      </c>
      <c r="S60" t="s">
        <v>36</v>
      </c>
      <c r="T60" t="s">
        <v>36</v>
      </c>
      <c r="U60" t="s">
        <v>36</v>
      </c>
      <c r="V60" t="s">
        <v>36</v>
      </c>
      <c r="W60" t="s">
        <v>36</v>
      </c>
      <c r="X60" t="s">
        <v>36</v>
      </c>
      <c r="Y60" t="s">
        <v>36</v>
      </c>
      <c r="Z60" t="s">
        <v>36</v>
      </c>
      <c r="AA60" t="s">
        <v>36</v>
      </c>
      <c r="AB60" t="s">
        <v>36</v>
      </c>
      <c r="AC60" t="s">
        <v>36</v>
      </c>
      <c r="AD60" t="s">
        <v>36</v>
      </c>
      <c r="AE60" t="s">
        <v>36</v>
      </c>
      <c r="AF60" t="s">
        <v>36</v>
      </c>
      <c r="AG60" t="s">
        <v>36</v>
      </c>
      <c r="AH60" t="s">
        <v>36</v>
      </c>
      <c r="AI60" t="s">
        <v>36</v>
      </c>
      <c r="AJ60" t="s">
        <v>36</v>
      </c>
    </row>
    <row r="61" spans="1:36" x14ac:dyDescent="0.35">
      <c r="A61">
        <v>4204</v>
      </c>
      <c r="B61" t="s">
        <v>1054</v>
      </c>
      <c r="C61" t="s">
        <v>36</v>
      </c>
      <c r="D61" t="s">
        <v>36</v>
      </c>
      <c r="E61" t="s">
        <v>36</v>
      </c>
      <c r="F61" t="s">
        <v>36</v>
      </c>
      <c r="G61" t="s">
        <v>36</v>
      </c>
      <c r="H61" t="s">
        <v>36</v>
      </c>
      <c r="I61" t="s">
        <v>36</v>
      </c>
      <c r="J61" t="s">
        <v>36</v>
      </c>
      <c r="K61" t="s">
        <v>36</v>
      </c>
      <c r="L61" t="s">
        <v>36</v>
      </c>
      <c r="M61" t="s">
        <v>36</v>
      </c>
      <c r="N61" t="s">
        <v>36</v>
      </c>
      <c r="O61" t="s">
        <v>36</v>
      </c>
      <c r="P61" t="s">
        <v>36</v>
      </c>
      <c r="Q61" s="1">
        <v>43856.479166666664</v>
      </c>
      <c r="R61" t="s">
        <v>36</v>
      </c>
      <c r="S61" t="s">
        <v>36</v>
      </c>
      <c r="T61" t="s">
        <v>36</v>
      </c>
      <c r="U61" t="s">
        <v>36</v>
      </c>
      <c r="V61" t="s">
        <v>36</v>
      </c>
      <c r="W61" t="s">
        <v>36</v>
      </c>
      <c r="X61" t="s">
        <v>36</v>
      </c>
      <c r="Y61" t="s">
        <v>36</v>
      </c>
      <c r="Z61" t="s">
        <v>36</v>
      </c>
      <c r="AA61" t="s">
        <v>36</v>
      </c>
      <c r="AB61" t="s">
        <v>36</v>
      </c>
      <c r="AC61" t="s">
        <v>36</v>
      </c>
      <c r="AD61" t="s">
        <v>36</v>
      </c>
      <c r="AE61" t="s">
        <v>36</v>
      </c>
      <c r="AF61" t="s">
        <v>36</v>
      </c>
      <c r="AG61" t="s">
        <v>36</v>
      </c>
      <c r="AH61" t="s">
        <v>36</v>
      </c>
      <c r="AI61" t="s">
        <v>36</v>
      </c>
      <c r="AJ61" t="s">
        <v>36</v>
      </c>
    </row>
    <row r="62" spans="1:36" x14ac:dyDescent="0.35">
      <c r="A62">
        <v>4205</v>
      </c>
      <c r="B62" t="s">
        <v>1055</v>
      </c>
      <c r="C62" t="s">
        <v>36</v>
      </c>
      <c r="D62" t="s">
        <v>36</v>
      </c>
      <c r="E62" t="s">
        <v>36</v>
      </c>
      <c r="F62" t="s">
        <v>36</v>
      </c>
      <c r="G62" t="s">
        <v>36</v>
      </c>
      <c r="H62" t="s">
        <v>36</v>
      </c>
      <c r="I62" t="s">
        <v>36</v>
      </c>
      <c r="J62" t="s">
        <v>36</v>
      </c>
      <c r="K62" t="s">
        <v>36</v>
      </c>
      <c r="L62" t="s">
        <v>36</v>
      </c>
      <c r="M62" t="s">
        <v>36</v>
      </c>
      <c r="N62" t="s">
        <v>36</v>
      </c>
      <c r="O62" t="s">
        <v>36</v>
      </c>
      <c r="P62" t="s">
        <v>36</v>
      </c>
      <c r="Q62" s="1">
        <v>43856.479166666664</v>
      </c>
      <c r="R62" t="s">
        <v>36</v>
      </c>
      <c r="S62" t="s">
        <v>36</v>
      </c>
      <c r="T62" t="s">
        <v>36</v>
      </c>
      <c r="U62" t="s">
        <v>36</v>
      </c>
      <c r="V62" t="s">
        <v>36</v>
      </c>
      <c r="W62" t="s">
        <v>36</v>
      </c>
      <c r="X62" t="s">
        <v>36</v>
      </c>
      <c r="Y62" t="s">
        <v>36</v>
      </c>
      <c r="Z62" t="s">
        <v>36</v>
      </c>
      <c r="AA62" t="s">
        <v>36</v>
      </c>
      <c r="AB62" t="s">
        <v>36</v>
      </c>
      <c r="AC62" t="s">
        <v>36</v>
      </c>
      <c r="AD62" t="s">
        <v>36</v>
      </c>
      <c r="AE62" t="s">
        <v>36</v>
      </c>
      <c r="AF62" t="s">
        <v>36</v>
      </c>
      <c r="AG62" t="s">
        <v>36</v>
      </c>
      <c r="AH62" t="s">
        <v>36</v>
      </c>
      <c r="AI62" t="s">
        <v>36</v>
      </c>
      <c r="AJ62" t="s">
        <v>36</v>
      </c>
    </row>
    <row r="63" spans="1:36" x14ac:dyDescent="0.35">
      <c r="A63">
        <v>16</v>
      </c>
      <c r="B63" t="s">
        <v>51</v>
      </c>
      <c r="C63" t="s">
        <v>36</v>
      </c>
      <c r="D63" t="s">
        <v>36</v>
      </c>
      <c r="E63" t="s">
        <v>36</v>
      </c>
      <c r="F63" t="s">
        <v>36</v>
      </c>
      <c r="G63" t="s">
        <v>36</v>
      </c>
      <c r="H63" t="s">
        <v>36</v>
      </c>
      <c r="I63" t="s">
        <v>36</v>
      </c>
      <c r="J63" t="s">
        <v>36</v>
      </c>
      <c r="K63" t="s">
        <v>36</v>
      </c>
      <c r="L63" t="s">
        <v>36</v>
      </c>
      <c r="M63" t="s">
        <v>36</v>
      </c>
      <c r="N63" t="s">
        <v>36</v>
      </c>
      <c r="O63" t="s">
        <v>36</v>
      </c>
      <c r="P63" t="s">
        <v>36</v>
      </c>
      <c r="Q63" s="1">
        <v>40911.534722222219</v>
      </c>
      <c r="R63" t="s">
        <v>36</v>
      </c>
      <c r="S63" t="s">
        <v>36</v>
      </c>
      <c r="T63" t="s">
        <v>36</v>
      </c>
      <c r="U63" t="s">
        <v>36</v>
      </c>
      <c r="V63" t="s">
        <v>36</v>
      </c>
      <c r="W63" t="s">
        <v>36</v>
      </c>
      <c r="X63" t="s">
        <v>36</v>
      </c>
      <c r="Y63" t="s">
        <v>36</v>
      </c>
      <c r="Z63" t="s">
        <v>36</v>
      </c>
      <c r="AA63" t="s">
        <v>36</v>
      </c>
      <c r="AB63" t="s">
        <v>36</v>
      </c>
      <c r="AC63" t="s">
        <v>36</v>
      </c>
      <c r="AD63" t="s">
        <v>36</v>
      </c>
      <c r="AE63" t="s">
        <v>36</v>
      </c>
      <c r="AF63" t="s">
        <v>36</v>
      </c>
      <c r="AG63" t="s">
        <v>36</v>
      </c>
      <c r="AH63" t="s">
        <v>36</v>
      </c>
      <c r="AI63" t="s">
        <v>36</v>
      </c>
      <c r="AJ63" t="s">
        <v>36</v>
      </c>
    </row>
    <row r="64" spans="1:36" x14ac:dyDescent="0.35">
      <c r="A64">
        <v>3058</v>
      </c>
      <c r="B64" t="s">
        <v>923</v>
      </c>
      <c r="C64" t="s">
        <v>36</v>
      </c>
      <c r="D64" t="s">
        <v>36</v>
      </c>
      <c r="E64" t="s">
        <v>36</v>
      </c>
      <c r="F64" t="s">
        <v>36</v>
      </c>
      <c r="G64" t="s">
        <v>36</v>
      </c>
      <c r="H64" t="s">
        <v>36</v>
      </c>
      <c r="I64" t="s">
        <v>36</v>
      </c>
      <c r="J64" t="s">
        <v>36</v>
      </c>
      <c r="K64" t="s">
        <v>36</v>
      </c>
      <c r="L64" t="s">
        <v>36</v>
      </c>
      <c r="M64" t="s">
        <v>36</v>
      </c>
      <c r="N64" t="s">
        <v>36</v>
      </c>
      <c r="O64" t="s">
        <v>36</v>
      </c>
      <c r="P64" t="s">
        <v>36</v>
      </c>
      <c r="Q64" s="1">
        <v>43245.618055555555</v>
      </c>
      <c r="R64" t="s">
        <v>36</v>
      </c>
      <c r="S64" t="s">
        <v>36</v>
      </c>
      <c r="T64" t="s">
        <v>36</v>
      </c>
      <c r="U64" t="s">
        <v>36</v>
      </c>
      <c r="V64" t="s">
        <v>36</v>
      </c>
      <c r="W64" t="s">
        <v>36</v>
      </c>
      <c r="X64" t="s">
        <v>36</v>
      </c>
      <c r="Y64" t="s">
        <v>36</v>
      </c>
      <c r="Z64" t="s">
        <v>36</v>
      </c>
      <c r="AA64" t="s">
        <v>36</v>
      </c>
      <c r="AB64" t="s">
        <v>36</v>
      </c>
      <c r="AC64" t="s">
        <v>36</v>
      </c>
      <c r="AD64" t="s">
        <v>36</v>
      </c>
      <c r="AE64" t="s">
        <v>36</v>
      </c>
      <c r="AF64" t="s">
        <v>36</v>
      </c>
      <c r="AG64" t="s">
        <v>36</v>
      </c>
      <c r="AH64" t="s">
        <v>36</v>
      </c>
      <c r="AI64" t="s">
        <v>36</v>
      </c>
      <c r="AJ64" t="s">
        <v>36</v>
      </c>
    </row>
    <row r="65" spans="1:36" x14ac:dyDescent="0.35">
      <c r="A65">
        <v>3059</v>
      </c>
      <c r="B65" t="s">
        <v>924</v>
      </c>
      <c r="C65" t="s">
        <v>36</v>
      </c>
      <c r="D65" t="s">
        <v>36</v>
      </c>
      <c r="E65" t="s">
        <v>36</v>
      </c>
      <c r="F65" t="s">
        <v>36</v>
      </c>
      <c r="G65" t="s">
        <v>36</v>
      </c>
      <c r="H65" t="s">
        <v>36</v>
      </c>
      <c r="I65" t="s">
        <v>36</v>
      </c>
      <c r="J65" t="s">
        <v>36</v>
      </c>
      <c r="K65" t="s">
        <v>36</v>
      </c>
      <c r="L65" t="s">
        <v>36</v>
      </c>
      <c r="M65" t="s">
        <v>36</v>
      </c>
      <c r="N65" t="s">
        <v>36</v>
      </c>
      <c r="O65" t="s">
        <v>36</v>
      </c>
      <c r="P65" t="s">
        <v>36</v>
      </c>
      <c r="Q65" s="1">
        <v>43245.618055555555</v>
      </c>
      <c r="R65" t="s">
        <v>36</v>
      </c>
      <c r="S65" t="s">
        <v>36</v>
      </c>
      <c r="T65" t="s">
        <v>36</v>
      </c>
      <c r="U65" t="s">
        <v>36</v>
      </c>
      <c r="V65" t="s">
        <v>36</v>
      </c>
      <c r="W65" t="s">
        <v>36</v>
      </c>
      <c r="X65" t="s">
        <v>36</v>
      </c>
      <c r="Y65" t="s">
        <v>36</v>
      </c>
      <c r="Z65" t="s">
        <v>36</v>
      </c>
      <c r="AA65" t="s">
        <v>36</v>
      </c>
      <c r="AB65" t="s">
        <v>36</v>
      </c>
      <c r="AC65" t="s">
        <v>36</v>
      </c>
      <c r="AD65" t="s">
        <v>36</v>
      </c>
      <c r="AE65" t="s">
        <v>36</v>
      </c>
      <c r="AF65" t="s">
        <v>36</v>
      </c>
      <c r="AG65" t="s">
        <v>36</v>
      </c>
      <c r="AH65" t="s">
        <v>36</v>
      </c>
      <c r="AI65" t="s">
        <v>36</v>
      </c>
      <c r="AJ65" t="s">
        <v>36</v>
      </c>
    </row>
    <row r="66" spans="1:36" x14ac:dyDescent="0.35">
      <c r="A66">
        <v>3060</v>
      </c>
      <c r="B66" t="s">
        <v>925</v>
      </c>
      <c r="C66" t="s">
        <v>36</v>
      </c>
      <c r="D66" t="s">
        <v>36</v>
      </c>
      <c r="E66" t="s">
        <v>36</v>
      </c>
      <c r="F66" t="s">
        <v>36</v>
      </c>
      <c r="G66" t="s">
        <v>36</v>
      </c>
      <c r="H66" t="s">
        <v>36</v>
      </c>
      <c r="I66" t="s">
        <v>36</v>
      </c>
      <c r="J66" t="s">
        <v>36</v>
      </c>
      <c r="K66" t="s">
        <v>36</v>
      </c>
      <c r="L66" t="s">
        <v>36</v>
      </c>
      <c r="M66" t="s">
        <v>36</v>
      </c>
      <c r="N66" t="s">
        <v>36</v>
      </c>
      <c r="O66" t="s">
        <v>36</v>
      </c>
      <c r="P66" t="s">
        <v>36</v>
      </c>
      <c r="Q66" s="1">
        <v>43448.465277777781</v>
      </c>
      <c r="R66" t="s">
        <v>36</v>
      </c>
      <c r="S66" t="s">
        <v>36</v>
      </c>
      <c r="T66" t="s">
        <v>36</v>
      </c>
      <c r="U66" t="s">
        <v>36</v>
      </c>
      <c r="V66" t="s">
        <v>36</v>
      </c>
      <c r="W66" t="s">
        <v>36</v>
      </c>
      <c r="X66" t="s">
        <v>36</v>
      </c>
      <c r="Y66" t="s">
        <v>36</v>
      </c>
      <c r="Z66" t="s">
        <v>36</v>
      </c>
      <c r="AA66" t="s">
        <v>36</v>
      </c>
      <c r="AB66" t="s">
        <v>36</v>
      </c>
      <c r="AC66" t="s">
        <v>36</v>
      </c>
      <c r="AD66" t="s">
        <v>36</v>
      </c>
      <c r="AE66" t="s">
        <v>36</v>
      </c>
      <c r="AF66" t="s">
        <v>36</v>
      </c>
      <c r="AG66" t="s">
        <v>36</v>
      </c>
      <c r="AH66" t="s">
        <v>36</v>
      </c>
      <c r="AI66" t="s">
        <v>36</v>
      </c>
      <c r="AJ66" t="s">
        <v>36</v>
      </c>
    </row>
    <row r="67" spans="1:36" x14ac:dyDescent="0.35">
      <c r="A67">
        <v>13</v>
      </c>
      <c r="B67" t="s">
        <v>48</v>
      </c>
      <c r="C67" t="s">
        <v>36</v>
      </c>
      <c r="D67" t="s">
        <v>36</v>
      </c>
      <c r="E67" t="s">
        <v>36</v>
      </c>
      <c r="F67" t="s">
        <v>36</v>
      </c>
      <c r="G67" t="s">
        <v>36</v>
      </c>
      <c r="H67" t="s">
        <v>36</v>
      </c>
      <c r="I67" t="s">
        <v>36</v>
      </c>
      <c r="J67" t="s">
        <v>36</v>
      </c>
      <c r="K67" t="s">
        <v>36</v>
      </c>
      <c r="L67" t="s">
        <v>36</v>
      </c>
      <c r="M67" t="s">
        <v>36</v>
      </c>
      <c r="N67" t="s">
        <v>36</v>
      </c>
      <c r="O67" t="s">
        <v>36</v>
      </c>
      <c r="P67" t="s">
        <v>36</v>
      </c>
      <c r="Q67" s="1">
        <v>40911.534722222219</v>
      </c>
      <c r="R67" t="s">
        <v>36</v>
      </c>
      <c r="S67" t="s">
        <v>36</v>
      </c>
      <c r="T67" t="s">
        <v>36</v>
      </c>
      <c r="U67" t="s">
        <v>36</v>
      </c>
      <c r="V67" t="s">
        <v>36</v>
      </c>
      <c r="W67" t="s">
        <v>36</v>
      </c>
      <c r="X67" t="s">
        <v>36</v>
      </c>
      <c r="Y67" t="s">
        <v>36</v>
      </c>
      <c r="Z67" t="s">
        <v>36</v>
      </c>
      <c r="AA67" t="s">
        <v>36</v>
      </c>
      <c r="AB67" t="s">
        <v>36</v>
      </c>
      <c r="AC67" t="s">
        <v>36</v>
      </c>
      <c r="AD67" t="s">
        <v>36</v>
      </c>
      <c r="AE67" t="s">
        <v>36</v>
      </c>
      <c r="AF67" t="s">
        <v>36</v>
      </c>
      <c r="AG67" t="s">
        <v>36</v>
      </c>
      <c r="AH67" t="s">
        <v>36</v>
      </c>
      <c r="AI67" t="s">
        <v>36</v>
      </c>
      <c r="AJ67" t="s">
        <v>36</v>
      </c>
    </row>
    <row r="68" spans="1:36" x14ac:dyDescent="0.35">
      <c r="A68">
        <v>4398</v>
      </c>
      <c r="B68" t="s">
        <v>1179</v>
      </c>
      <c r="C68" t="s">
        <v>36</v>
      </c>
      <c r="D68" t="s">
        <v>36</v>
      </c>
      <c r="E68" t="s">
        <v>36</v>
      </c>
      <c r="F68" t="s">
        <v>36</v>
      </c>
      <c r="G68" t="s">
        <v>36</v>
      </c>
      <c r="H68" t="s">
        <v>36</v>
      </c>
      <c r="I68" t="s">
        <v>36</v>
      </c>
      <c r="J68" t="s">
        <v>36</v>
      </c>
      <c r="K68" t="s">
        <v>36</v>
      </c>
      <c r="L68" t="s">
        <v>36</v>
      </c>
      <c r="M68" t="s">
        <v>36</v>
      </c>
      <c r="N68" t="s">
        <v>36</v>
      </c>
      <c r="O68" t="s">
        <v>36</v>
      </c>
      <c r="P68" t="s">
        <v>36</v>
      </c>
      <c r="Q68" s="1">
        <v>43857.791666666664</v>
      </c>
      <c r="R68" t="s">
        <v>36</v>
      </c>
      <c r="S68" t="s">
        <v>36</v>
      </c>
      <c r="T68" t="s">
        <v>36</v>
      </c>
      <c r="U68" t="s">
        <v>36</v>
      </c>
      <c r="V68" t="s">
        <v>36</v>
      </c>
      <c r="W68" t="s">
        <v>36</v>
      </c>
      <c r="X68" t="s">
        <v>36</v>
      </c>
      <c r="Y68" t="s">
        <v>36</v>
      </c>
      <c r="Z68" t="s">
        <v>36</v>
      </c>
      <c r="AA68" t="s">
        <v>36</v>
      </c>
      <c r="AB68" t="s">
        <v>36</v>
      </c>
      <c r="AC68" t="s">
        <v>36</v>
      </c>
      <c r="AD68" t="s">
        <v>36</v>
      </c>
      <c r="AE68" t="s">
        <v>36</v>
      </c>
      <c r="AF68" t="s">
        <v>36</v>
      </c>
      <c r="AG68" t="s">
        <v>36</v>
      </c>
      <c r="AH68" t="s">
        <v>36</v>
      </c>
      <c r="AI68" t="s">
        <v>36</v>
      </c>
      <c r="AJ68" t="s">
        <v>36</v>
      </c>
    </row>
    <row r="69" spans="1:36" x14ac:dyDescent="0.35">
      <c r="A69">
        <v>4399</v>
      </c>
      <c r="B69" t="s">
        <v>1180</v>
      </c>
      <c r="C69" t="s">
        <v>36</v>
      </c>
      <c r="D69" t="s">
        <v>36</v>
      </c>
      <c r="E69" t="s">
        <v>36</v>
      </c>
      <c r="F69" t="s">
        <v>36</v>
      </c>
      <c r="G69" t="s">
        <v>36</v>
      </c>
      <c r="H69" t="s">
        <v>36</v>
      </c>
      <c r="I69" t="s">
        <v>36</v>
      </c>
      <c r="J69" t="s">
        <v>36</v>
      </c>
      <c r="K69" t="s">
        <v>36</v>
      </c>
      <c r="L69" t="s">
        <v>36</v>
      </c>
      <c r="M69" t="s">
        <v>36</v>
      </c>
      <c r="N69" t="s">
        <v>36</v>
      </c>
      <c r="O69" t="s">
        <v>36</v>
      </c>
      <c r="P69" t="s">
        <v>36</v>
      </c>
      <c r="Q69" s="1">
        <v>43857.791666666664</v>
      </c>
      <c r="R69" t="s">
        <v>36</v>
      </c>
      <c r="S69" t="s">
        <v>36</v>
      </c>
      <c r="T69" t="s">
        <v>36</v>
      </c>
      <c r="U69" t="s">
        <v>36</v>
      </c>
      <c r="V69" t="s">
        <v>36</v>
      </c>
      <c r="W69" t="s">
        <v>36</v>
      </c>
      <c r="X69" t="s">
        <v>36</v>
      </c>
      <c r="Y69" t="s">
        <v>36</v>
      </c>
      <c r="Z69" t="s">
        <v>36</v>
      </c>
      <c r="AA69" t="s">
        <v>36</v>
      </c>
      <c r="AB69" t="s">
        <v>36</v>
      </c>
      <c r="AC69" t="s">
        <v>36</v>
      </c>
      <c r="AD69" t="s">
        <v>36</v>
      </c>
      <c r="AE69" t="s">
        <v>36</v>
      </c>
      <c r="AF69" t="s">
        <v>36</v>
      </c>
      <c r="AG69" t="s">
        <v>36</v>
      </c>
      <c r="AH69" t="s">
        <v>36</v>
      </c>
      <c r="AI69" t="s">
        <v>36</v>
      </c>
      <c r="AJ69" t="s">
        <v>36</v>
      </c>
    </row>
    <row r="70" spans="1:36" x14ac:dyDescent="0.35">
      <c r="A70">
        <v>4400</v>
      </c>
      <c r="B70" t="s">
        <v>1181</v>
      </c>
      <c r="C70" t="s">
        <v>36</v>
      </c>
      <c r="D70" t="s">
        <v>36</v>
      </c>
      <c r="E70" t="s">
        <v>36</v>
      </c>
      <c r="F70" t="s">
        <v>36</v>
      </c>
      <c r="G70" t="s">
        <v>36</v>
      </c>
      <c r="H70" t="s">
        <v>36</v>
      </c>
      <c r="I70" t="s">
        <v>36</v>
      </c>
      <c r="J70" t="s">
        <v>36</v>
      </c>
      <c r="K70" t="s">
        <v>36</v>
      </c>
      <c r="L70" t="s">
        <v>36</v>
      </c>
      <c r="M70" t="s">
        <v>36</v>
      </c>
      <c r="N70" t="s">
        <v>36</v>
      </c>
      <c r="O70" t="s">
        <v>36</v>
      </c>
      <c r="P70" t="s">
        <v>36</v>
      </c>
      <c r="Q70" s="1">
        <v>43857.791666666664</v>
      </c>
      <c r="R70" t="s">
        <v>36</v>
      </c>
      <c r="S70" t="s">
        <v>36</v>
      </c>
      <c r="T70" t="s">
        <v>36</v>
      </c>
      <c r="U70" t="s">
        <v>36</v>
      </c>
      <c r="V70" t="s">
        <v>36</v>
      </c>
      <c r="W70" t="s">
        <v>36</v>
      </c>
      <c r="X70" t="s">
        <v>36</v>
      </c>
      <c r="Y70" t="s">
        <v>36</v>
      </c>
      <c r="Z70" t="s">
        <v>36</v>
      </c>
      <c r="AA70" t="s">
        <v>36</v>
      </c>
      <c r="AB70" t="s">
        <v>36</v>
      </c>
      <c r="AC70" t="s">
        <v>36</v>
      </c>
      <c r="AD70" t="s">
        <v>36</v>
      </c>
      <c r="AE70" t="s">
        <v>36</v>
      </c>
      <c r="AF70" t="s">
        <v>36</v>
      </c>
      <c r="AG70" t="s">
        <v>36</v>
      </c>
      <c r="AH70" t="s">
        <v>36</v>
      </c>
      <c r="AI70" t="s">
        <v>36</v>
      </c>
      <c r="AJ70" t="s">
        <v>36</v>
      </c>
    </row>
    <row r="71" spans="1:36" x14ac:dyDescent="0.35">
      <c r="A71">
        <v>19</v>
      </c>
      <c r="B71" t="s">
        <v>54</v>
      </c>
      <c r="C71" t="s">
        <v>36</v>
      </c>
      <c r="D71" t="s">
        <v>36</v>
      </c>
      <c r="E71" t="s">
        <v>36</v>
      </c>
      <c r="F71" t="s">
        <v>36</v>
      </c>
      <c r="G71" t="s">
        <v>36</v>
      </c>
      <c r="H71" t="s">
        <v>36</v>
      </c>
      <c r="I71" t="s">
        <v>36</v>
      </c>
      <c r="J71" t="s">
        <v>36</v>
      </c>
      <c r="K71" t="s">
        <v>36</v>
      </c>
      <c r="L71" t="s">
        <v>36</v>
      </c>
      <c r="M71" t="s">
        <v>36</v>
      </c>
      <c r="N71" t="s">
        <v>36</v>
      </c>
      <c r="O71" t="s">
        <v>36</v>
      </c>
      <c r="P71" t="s">
        <v>36</v>
      </c>
      <c r="Q71" s="1">
        <v>40911.534722222219</v>
      </c>
      <c r="R71" t="s">
        <v>36</v>
      </c>
      <c r="S71" t="s">
        <v>36</v>
      </c>
      <c r="T71" t="s">
        <v>36</v>
      </c>
      <c r="U71" t="s">
        <v>36</v>
      </c>
      <c r="V71" t="s">
        <v>36</v>
      </c>
      <c r="W71" t="s">
        <v>36</v>
      </c>
      <c r="X71" t="s">
        <v>36</v>
      </c>
      <c r="Y71" t="s">
        <v>36</v>
      </c>
      <c r="Z71" t="s">
        <v>36</v>
      </c>
      <c r="AA71" t="s">
        <v>36</v>
      </c>
      <c r="AB71" t="s">
        <v>36</v>
      </c>
      <c r="AC71" t="s">
        <v>36</v>
      </c>
      <c r="AD71" t="s">
        <v>36</v>
      </c>
      <c r="AE71" t="s">
        <v>36</v>
      </c>
      <c r="AF71" t="s">
        <v>36</v>
      </c>
      <c r="AG71" t="s">
        <v>36</v>
      </c>
      <c r="AH71" t="s">
        <v>36</v>
      </c>
      <c r="AI71" t="s">
        <v>36</v>
      </c>
      <c r="AJ71" t="s">
        <v>36</v>
      </c>
    </row>
    <row r="72" spans="1:36" x14ac:dyDescent="0.35">
      <c r="A72">
        <v>4206</v>
      </c>
      <c r="B72" t="s">
        <v>1056</v>
      </c>
      <c r="C72" t="s">
        <v>36</v>
      </c>
      <c r="D72" t="s">
        <v>36</v>
      </c>
      <c r="E72" t="s">
        <v>36</v>
      </c>
      <c r="F72" t="s">
        <v>36</v>
      </c>
      <c r="G72" t="s">
        <v>36</v>
      </c>
      <c r="H72" t="s">
        <v>36</v>
      </c>
      <c r="I72" t="s">
        <v>36</v>
      </c>
      <c r="J72" t="s">
        <v>36</v>
      </c>
      <c r="K72" t="s">
        <v>36</v>
      </c>
      <c r="L72" t="s">
        <v>36</v>
      </c>
      <c r="M72" t="s">
        <v>36</v>
      </c>
      <c r="N72" t="s">
        <v>36</v>
      </c>
      <c r="O72" t="s">
        <v>36</v>
      </c>
      <c r="P72" t="s">
        <v>36</v>
      </c>
      <c r="Q72" s="1">
        <v>43856.479166666664</v>
      </c>
      <c r="R72" t="s">
        <v>36</v>
      </c>
      <c r="S72" t="s">
        <v>36</v>
      </c>
      <c r="T72" t="s">
        <v>36</v>
      </c>
      <c r="U72" t="s">
        <v>36</v>
      </c>
      <c r="V72" t="s">
        <v>36</v>
      </c>
      <c r="W72" t="s">
        <v>36</v>
      </c>
      <c r="X72" t="s">
        <v>36</v>
      </c>
      <c r="Y72" t="s">
        <v>36</v>
      </c>
      <c r="Z72" t="s">
        <v>36</v>
      </c>
      <c r="AA72" t="s">
        <v>36</v>
      </c>
      <c r="AB72" t="s">
        <v>36</v>
      </c>
      <c r="AC72" t="s">
        <v>36</v>
      </c>
      <c r="AD72" t="s">
        <v>36</v>
      </c>
      <c r="AE72" t="s">
        <v>36</v>
      </c>
      <c r="AF72" t="s">
        <v>36</v>
      </c>
      <c r="AG72" t="s">
        <v>36</v>
      </c>
      <c r="AH72" t="s">
        <v>36</v>
      </c>
      <c r="AI72" t="s">
        <v>36</v>
      </c>
      <c r="AJ72" t="s">
        <v>36</v>
      </c>
    </row>
    <row r="73" spans="1:36" x14ac:dyDescent="0.35">
      <c r="A73">
        <v>4207</v>
      </c>
      <c r="B73" t="s">
        <v>1057</v>
      </c>
      <c r="C73" t="s">
        <v>36</v>
      </c>
      <c r="D73" t="s">
        <v>36</v>
      </c>
      <c r="E73" t="s">
        <v>36</v>
      </c>
      <c r="F73" t="s">
        <v>36</v>
      </c>
      <c r="G73" t="s">
        <v>36</v>
      </c>
      <c r="H73" t="s">
        <v>36</v>
      </c>
      <c r="I73" t="s">
        <v>36</v>
      </c>
      <c r="J73" t="s">
        <v>36</v>
      </c>
      <c r="K73" t="s">
        <v>36</v>
      </c>
      <c r="L73" t="s">
        <v>36</v>
      </c>
      <c r="M73" t="s">
        <v>36</v>
      </c>
      <c r="N73" t="s">
        <v>36</v>
      </c>
      <c r="O73" t="s">
        <v>36</v>
      </c>
      <c r="P73" t="s">
        <v>36</v>
      </c>
      <c r="Q73" s="1">
        <v>43856.479166666664</v>
      </c>
      <c r="R73" t="s">
        <v>36</v>
      </c>
      <c r="S73" t="s">
        <v>36</v>
      </c>
      <c r="T73" t="s">
        <v>36</v>
      </c>
      <c r="U73" t="s">
        <v>36</v>
      </c>
      <c r="V73" t="s">
        <v>36</v>
      </c>
      <c r="W73" t="s">
        <v>36</v>
      </c>
      <c r="X73" t="s">
        <v>36</v>
      </c>
      <c r="Y73" t="s">
        <v>36</v>
      </c>
      <c r="Z73" t="s">
        <v>36</v>
      </c>
      <c r="AA73" t="s">
        <v>36</v>
      </c>
      <c r="AB73" t="s">
        <v>36</v>
      </c>
      <c r="AC73" t="s">
        <v>36</v>
      </c>
      <c r="AD73" t="s">
        <v>36</v>
      </c>
      <c r="AE73" t="s">
        <v>36</v>
      </c>
      <c r="AF73" t="s">
        <v>36</v>
      </c>
      <c r="AG73" t="s">
        <v>36</v>
      </c>
      <c r="AH73" t="s">
        <v>36</v>
      </c>
      <c r="AI73" t="s">
        <v>36</v>
      </c>
      <c r="AJ73" t="s">
        <v>36</v>
      </c>
    </row>
    <row r="74" spans="1:36" x14ac:dyDescent="0.35">
      <c r="A74">
        <v>4208</v>
      </c>
      <c r="B74" t="s">
        <v>1058</v>
      </c>
      <c r="C74" t="s">
        <v>36</v>
      </c>
      <c r="D74" t="s">
        <v>36</v>
      </c>
      <c r="E74" t="s">
        <v>36</v>
      </c>
      <c r="F74" t="s">
        <v>36</v>
      </c>
      <c r="G74" t="s">
        <v>36</v>
      </c>
      <c r="H74" t="s">
        <v>36</v>
      </c>
      <c r="I74" t="s">
        <v>36</v>
      </c>
      <c r="J74" t="s">
        <v>36</v>
      </c>
      <c r="K74" t="s">
        <v>36</v>
      </c>
      <c r="L74" t="s">
        <v>36</v>
      </c>
      <c r="M74" t="s">
        <v>36</v>
      </c>
      <c r="N74" t="s">
        <v>36</v>
      </c>
      <c r="O74" t="s">
        <v>36</v>
      </c>
      <c r="P74" t="s">
        <v>36</v>
      </c>
      <c r="Q74" s="1">
        <v>43856.479166666664</v>
      </c>
      <c r="R74" t="s">
        <v>36</v>
      </c>
      <c r="S74" t="s">
        <v>36</v>
      </c>
      <c r="T74" t="s">
        <v>36</v>
      </c>
      <c r="U74" t="s">
        <v>36</v>
      </c>
      <c r="V74" t="s">
        <v>36</v>
      </c>
      <c r="W74" t="s">
        <v>36</v>
      </c>
      <c r="X74" t="s">
        <v>36</v>
      </c>
      <c r="Y74" t="s">
        <v>36</v>
      </c>
      <c r="Z74" t="s">
        <v>36</v>
      </c>
      <c r="AA74" t="s">
        <v>36</v>
      </c>
      <c r="AB74" t="s">
        <v>36</v>
      </c>
      <c r="AC74" t="s">
        <v>36</v>
      </c>
      <c r="AD74" t="s">
        <v>36</v>
      </c>
      <c r="AE74" t="s">
        <v>36</v>
      </c>
      <c r="AF74" t="s">
        <v>36</v>
      </c>
      <c r="AG74" t="s">
        <v>36</v>
      </c>
      <c r="AH74" t="s">
        <v>36</v>
      </c>
      <c r="AI74" t="s">
        <v>36</v>
      </c>
      <c r="AJ74" t="s">
        <v>36</v>
      </c>
    </row>
    <row r="75" spans="1:36" x14ac:dyDescent="0.35">
      <c r="A75">
        <v>84</v>
      </c>
      <c r="B75" t="s">
        <v>97</v>
      </c>
      <c r="C75" t="s">
        <v>36</v>
      </c>
      <c r="D75" t="s">
        <v>36</v>
      </c>
      <c r="E75" t="s">
        <v>36</v>
      </c>
      <c r="F75" t="s">
        <v>36</v>
      </c>
      <c r="G75" s="1">
        <v>41426</v>
      </c>
      <c r="H75" t="s">
        <v>36</v>
      </c>
      <c r="I75" t="s">
        <v>36</v>
      </c>
      <c r="J75" s="1">
        <v>43061.555555555555</v>
      </c>
      <c r="K75" t="s">
        <v>36</v>
      </c>
      <c r="L75" s="1">
        <v>43195.548611111109</v>
      </c>
      <c r="M75" t="s">
        <v>36</v>
      </c>
      <c r="N75" t="s">
        <v>36</v>
      </c>
      <c r="O75" t="s">
        <v>36</v>
      </c>
      <c r="P75" s="1">
        <v>43059.576388888891</v>
      </c>
      <c r="Q75" t="s">
        <v>36</v>
      </c>
      <c r="R75" t="s">
        <v>36</v>
      </c>
      <c r="S75" t="s">
        <v>36</v>
      </c>
      <c r="T75" s="1">
        <v>42528.291666666664</v>
      </c>
      <c r="U75" t="s">
        <v>36</v>
      </c>
      <c r="V75" t="s">
        <v>36</v>
      </c>
      <c r="W75" s="1">
        <v>42735.993055555555</v>
      </c>
      <c r="X75" t="s">
        <v>36</v>
      </c>
      <c r="Y75" t="s">
        <v>36</v>
      </c>
      <c r="Z75" t="s">
        <v>36</v>
      </c>
      <c r="AA75" t="s">
        <v>36</v>
      </c>
      <c r="AB75" t="s">
        <v>36</v>
      </c>
      <c r="AC75" t="s">
        <v>36</v>
      </c>
      <c r="AD75" t="s">
        <v>36</v>
      </c>
      <c r="AE75" t="s">
        <v>36</v>
      </c>
      <c r="AF75" s="1">
        <v>42058.680555555555</v>
      </c>
      <c r="AG75" t="s">
        <v>36</v>
      </c>
      <c r="AH75" t="s">
        <v>36</v>
      </c>
      <c r="AI75" s="1">
        <v>41426</v>
      </c>
      <c r="AJ75" s="1">
        <v>43059.576388888891</v>
      </c>
    </row>
    <row r="76" spans="1:36" x14ac:dyDescent="0.35">
      <c r="A76">
        <v>4118</v>
      </c>
      <c r="B76" t="s">
        <v>1008</v>
      </c>
      <c r="C76" t="s">
        <v>36</v>
      </c>
      <c r="D76" t="s">
        <v>36</v>
      </c>
      <c r="E76" t="s">
        <v>36</v>
      </c>
      <c r="F76" t="s">
        <v>36</v>
      </c>
      <c r="G76" s="1">
        <v>43530</v>
      </c>
      <c r="H76" t="s">
        <v>36</v>
      </c>
      <c r="I76" t="s">
        <v>36</v>
      </c>
      <c r="J76" s="1">
        <v>43856.451388888891</v>
      </c>
      <c r="K76" t="s">
        <v>36</v>
      </c>
      <c r="L76" s="1">
        <v>43886.368055555555</v>
      </c>
      <c r="M76" t="s">
        <v>36</v>
      </c>
      <c r="N76" t="s">
        <v>36</v>
      </c>
      <c r="O76" t="s">
        <v>36</v>
      </c>
      <c r="P76" s="1">
        <v>43559</v>
      </c>
      <c r="Q76" t="s">
        <v>36</v>
      </c>
      <c r="R76" t="s">
        <v>36</v>
      </c>
      <c r="S76" t="s">
        <v>36</v>
      </c>
      <c r="T76" s="1">
        <v>43557</v>
      </c>
      <c r="U76" t="s">
        <v>36</v>
      </c>
      <c r="V76" t="s">
        <v>36</v>
      </c>
      <c r="W76" s="1">
        <v>43856.451388888891</v>
      </c>
      <c r="X76" t="s">
        <v>36</v>
      </c>
      <c r="Y76" t="s">
        <v>36</v>
      </c>
      <c r="Z76" t="s">
        <v>36</v>
      </c>
      <c r="AA76" t="s">
        <v>36</v>
      </c>
      <c r="AB76" t="s">
        <v>36</v>
      </c>
      <c r="AC76" t="s">
        <v>36</v>
      </c>
      <c r="AD76" t="s">
        <v>36</v>
      </c>
      <c r="AE76" t="s">
        <v>36</v>
      </c>
      <c r="AF76" s="1">
        <v>43529</v>
      </c>
      <c r="AG76" t="s">
        <v>36</v>
      </c>
      <c r="AH76" t="s">
        <v>36</v>
      </c>
      <c r="AI76" s="1">
        <v>43530</v>
      </c>
      <c r="AJ76" s="1">
        <v>43528</v>
      </c>
    </row>
    <row r="77" spans="1:36" x14ac:dyDescent="0.35">
      <c r="A77">
        <v>4119</v>
      </c>
      <c r="B77" t="s">
        <v>1009</v>
      </c>
      <c r="C77" t="s">
        <v>36</v>
      </c>
      <c r="D77" t="s">
        <v>36</v>
      </c>
      <c r="E77" t="s">
        <v>36</v>
      </c>
      <c r="F77" t="s">
        <v>36</v>
      </c>
      <c r="G77" s="1">
        <v>43530</v>
      </c>
      <c r="H77" t="s">
        <v>36</v>
      </c>
      <c r="I77" t="s">
        <v>36</v>
      </c>
      <c r="J77" s="1">
        <v>43856.451388888891</v>
      </c>
      <c r="K77" t="s">
        <v>36</v>
      </c>
      <c r="L77" s="1">
        <v>43886.368055555555</v>
      </c>
      <c r="M77" t="s">
        <v>36</v>
      </c>
      <c r="N77" t="s">
        <v>36</v>
      </c>
      <c r="O77" t="s">
        <v>36</v>
      </c>
      <c r="P77" s="1">
        <v>43557</v>
      </c>
      <c r="Q77" t="s">
        <v>36</v>
      </c>
      <c r="R77" t="s">
        <v>36</v>
      </c>
      <c r="S77" t="s">
        <v>36</v>
      </c>
      <c r="T77" s="1">
        <v>43557</v>
      </c>
      <c r="U77" t="s">
        <v>36</v>
      </c>
      <c r="V77" t="s">
        <v>36</v>
      </c>
      <c r="W77" s="1">
        <v>43856.451388888891</v>
      </c>
      <c r="X77" t="s">
        <v>36</v>
      </c>
      <c r="Y77" t="s">
        <v>36</v>
      </c>
      <c r="Z77" t="s">
        <v>36</v>
      </c>
      <c r="AA77" t="s">
        <v>36</v>
      </c>
      <c r="AB77" t="s">
        <v>36</v>
      </c>
      <c r="AC77" t="s">
        <v>36</v>
      </c>
      <c r="AD77" t="s">
        <v>36</v>
      </c>
      <c r="AE77" t="s">
        <v>36</v>
      </c>
      <c r="AF77" s="1">
        <v>43529</v>
      </c>
      <c r="AG77" t="s">
        <v>36</v>
      </c>
      <c r="AH77" t="s">
        <v>36</v>
      </c>
      <c r="AI77" s="1">
        <v>43530</v>
      </c>
      <c r="AJ77" s="1">
        <v>43528</v>
      </c>
    </row>
    <row r="78" spans="1:36" x14ac:dyDescent="0.35">
      <c r="A78">
        <v>4120</v>
      </c>
      <c r="B78" t="s">
        <v>1010</v>
      </c>
      <c r="C78" t="s">
        <v>36</v>
      </c>
      <c r="D78" t="s">
        <v>36</v>
      </c>
      <c r="E78" t="s">
        <v>36</v>
      </c>
      <c r="F78" t="s">
        <v>36</v>
      </c>
      <c r="G78" s="1">
        <v>43530</v>
      </c>
      <c r="H78" t="s">
        <v>36</v>
      </c>
      <c r="I78" t="s">
        <v>36</v>
      </c>
      <c r="J78" s="1">
        <v>43856.451388888891</v>
      </c>
      <c r="K78" t="s">
        <v>36</v>
      </c>
      <c r="L78" s="1">
        <v>43886.368055555555</v>
      </c>
      <c r="M78" t="s">
        <v>36</v>
      </c>
      <c r="N78" t="s">
        <v>36</v>
      </c>
      <c r="O78" t="s">
        <v>36</v>
      </c>
      <c r="P78" s="1">
        <v>43557</v>
      </c>
      <c r="Q78" t="s">
        <v>36</v>
      </c>
      <c r="R78" t="s">
        <v>36</v>
      </c>
      <c r="S78" t="s">
        <v>36</v>
      </c>
      <c r="T78" s="1">
        <v>43557</v>
      </c>
      <c r="U78" t="s">
        <v>36</v>
      </c>
      <c r="V78" t="s">
        <v>36</v>
      </c>
      <c r="W78" s="1">
        <v>43856.451388888891</v>
      </c>
      <c r="X78" t="s">
        <v>36</v>
      </c>
      <c r="Y78" t="s">
        <v>36</v>
      </c>
      <c r="Z78" t="s">
        <v>36</v>
      </c>
      <c r="AA78" t="s">
        <v>36</v>
      </c>
      <c r="AB78" t="s">
        <v>36</v>
      </c>
      <c r="AC78" t="s">
        <v>36</v>
      </c>
      <c r="AD78" t="s">
        <v>36</v>
      </c>
      <c r="AE78" t="s">
        <v>36</v>
      </c>
      <c r="AF78" s="1">
        <v>43529</v>
      </c>
      <c r="AG78" t="s">
        <v>36</v>
      </c>
      <c r="AH78" t="s">
        <v>36</v>
      </c>
      <c r="AI78" s="1">
        <v>43530</v>
      </c>
      <c r="AJ78" s="1">
        <v>43528</v>
      </c>
    </row>
    <row r="79" spans="1:36" x14ac:dyDescent="0.35">
      <c r="A79">
        <v>407</v>
      </c>
      <c r="B79" t="s">
        <v>233</v>
      </c>
      <c r="C79" t="s">
        <v>36</v>
      </c>
      <c r="D79" t="s">
        <v>36</v>
      </c>
      <c r="E79" t="s">
        <v>36</v>
      </c>
      <c r="F79" t="s">
        <v>36</v>
      </c>
      <c r="G79" s="1">
        <v>41426</v>
      </c>
      <c r="H79" t="s">
        <v>36</v>
      </c>
      <c r="I79" t="s">
        <v>36</v>
      </c>
      <c r="J79" t="s">
        <v>36</v>
      </c>
      <c r="K79" t="s">
        <v>36</v>
      </c>
      <c r="L79" t="s">
        <v>36</v>
      </c>
      <c r="M79" t="s">
        <v>36</v>
      </c>
      <c r="N79" t="s">
        <v>36</v>
      </c>
      <c r="O79" t="s">
        <v>36</v>
      </c>
      <c r="P79" s="1">
        <v>43059.576388888891</v>
      </c>
      <c r="Q79" t="s">
        <v>36</v>
      </c>
      <c r="R79" t="s">
        <v>36</v>
      </c>
      <c r="S79" t="s">
        <v>36</v>
      </c>
      <c r="T79" s="1">
        <v>42528.291666666664</v>
      </c>
      <c r="U79" t="s">
        <v>36</v>
      </c>
      <c r="V79" t="s">
        <v>36</v>
      </c>
      <c r="W79" t="s">
        <v>36</v>
      </c>
      <c r="X79" t="s">
        <v>36</v>
      </c>
      <c r="Y79" t="s">
        <v>36</v>
      </c>
      <c r="Z79" t="s">
        <v>36</v>
      </c>
      <c r="AA79" t="s">
        <v>36</v>
      </c>
      <c r="AB79" t="s">
        <v>36</v>
      </c>
      <c r="AC79" t="s">
        <v>36</v>
      </c>
      <c r="AD79" t="s">
        <v>36</v>
      </c>
      <c r="AE79" t="s">
        <v>36</v>
      </c>
      <c r="AF79" s="1">
        <v>42058.680555555555</v>
      </c>
      <c r="AG79" t="s">
        <v>36</v>
      </c>
      <c r="AH79" t="s">
        <v>36</v>
      </c>
      <c r="AI79" s="1">
        <v>41426</v>
      </c>
      <c r="AJ79" s="1">
        <v>43059.576388888891</v>
      </c>
    </row>
    <row r="80" spans="1:36" x14ac:dyDescent="0.35">
      <c r="A80">
        <v>4121</v>
      </c>
      <c r="B80" t="s">
        <v>1011</v>
      </c>
      <c r="C80" t="s">
        <v>36</v>
      </c>
      <c r="D80" t="s">
        <v>36</v>
      </c>
      <c r="E80" t="s">
        <v>36</v>
      </c>
      <c r="F80" t="s">
        <v>36</v>
      </c>
      <c r="G80" s="1">
        <v>43530</v>
      </c>
      <c r="H80" t="s">
        <v>36</v>
      </c>
      <c r="I80" t="s">
        <v>36</v>
      </c>
      <c r="J80" t="s">
        <v>36</v>
      </c>
      <c r="K80" t="s">
        <v>36</v>
      </c>
      <c r="L80" t="s">
        <v>36</v>
      </c>
      <c r="M80" t="s">
        <v>36</v>
      </c>
      <c r="N80" t="s">
        <v>36</v>
      </c>
      <c r="O80" t="s">
        <v>36</v>
      </c>
      <c r="P80" s="1">
        <v>43557</v>
      </c>
      <c r="Q80" t="s">
        <v>36</v>
      </c>
      <c r="R80" t="s">
        <v>36</v>
      </c>
      <c r="S80" t="s">
        <v>36</v>
      </c>
      <c r="T80" s="1">
        <v>43557</v>
      </c>
      <c r="U80" t="s">
        <v>36</v>
      </c>
      <c r="V80" t="s">
        <v>36</v>
      </c>
      <c r="W80" t="s">
        <v>36</v>
      </c>
      <c r="X80" t="s">
        <v>36</v>
      </c>
      <c r="Y80" t="s">
        <v>36</v>
      </c>
      <c r="Z80" t="s">
        <v>36</v>
      </c>
      <c r="AA80" t="s">
        <v>36</v>
      </c>
      <c r="AB80" t="s">
        <v>36</v>
      </c>
      <c r="AC80" t="s">
        <v>36</v>
      </c>
      <c r="AD80" t="s">
        <v>36</v>
      </c>
      <c r="AE80" t="s">
        <v>36</v>
      </c>
      <c r="AF80" s="1">
        <v>43529</v>
      </c>
      <c r="AG80" t="s">
        <v>36</v>
      </c>
      <c r="AH80" t="s">
        <v>36</v>
      </c>
      <c r="AI80" s="1">
        <v>43530</v>
      </c>
      <c r="AJ80" s="1">
        <v>43528</v>
      </c>
    </row>
    <row r="81" spans="1:36" x14ac:dyDescent="0.35">
      <c r="A81">
        <v>4122</v>
      </c>
      <c r="B81" t="s">
        <v>1012</v>
      </c>
      <c r="C81" t="s">
        <v>36</v>
      </c>
      <c r="D81" t="s">
        <v>36</v>
      </c>
      <c r="E81" t="s">
        <v>36</v>
      </c>
      <c r="F81" t="s">
        <v>36</v>
      </c>
      <c r="G81" s="1">
        <v>43530</v>
      </c>
      <c r="H81" t="s">
        <v>36</v>
      </c>
      <c r="I81" t="s">
        <v>36</v>
      </c>
      <c r="J81" t="s">
        <v>36</v>
      </c>
      <c r="K81" t="s">
        <v>36</v>
      </c>
      <c r="L81" t="s">
        <v>36</v>
      </c>
      <c r="M81" t="s">
        <v>36</v>
      </c>
      <c r="N81" t="s">
        <v>36</v>
      </c>
      <c r="O81" t="s">
        <v>36</v>
      </c>
      <c r="P81" s="1">
        <v>43556</v>
      </c>
      <c r="Q81" t="s">
        <v>36</v>
      </c>
      <c r="R81" t="s">
        <v>36</v>
      </c>
      <c r="S81" t="s">
        <v>36</v>
      </c>
      <c r="T81" s="1">
        <v>43557</v>
      </c>
      <c r="U81" t="s">
        <v>36</v>
      </c>
      <c r="V81" t="s">
        <v>36</v>
      </c>
      <c r="W81" t="s">
        <v>36</v>
      </c>
      <c r="X81" t="s">
        <v>36</v>
      </c>
      <c r="Y81" t="s">
        <v>36</v>
      </c>
      <c r="Z81" t="s">
        <v>36</v>
      </c>
      <c r="AA81" t="s">
        <v>36</v>
      </c>
      <c r="AB81" t="s">
        <v>36</v>
      </c>
      <c r="AC81" t="s">
        <v>36</v>
      </c>
      <c r="AD81" t="s">
        <v>36</v>
      </c>
      <c r="AE81" t="s">
        <v>36</v>
      </c>
      <c r="AF81" s="1">
        <v>43529</v>
      </c>
      <c r="AG81" t="s">
        <v>36</v>
      </c>
      <c r="AH81" t="s">
        <v>36</v>
      </c>
      <c r="AI81" s="1">
        <v>43530</v>
      </c>
      <c r="AJ81" s="1">
        <v>43528</v>
      </c>
    </row>
    <row r="82" spans="1:36" x14ac:dyDescent="0.35">
      <c r="A82">
        <v>4123</v>
      </c>
      <c r="B82" t="s">
        <v>1013</v>
      </c>
      <c r="C82" t="s">
        <v>36</v>
      </c>
      <c r="D82" t="s">
        <v>36</v>
      </c>
      <c r="E82" t="s">
        <v>36</v>
      </c>
      <c r="F82" t="s">
        <v>36</v>
      </c>
      <c r="G82" s="1">
        <v>43530</v>
      </c>
      <c r="H82" t="s">
        <v>36</v>
      </c>
      <c r="I82" t="s">
        <v>36</v>
      </c>
      <c r="J82" t="s">
        <v>36</v>
      </c>
      <c r="K82" t="s">
        <v>36</v>
      </c>
      <c r="L82" t="s">
        <v>36</v>
      </c>
      <c r="M82" t="s">
        <v>36</v>
      </c>
      <c r="N82" t="s">
        <v>36</v>
      </c>
      <c r="O82" t="s">
        <v>36</v>
      </c>
      <c r="P82" s="1">
        <v>43556</v>
      </c>
      <c r="Q82" t="s">
        <v>36</v>
      </c>
      <c r="R82" t="s">
        <v>36</v>
      </c>
      <c r="S82" t="s">
        <v>36</v>
      </c>
      <c r="T82" s="1">
        <v>43557</v>
      </c>
      <c r="U82" t="s">
        <v>36</v>
      </c>
      <c r="V82" t="s">
        <v>36</v>
      </c>
      <c r="W82" t="s">
        <v>36</v>
      </c>
      <c r="X82" t="s">
        <v>36</v>
      </c>
      <c r="Y82" t="s">
        <v>36</v>
      </c>
      <c r="Z82" t="s">
        <v>36</v>
      </c>
      <c r="AA82" t="s">
        <v>36</v>
      </c>
      <c r="AB82" t="s">
        <v>36</v>
      </c>
      <c r="AC82" t="s">
        <v>36</v>
      </c>
      <c r="AD82" t="s">
        <v>36</v>
      </c>
      <c r="AE82" t="s">
        <v>36</v>
      </c>
      <c r="AF82" s="1">
        <v>43529</v>
      </c>
      <c r="AG82" t="s">
        <v>36</v>
      </c>
      <c r="AH82" t="s">
        <v>36</v>
      </c>
      <c r="AI82" s="1">
        <v>43530</v>
      </c>
      <c r="AJ82" s="1">
        <v>43528</v>
      </c>
    </row>
    <row r="83" spans="1:36" x14ac:dyDescent="0.35">
      <c r="A83">
        <v>408</v>
      </c>
      <c r="B83" t="s">
        <v>234</v>
      </c>
      <c r="C83" t="s">
        <v>36</v>
      </c>
      <c r="D83" t="s">
        <v>36</v>
      </c>
      <c r="E83" t="s">
        <v>36</v>
      </c>
      <c r="F83" t="s">
        <v>36</v>
      </c>
      <c r="G83" s="1">
        <v>41426</v>
      </c>
      <c r="H83" t="s">
        <v>36</v>
      </c>
      <c r="I83" t="s">
        <v>36</v>
      </c>
      <c r="J83" t="s">
        <v>36</v>
      </c>
      <c r="K83" t="s">
        <v>36</v>
      </c>
      <c r="L83" t="s">
        <v>36</v>
      </c>
      <c r="M83" t="s">
        <v>36</v>
      </c>
      <c r="N83" t="s">
        <v>36</v>
      </c>
      <c r="O83" t="s">
        <v>36</v>
      </c>
      <c r="P83" s="1">
        <v>43059.576388888891</v>
      </c>
      <c r="Q83" t="s">
        <v>36</v>
      </c>
      <c r="R83" t="s">
        <v>36</v>
      </c>
      <c r="S83" t="s">
        <v>36</v>
      </c>
      <c r="T83" s="1">
        <v>42528.291666666664</v>
      </c>
      <c r="U83" t="s">
        <v>36</v>
      </c>
      <c r="V83" t="s">
        <v>36</v>
      </c>
      <c r="W83" t="s">
        <v>36</v>
      </c>
      <c r="X83" t="s">
        <v>36</v>
      </c>
      <c r="Y83" t="s">
        <v>36</v>
      </c>
      <c r="Z83" t="s">
        <v>36</v>
      </c>
      <c r="AA83" t="s">
        <v>36</v>
      </c>
      <c r="AB83" t="s">
        <v>36</v>
      </c>
      <c r="AC83" t="s">
        <v>36</v>
      </c>
      <c r="AD83" t="s">
        <v>36</v>
      </c>
      <c r="AE83" t="s">
        <v>36</v>
      </c>
      <c r="AF83" s="1">
        <v>42058.680555555555</v>
      </c>
      <c r="AG83" t="s">
        <v>36</v>
      </c>
      <c r="AH83" t="s">
        <v>36</v>
      </c>
      <c r="AI83" s="1">
        <v>41426</v>
      </c>
      <c r="AJ83" s="1">
        <v>43059.576388888891</v>
      </c>
    </row>
    <row r="84" spans="1:36" x14ac:dyDescent="0.35">
      <c r="A84">
        <v>4124</v>
      </c>
      <c r="B84" t="s">
        <v>1014</v>
      </c>
      <c r="C84" t="s">
        <v>36</v>
      </c>
      <c r="D84" t="s">
        <v>36</v>
      </c>
      <c r="E84" t="s">
        <v>36</v>
      </c>
      <c r="F84" t="s">
        <v>36</v>
      </c>
      <c r="G84" s="1">
        <v>43530</v>
      </c>
      <c r="H84" t="s">
        <v>36</v>
      </c>
      <c r="I84" t="s">
        <v>36</v>
      </c>
      <c r="J84" t="s">
        <v>36</v>
      </c>
      <c r="K84" t="s">
        <v>36</v>
      </c>
      <c r="L84" t="s">
        <v>36</v>
      </c>
      <c r="M84" t="s">
        <v>36</v>
      </c>
      <c r="N84" t="s">
        <v>36</v>
      </c>
      <c r="O84" t="s">
        <v>36</v>
      </c>
      <c r="P84" s="1">
        <v>43557</v>
      </c>
      <c r="Q84" t="s">
        <v>36</v>
      </c>
      <c r="R84" t="s">
        <v>36</v>
      </c>
      <c r="S84" t="s">
        <v>36</v>
      </c>
      <c r="T84" s="1">
        <v>43557</v>
      </c>
      <c r="U84" t="s">
        <v>36</v>
      </c>
      <c r="V84" t="s">
        <v>36</v>
      </c>
      <c r="W84" t="s">
        <v>36</v>
      </c>
      <c r="X84" t="s">
        <v>36</v>
      </c>
      <c r="Y84" t="s">
        <v>36</v>
      </c>
      <c r="Z84" t="s">
        <v>36</v>
      </c>
      <c r="AA84" t="s">
        <v>36</v>
      </c>
      <c r="AB84" t="s">
        <v>36</v>
      </c>
      <c r="AC84" t="s">
        <v>36</v>
      </c>
      <c r="AD84" t="s">
        <v>36</v>
      </c>
      <c r="AE84" t="s">
        <v>36</v>
      </c>
      <c r="AF84" s="1">
        <v>43529</v>
      </c>
      <c r="AG84" t="s">
        <v>36</v>
      </c>
      <c r="AH84" t="s">
        <v>36</v>
      </c>
      <c r="AI84" s="1">
        <v>43530</v>
      </c>
      <c r="AJ84" s="1">
        <v>43528</v>
      </c>
    </row>
    <row r="85" spans="1:36" x14ac:dyDescent="0.35">
      <c r="A85">
        <v>4125</v>
      </c>
      <c r="B85" t="s">
        <v>1015</v>
      </c>
      <c r="C85" t="s">
        <v>36</v>
      </c>
      <c r="D85" t="s">
        <v>36</v>
      </c>
      <c r="E85" t="s">
        <v>36</v>
      </c>
      <c r="F85" t="s">
        <v>36</v>
      </c>
      <c r="G85" s="1">
        <v>43530</v>
      </c>
      <c r="H85" t="s">
        <v>36</v>
      </c>
      <c r="I85" t="s">
        <v>36</v>
      </c>
      <c r="J85" t="s">
        <v>36</v>
      </c>
      <c r="K85" t="s">
        <v>36</v>
      </c>
      <c r="L85" t="s">
        <v>36</v>
      </c>
      <c r="M85" t="s">
        <v>36</v>
      </c>
      <c r="N85" t="s">
        <v>36</v>
      </c>
      <c r="O85" t="s">
        <v>36</v>
      </c>
      <c r="P85" s="1">
        <v>43556</v>
      </c>
      <c r="Q85" t="s">
        <v>36</v>
      </c>
      <c r="R85" t="s">
        <v>36</v>
      </c>
      <c r="S85" t="s">
        <v>36</v>
      </c>
      <c r="T85" s="1">
        <v>43557</v>
      </c>
      <c r="U85" t="s">
        <v>36</v>
      </c>
      <c r="V85" t="s">
        <v>36</v>
      </c>
      <c r="W85" t="s">
        <v>36</v>
      </c>
      <c r="X85" t="s">
        <v>36</v>
      </c>
      <c r="Y85" t="s">
        <v>36</v>
      </c>
      <c r="Z85" t="s">
        <v>36</v>
      </c>
      <c r="AA85" t="s">
        <v>36</v>
      </c>
      <c r="AB85" t="s">
        <v>36</v>
      </c>
      <c r="AC85" t="s">
        <v>36</v>
      </c>
      <c r="AD85" t="s">
        <v>36</v>
      </c>
      <c r="AE85" t="s">
        <v>36</v>
      </c>
      <c r="AF85" s="1">
        <v>43529</v>
      </c>
      <c r="AG85" t="s">
        <v>36</v>
      </c>
      <c r="AH85" t="s">
        <v>36</v>
      </c>
      <c r="AI85" s="1">
        <v>43530</v>
      </c>
      <c r="AJ85" s="1">
        <v>43528</v>
      </c>
    </row>
    <row r="86" spans="1:36" x14ac:dyDescent="0.35">
      <c r="A86">
        <v>4126</v>
      </c>
      <c r="B86" t="s">
        <v>1016</v>
      </c>
      <c r="C86" t="s">
        <v>36</v>
      </c>
      <c r="D86" t="s">
        <v>36</v>
      </c>
      <c r="E86" t="s">
        <v>36</v>
      </c>
      <c r="F86" t="s">
        <v>36</v>
      </c>
      <c r="G86" s="1">
        <v>43530</v>
      </c>
      <c r="H86" t="s">
        <v>36</v>
      </c>
      <c r="I86" t="s">
        <v>36</v>
      </c>
      <c r="J86" t="s">
        <v>36</v>
      </c>
      <c r="K86" t="s">
        <v>36</v>
      </c>
      <c r="L86" t="s">
        <v>36</v>
      </c>
      <c r="M86" t="s">
        <v>36</v>
      </c>
      <c r="N86" t="s">
        <v>36</v>
      </c>
      <c r="O86" t="s">
        <v>36</v>
      </c>
      <c r="P86" s="1">
        <v>43556</v>
      </c>
      <c r="Q86" t="s">
        <v>36</v>
      </c>
      <c r="R86" t="s">
        <v>36</v>
      </c>
      <c r="S86" t="s">
        <v>36</v>
      </c>
      <c r="T86" s="1">
        <v>43557</v>
      </c>
      <c r="U86" t="s">
        <v>36</v>
      </c>
      <c r="V86" t="s">
        <v>36</v>
      </c>
      <c r="W86" t="s">
        <v>36</v>
      </c>
      <c r="X86" t="s">
        <v>36</v>
      </c>
      <c r="Y86" t="s">
        <v>36</v>
      </c>
      <c r="Z86" t="s">
        <v>36</v>
      </c>
      <c r="AA86" t="s">
        <v>36</v>
      </c>
      <c r="AB86" t="s">
        <v>36</v>
      </c>
      <c r="AC86" t="s">
        <v>36</v>
      </c>
      <c r="AD86" t="s">
        <v>36</v>
      </c>
      <c r="AE86" t="s">
        <v>36</v>
      </c>
      <c r="AF86" s="1">
        <v>43529</v>
      </c>
      <c r="AG86" t="s">
        <v>36</v>
      </c>
      <c r="AH86" t="s">
        <v>36</v>
      </c>
      <c r="AI86" s="1">
        <v>43530</v>
      </c>
      <c r="AJ86" s="1">
        <v>43528</v>
      </c>
    </row>
    <row r="87" spans="1:36" x14ac:dyDescent="0.35">
      <c r="A87">
        <v>409</v>
      </c>
      <c r="B87" t="s">
        <v>235</v>
      </c>
      <c r="C87" t="s">
        <v>36</v>
      </c>
      <c r="D87" t="s">
        <v>36</v>
      </c>
      <c r="E87" t="s">
        <v>36</v>
      </c>
      <c r="F87" t="s">
        <v>36</v>
      </c>
      <c r="G87" s="1">
        <v>41426</v>
      </c>
      <c r="H87" t="s">
        <v>36</v>
      </c>
      <c r="I87" t="s">
        <v>36</v>
      </c>
      <c r="J87" t="s">
        <v>36</v>
      </c>
      <c r="K87" t="s">
        <v>36</v>
      </c>
      <c r="L87" t="s">
        <v>36</v>
      </c>
      <c r="M87" t="s">
        <v>36</v>
      </c>
      <c r="N87" t="s">
        <v>36</v>
      </c>
      <c r="O87" t="s">
        <v>36</v>
      </c>
      <c r="P87" s="1">
        <v>43059.576388888891</v>
      </c>
      <c r="Q87" t="s">
        <v>36</v>
      </c>
      <c r="R87" t="s">
        <v>36</v>
      </c>
      <c r="S87" t="s">
        <v>36</v>
      </c>
      <c r="T87" s="1">
        <v>42528.291666666664</v>
      </c>
      <c r="U87" t="s">
        <v>36</v>
      </c>
      <c r="V87" t="s">
        <v>36</v>
      </c>
      <c r="W87" t="s">
        <v>36</v>
      </c>
      <c r="X87" t="s">
        <v>36</v>
      </c>
      <c r="Y87" t="s">
        <v>36</v>
      </c>
      <c r="Z87" t="s">
        <v>36</v>
      </c>
      <c r="AA87" t="s">
        <v>36</v>
      </c>
      <c r="AB87" t="s">
        <v>36</v>
      </c>
      <c r="AC87" t="s">
        <v>36</v>
      </c>
      <c r="AD87" t="s">
        <v>36</v>
      </c>
      <c r="AE87" t="s">
        <v>36</v>
      </c>
      <c r="AF87" s="1">
        <v>42058.680555555555</v>
      </c>
      <c r="AG87" t="s">
        <v>36</v>
      </c>
      <c r="AH87" t="s">
        <v>36</v>
      </c>
      <c r="AI87" s="1">
        <v>41426</v>
      </c>
      <c r="AJ87" s="1">
        <v>43059.576388888891</v>
      </c>
    </row>
    <row r="88" spans="1:36" x14ac:dyDescent="0.35">
      <c r="A88">
        <v>4127</v>
      </c>
      <c r="B88" t="s">
        <v>1017</v>
      </c>
      <c r="C88" t="s">
        <v>36</v>
      </c>
      <c r="D88" t="s">
        <v>36</v>
      </c>
      <c r="E88" t="s">
        <v>36</v>
      </c>
      <c r="F88" t="s">
        <v>36</v>
      </c>
      <c r="G88" s="1">
        <v>43530</v>
      </c>
      <c r="H88" t="s">
        <v>36</v>
      </c>
      <c r="I88" t="s">
        <v>36</v>
      </c>
      <c r="J88" t="s">
        <v>36</v>
      </c>
      <c r="K88" t="s">
        <v>36</v>
      </c>
      <c r="L88" t="s">
        <v>36</v>
      </c>
      <c r="M88" t="s">
        <v>36</v>
      </c>
      <c r="N88" t="s">
        <v>36</v>
      </c>
      <c r="O88" t="s">
        <v>36</v>
      </c>
      <c r="P88" s="1">
        <v>43557</v>
      </c>
      <c r="Q88" t="s">
        <v>36</v>
      </c>
      <c r="R88" t="s">
        <v>36</v>
      </c>
      <c r="S88" t="s">
        <v>36</v>
      </c>
      <c r="T88" s="1">
        <v>43557</v>
      </c>
      <c r="U88" t="s">
        <v>36</v>
      </c>
      <c r="V88" t="s">
        <v>36</v>
      </c>
      <c r="W88" t="s">
        <v>36</v>
      </c>
      <c r="X88" t="s">
        <v>36</v>
      </c>
      <c r="Y88" t="s">
        <v>36</v>
      </c>
      <c r="Z88" t="s">
        <v>36</v>
      </c>
      <c r="AA88" t="s">
        <v>36</v>
      </c>
      <c r="AB88" t="s">
        <v>36</v>
      </c>
      <c r="AC88" t="s">
        <v>36</v>
      </c>
      <c r="AD88" t="s">
        <v>36</v>
      </c>
      <c r="AE88" t="s">
        <v>36</v>
      </c>
      <c r="AF88" s="1">
        <v>43529</v>
      </c>
      <c r="AG88" t="s">
        <v>36</v>
      </c>
      <c r="AH88" t="s">
        <v>36</v>
      </c>
      <c r="AI88" s="1">
        <v>43530</v>
      </c>
      <c r="AJ88" s="1">
        <v>43528</v>
      </c>
    </row>
    <row r="89" spans="1:36" x14ac:dyDescent="0.35">
      <c r="A89">
        <v>4128</v>
      </c>
      <c r="B89" t="s">
        <v>1018</v>
      </c>
      <c r="C89" t="s">
        <v>36</v>
      </c>
      <c r="D89" t="s">
        <v>36</v>
      </c>
      <c r="E89" t="s">
        <v>36</v>
      </c>
      <c r="F89" t="s">
        <v>36</v>
      </c>
      <c r="G89" s="1">
        <v>43530</v>
      </c>
      <c r="H89" t="s">
        <v>36</v>
      </c>
      <c r="I89" t="s">
        <v>36</v>
      </c>
      <c r="J89" t="s">
        <v>36</v>
      </c>
      <c r="K89" t="s">
        <v>36</v>
      </c>
      <c r="L89" t="s">
        <v>36</v>
      </c>
      <c r="M89" t="s">
        <v>36</v>
      </c>
      <c r="N89" t="s">
        <v>36</v>
      </c>
      <c r="O89" t="s">
        <v>36</v>
      </c>
      <c r="P89" s="1">
        <v>43556</v>
      </c>
      <c r="Q89" t="s">
        <v>36</v>
      </c>
      <c r="R89" t="s">
        <v>36</v>
      </c>
      <c r="S89" t="s">
        <v>36</v>
      </c>
      <c r="T89" s="1">
        <v>43557</v>
      </c>
      <c r="U89" t="s">
        <v>36</v>
      </c>
      <c r="V89" t="s">
        <v>36</v>
      </c>
      <c r="W89" t="s">
        <v>36</v>
      </c>
      <c r="X89" t="s">
        <v>36</v>
      </c>
      <c r="Y89" t="s">
        <v>36</v>
      </c>
      <c r="Z89" t="s">
        <v>36</v>
      </c>
      <c r="AA89" t="s">
        <v>36</v>
      </c>
      <c r="AB89" t="s">
        <v>36</v>
      </c>
      <c r="AC89" t="s">
        <v>36</v>
      </c>
      <c r="AD89" t="s">
        <v>36</v>
      </c>
      <c r="AE89" t="s">
        <v>36</v>
      </c>
      <c r="AF89" s="1">
        <v>43529</v>
      </c>
      <c r="AG89" t="s">
        <v>36</v>
      </c>
      <c r="AH89" t="s">
        <v>36</v>
      </c>
      <c r="AI89" s="1">
        <v>43530</v>
      </c>
      <c r="AJ89" s="1">
        <v>43528</v>
      </c>
    </row>
    <row r="90" spans="1:36" x14ac:dyDescent="0.35">
      <c r="A90">
        <v>4129</v>
      </c>
      <c r="B90" t="s">
        <v>1019</v>
      </c>
      <c r="C90" t="s">
        <v>36</v>
      </c>
      <c r="D90" t="s">
        <v>36</v>
      </c>
      <c r="E90" t="s">
        <v>36</v>
      </c>
      <c r="F90" t="s">
        <v>36</v>
      </c>
      <c r="G90" s="1">
        <v>43530</v>
      </c>
      <c r="H90" t="s">
        <v>36</v>
      </c>
      <c r="I90" t="s">
        <v>36</v>
      </c>
      <c r="J90" t="s">
        <v>36</v>
      </c>
      <c r="K90" t="s">
        <v>36</v>
      </c>
      <c r="L90" t="s">
        <v>36</v>
      </c>
      <c r="M90" t="s">
        <v>36</v>
      </c>
      <c r="N90" t="s">
        <v>36</v>
      </c>
      <c r="O90" t="s">
        <v>36</v>
      </c>
      <c r="P90" s="1">
        <v>43556</v>
      </c>
      <c r="Q90" t="s">
        <v>36</v>
      </c>
      <c r="R90" t="s">
        <v>36</v>
      </c>
      <c r="S90" t="s">
        <v>36</v>
      </c>
      <c r="T90" s="1">
        <v>43557</v>
      </c>
      <c r="U90" t="s">
        <v>36</v>
      </c>
      <c r="V90" t="s">
        <v>36</v>
      </c>
      <c r="W90" t="s">
        <v>36</v>
      </c>
      <c r="X90" t="s">
        <v>36</v>
      </c>
      <c r="Y90" t="s">
        <v>36</v>
      </c>
      <c r="Z90" t="s">
        <v>36</v>
      </c>
      <c r="AA90" t="s">
        <v>36</v>
      </c>
      <c r="AB90" t="s">
        <v>36</v>
      </c>
      <c r="AC90" t="s">
        <v>36</v>
      </c>
      <c r="AD90" t="s">
        <v>36</v>
      </c>
      <c r="AE90" t="s">
        <v>36</v>
      </c>
      <c r="AF90" s="1">
        <v>43529</v>
      </c>
      <c r="AG90" t="s">
        <v>36</v>
      </c>
      <c r="AH90" t="s">
        <v>36</v>
      </c>
      <c r="AI90" s="1">
        <v>43530</v>
      </c>
      <c r="AJ90" s="1">
        <v>43528</v>
      </c>
    </row>
    <row r="91" spans="1:36" x14ac:dyDescent="0.35">
      <c r="A91">
        <v>300</v>
      </c>
      <c r="B91" t="s">
        <v>180</v>
      </c>
      <c r="C91" t="s">
        <v>36</v>
      </c>
      <c r="D91" t="s">
        <v>36</v>
      </c>
      <c r="E91" t="s">
        <v>36</v>
      </c>
      <c r="F91" t="s">
        <v>36</v>
      </c>
      <c r="G91" s="1">
        <v>41426</v>
      </c>
      <c r="H91" t="s">
        <v>36</v>
      </c>
      <c r="I91" t="s">
        <v>36</v>
      </c>
      <c r="J91" t="s">
        <v>36</v>
      </c>
      <c r="K91" t="s">
        <v>36</v>
      </c>
      <c r="L91" t="s">
        <v>36</v>
      </c>
      <c r="M91" t="s">
        <v>36</v>
      </c>
      <c r="N91" t="s">
        <v>36</v>
      </c>
      <c r="O91" t="s">
        <v>36</v>
      </c>
      <c r="P91" s="1">
        <v>43059.576388888891</v>
      </c>
      <c r="Q91" t="s">
        <v>36</v>
      </c>
      <c r="R91" t="s">
        <v>36</v>
      </c>
      <c r="S91" t="s">
        <v>36</v>
      </c>
      <c r="T91" s="1">
        <v>42528.291666666664</v>
      </c>
      <c r="U91" t="s">
        <v>36</v>
      </c>
      <c r="V91" t="s">
        <v>36</v>
      </c>
      <c r="W91" t="s">
        <v>36</v>
      </c>
      <c r="X91" t="s">
        <v>36</v>
      </c>
      <c r="Y91" t="s">
        <v>36</v>
      </c>
      <c r="Z91" t="s">
        <v>36</v>
      </c>
      <c r="AA91" t="s">
        <v>36</v>
      </c>
      <c r="AB91" t="s">
        <v>36</v>
      </c>
      <c r="AC91" t="s">
        <v>36</v>
      </c>
      <c r="AD91" t="s">
        <v>36</v>
      </c>
      <c r="AE91" t="s">
        <v>36</v>
      </c>
      <c r="AF91" s="1">
        <v>42058.680555555555</v>
      </c>
      <c r="AG91" s="32">
        <v>43040</v>
      </c>
      <c r="AH91" t="s">
        <v>36</v>
      </c>
      <c r="AI91" s="1">
        <v>41426</v>
      </c>
      <c r="AJ91" s="1">
        <v>43059.576388888891</v>
      </c>
    </row>
    <row r="92" spans="1:36" x14ac:dyDescent="0.35">
      <c r="A92">
        <v>4130</v>
      </c>
      <c r="B92" t="s">
        <v>1020</v>
      </c>
      <c r="C92" t="s">
        <v>36</v>
      </c>
      <c r="D92" t="s">
        <v>36</v>
      </c>
      <c r="E92" t="s">
        <v>36</v>
      </c>
      <c r="F92" t="s">
        <v>36</v>
      </c>
      <c r="G92" s="1">
        <v>43530</v>
      </c>
      <c r="H92" t="s">
        <v>36</v>
      </c>
      <c r="I92" t="s">
        <v>36</v>
      </c>
      <c r="J92" t="s">
        <v>36</v>
      </c>
      <c r="K92" t="s">
        <v>36</v>
      </c>
      <c r="L92" t="s">
        <v>36</v>
      </c>
      <c r="M92" t="s">
        <v>36</v>
      </c>
      <c r="N92" t="s">
        <v>36</v>
      </c>
      <c r="O92" t="s">
        <v>36</v>
      </c>
      <c r="P92" s="1">
        <v>43559</v>
      </c>
      <c r="Q92" t="s">
        <v>36</v>
      </c>
      <c r="R92" t="s">
        <v>36</v>
      </c>
      <c r="S92" t="s">
        <v>36</v>
      </c>
      <c r="T92" s="1">
        <v>43557</v>
      </c>
      <c r="U92" t="s">
        <v>36</v>
      </c>
      <c r="V92" t="s">
        <v>36</v>
      </c>
      <c r="W92" t="s">
        <v>36</v>
      </c>
      <c r="X92" t="s">
        <v>36</v>
      </c>
      <c r="Y92" t="s">
        <v>36</v>
      </c>
      <c r="Z92" t="s">
        <v>36</v>
      </c>
      <c r="AA92" t="s">
        <v>36</v>
      </c>
      <c r="AB92" t="s">
        <v>36</v>
      </c>
      <c r="AC92" t="s">
        <v>36</v>
      </c>
      <c r="AD92" t="s">
        <v>36</v>
      </c>
      <c r="AE92" t="s">
        <v>36</v>
      </c>
      <c r="AF92" s="1">
        <v>43529</v>
      </c>
      <c r="AG92" t="s">
        <v>36</v>
      </c>
      <c r="AH92" t="s">
        <v>36</v>
      </c>
      <c r="AI92" s="1">
        <v>43530</v>
      </c>
      <c r="AJ92" s="1">
        <v>43528</v>
      </c>
    </row>
    <row r="93" spans="1:36" x14ac:dyDescent="0.35">
      <c r="A93">
        <v>4131</v>
      </c>
      <c r="B93" t="s">
        <v>1021</v>
      </c>
      <c r="C93" t="s">
        <v>36</v>
      </c>
      <c r="D93" t="s">
        <v>36</v>
      </c>
      <c r="E93" t="s">
        <v>36</v>
      </c>
      <c r="F93" t="s">
        <v>36</v>
      </c>
      <c r="G93" s="1">
        <v>43530</v>
      </c>
      <c r="H93" t="s">
        <v>36</v>
      </c>
      <c r="I93" t="s">
        <v>36</v>
      </c>
      <c r="J93" t="s">
        <v>36</v>
      </c>
      <c r="K93" t="s">
        <v>36</v>
      </c>
      <c r="L93" t="s">
        <v>36</v>
      </c>
      <c r="M93" t="s">
        <v>36</v>
      </c>
      <c r="N93" t="s">
        <v>36</v>
      </c>
      <c r="O93" t="s">
        <v>36</v>
      </c>
      <c r="P93" s="1">
        <v>43557</v>
      </c>
      <c r="Q93" t="s">
        <v>36</v>
      </c>
      <c r="R93" t="s">
        <v>36</v>
      </c>
      <c r="S93" t="s">
        <v>36</v>
      </c>
      <c r="T93" s="1">
        <v>43557</v>
      </c>
      <c r="U93" t="s">
        <v>36</v>
      </c>
      <c r="V93" t="s">
        <v>36</v>
      </c>
      <c r="W93" t="s">
        <v>36</v>
      </c>
      <c r="X93" t="s">
        <v>36</v>
      </c>
      <c r="Y93" t="s">
        <v>36</v>
      </c>
      <c r="Z93" t="s">
        <v>36</v>
      </c>
      <c r="AA93" t="s">
        <v>36</v>
      </c>
      <c r="AB93" t="s">
        <v>36</v>
      </c>
      <c r="AC93" t="s">
        <v>36</v>
      </c>
      <c r="AD93" t="s">
        <v>36</v>
      </c>
      <c r="AE93" t="s">
        <v>36</v>
      </c>
      <c r="AF93" s="1">
        <v>43529</v>
      </c>
      <c r="AG93" t="s">
        <v>36</v>
      </c>
      <c r="AH93" t="s">
        <v>36</v>
      </c>
      <c r="AI93" s="1">
        <v>43530</v>
      </c>
      <c r="AJ93" s="1">
        <v>43528</v>
      </c>
    </row>
    <row r="94" spans="1:36" x14ac:dyDescent="0.35">
      <c r="A94">
        <v>4132</v>
      </c>
      <c r="B94" t="s">
        <v>1022</v>
      </c>
      <c r="C94" t="s">
        <v>36</v>
      </c>
      <c r="D94" t="s">
        <v>36</v>
      </c>
      <c r="E94" t="s">
        <v>36</v>
      </c>
      <c r="F94" t="s">
        <v>36</v>
      </c>
      <c r="G94" s="1">
        <v>43530</v>
      </c>
      <c r="H94" t="s">
        <v>36</v>
      </c>
      <c r="I94" t="s">
        <v>36</v>
      </c>
      <c r="J94" t="s">
        <v>36</v>
      </c>
      <c r="K94" t="s">
        <v>36</v>
      </c>
      <c r="L94" t="s">
        <v>36</v>
      </c>
      <c r="M94" t="s">
        <v>36</v>
      </c>
      <c r="N94" t="s">
        <v>36</v>
      </c>
      <c r="O94" t="s">
        <v>36</v>
      </c>
      <c r="P94" s="1">
        <v>43557</v>
      </c>
      <c r="Q94" t="s">
        <v>36</v>
      </c>
      <c r="R94" t="s">
        <v>36</v>
      </c>
      <c r="S94" t="s">
        <v>36</v>
      </c>
      <c r="T94" s="1">
        <v>43557</v>
      </c>
      <c r="U94" t="s">
        <v>36</v>
      </c>
      <c r="V94" t="s">
        <v>36</v>
      </c>
      <c r="W94" t="s">
        <v>36</v>
      </c>
      <c r="X94" t="s">
        <v>36</v>
      </c>
      <c r="Y94" t="s">
        <v>36</v>
      </c>
      <c r="Z94" t="s">
        <v>36</v>
      </c>
      <c r="AA94" t="s">
        <v>36</v>
      </c>
      <c r="AB94" t="s">
        <v>36</v>
      </c>
      <c r="AC94" t="s">
        <v>36</v>
      </c>
      <c r="AD94" t="s">
        <v>36</v>
      </c>
      <c r="AE94" t="s">
        <v>36</v>
      </c>
      <c r="AF94" s="1">
        <v>43529</v>
      </c>
      <c r="AG94" t="s">
        <v>36</v>
      </c>
      <c r="AH94" t="s">
        <v>36</v>
      </c>
      <c r="AI94" s="1">
        <v>43530</v>
      </c>
      <c r="AJ94" s="1">
        <v>43528</v>
      </c>
    </row>
    <row r="95" spans="1:36" x14ac:dyDescent="0.35">
      <c r="A95">
        <v>215</v>
      </c>
      <c r="B95" t="s">
        <v>155</v>
      </c>
      <c r="C95" t="s">
        <v>36</v>
      </c>
      <c r="D95" t="s">
        <v>36</v>
      </c>
      <c r="E95" t="s">
        <v>36</v>
      </c>
      <c r="F95" t="s">
        <v>36</v>
      </c>
      <c r="G95" s="1">
        <v>41426</v>
      </c>
      <c r="H95" t="s">
        <v>36</v>
      </c>
      <c r="I95" t="s">
        <v>36</v>
      </c>
      <c r="J95" t="s">
        <v>36</v>
      </c>
      <c r="K95" t="s">
        <v>36</v>
      </c>
      <c r="L95" t="s">
        <v>36</v>
      </c>
      <c r="M95" t="s">
        <v>36</v>
      </c>
      <c r="N95" t="s">
        <v>36</v>
      </c>
      <c r="O95" t="s">
        <v>36</v>
      </c>
      <c r="P95" s="1">
        <v>43059.576388888891</v>
      </c>
      <c r="Q95" t="s">
        <v>36</v>
      </c>
      <c r="R95" t="s">
        <v>36</v>
      </c>
      <c r="S95" t="s">
        <v>36</v>
      </c>
      <c r="T95" s="1">
        <v>42528.291666666664</v>
      </c>
      <c r="U95" t="s">
        <v>36</v>
      </c>
      <c r="V95" t="s">
        <v>36</v>
      </c>
      <c r="W95" t="s">
        <v>36</v>
      </c>
      <c r="X95" t="s">
        <v>36</v>
      </c>
      <c r="Y95" t="s">
        <v>36</v>
      </c>
      <c r="Z95" t="s">
        <v>36</v>
      </c>
      <c r="AA95" t="s">
        <v>36</v>
      </c>
      <c r="AB95" t="s">
        <v>36</v>
      </c>
      <c r="AC95" t="s">
        <v>36</v>
      </c>
      <c r="AD95" t="s">
        <v>36</v>
      </c>
      <c r="AE95" t="s">
        <v>36</v>
      </c>
      <c r="AF95" s="1">
        <v>42058.680555555555</v>
      </c>
      <c r="AG95" s="32">
        <v>43040</v>
      </c>
      <c r="AH95" t="s">
        <v>36</v>
      </c>
      <c r="AI95" s="1">
        <v>41426</v>
      </c>
      <c r="AJ95" s="1">
        <v>43059.576388888891</v>
      </c>
    </row>
    <row r="96" spans="1:36" x14ac:dyDescent="0.35">
      <c r="A96">
        <v>321</v>
      </c>
      <c r="B96" t="s">
        <v>189</v>
      </c>
      <c r="C96" t="s">
        <v>36</v>
      </c>
      <c r="D96" t="s">
        <v>36</v>
      </c>
      <c r="E96" t="s">
        <v>36</v>
      </c>
      <c r="F96" t="s">
        <v>36</v>
      </c>
      <c r="G96" s="1">
        <v>42482.388888888891</v>
      </c>
      <c r="H96" t="s">
        <v>36</v>
      </c>
      <c r="I96" t="s">
        <v>36</v>
      </c>
      <c r="J96" t="s">
        <v>36</v>
      </c>
      <c r="K96" t="s">
        <v>36</v>
      </c>
      <c r="L96" t="s">
        <v>36</v>
      </c>
      <c r="M96" t="s">
        <v>36</v>
      </c>
      <c r="N96" t="s">
        <v>36</v>
      </c>
      <c r="O96" t="s">
        <v>36</v>
      </c>
      <c r="P96" s="1">
        <v>43059.576388888891</v>
      </c>
      <c r="Q96" t="s">
        <v>36</v>
      </c>
      <c r="R96" t="s">
        <v>36</v>
      </c>
      <c r="S96" t="s">
        <v>36</v>
      </c>
      <c r="T96" s="1">
        <v>42555.659722222219</v>
      </c>
      <c r="U96" t="s">
        <v>36</v>
      </c>
      <c r="V96" t="s">
        <v>36</v>
      </c>
      <c r="W96" t="s">
        <v>36</v>
      </c>
      <c r="X96" t="s">
        <v>36</v>
      </c>
      <c r="Y96" t="s">
        <v>36</v>
      </c>
      <c r="Z96" t="s">
        <v>36</v>
      </c>
      <c r="AA96" t="s">
        <v>36</v>
      </c>
      <c r="AB96" t="s">
        <v>36</v>
      </c>
      <c r="AC96" t="s">
        <v>36</v>
      </c>
      <c r="AD96" t="s">
        <v>36</v>
      </c>
      <c r="AE96" t="s">
        <v>36</v>
      </c>
      <c r="AF96" s="1">
        <v>42492.493055555555</v>
      </c>
      <c r="AG96" t="s">
        <v>36</v>
      </c>
      <c r="AH96" t="s">
        <v>36</v>
      </c>
      <c r="AI96" s="1">
        <v>42492.895833333336</v>
      </c>
      <c r="AJ96" s="1">
        <v>43059.576388888891</v>
      </c>
    </row>
    <row r="97" spans="1:36" x14ac:dyDescent="0.35">
      <c r="A97">
        <v>4404</v>
      </c>
      <c r="B97" t="s">
        <v>1185</v>
      </c>
      <c r="C97" t="s">
        <v>36</v>
      </c>
      <c r="D97" t="s">
        <v>36</v>
      </c>
      <c r="E97" t="s">
        <v>36</v>
      </c>
      <c r="F97" t="s">
        <v>36</v>
      </c>
      <c r="G97" s="1">
        <v>43857.791666666664</v>
      </c>
      <c r="H97" t="s">
        <v>36</v>
      </c>
      <c r="I97" t="s">
        <v>36</v>
      </c>
      <c r="J97" t="s">
        <v>36</v>
      </c>
      <c r="K97" t="s">
        <v>36</v>
      </c>
      <c r="L97" t="s">
        <v>36</v>
      </c>
      <c r="M97" t="s">
        <v>36</v>
      </c>
      <c r="N97" t="s">
        <v>36</v>
      </c>
      <c r="O97" t="s">
        <v>36</v>
      </c>
      <c r="P97" s="1">
        <v>43857.791666666664</v>
      </c>
      <c r="Q97" t="s">
        <v>36</v>
      </c>
      <c r="R97" t="s">
        <v>36</v>
      </c>
      <c r="S97" t="s">
        <v>36</v>
      </c>
      <c r="T97" s="1">
        <v>43857.791666666664</v>
      </c>
      <c r="U97" t="s">
        <v>36</v>
      </c>
      <c r="V97" t="s">
        <v>36</v>
      </c>
      <c r="W97" t="s">
        <v>36</v>
      </c>
      <c r="X97" t="s">
        <v>36</v>
      </c>
      <c r="Y97" t="s">
        <v>36</v>
      </c>
      <c r="Z97" t="s">
        <v>36</v>
      </c>
      <c r="AA97" t="s">
        <v>36</v>
      </c>
      <c r="AB97" t="s">
        <v>36</v>
      </c>
      <c r="AC97" t="s">
        <v>36</v>
      </c>
      <c r="AD97" t="s">
        <v>36</v>
      </c>
      <c r="AE97" t="s">
        <v>36</v>
      </c>
      <c r="AF97" s="1">
        <v>43857.791666666664</v>
      </c>
      <c r="AG97" t="s">
        <v>36</v>
      </c>
      <c r="AH97" t="s">
        <v>36</v>
      </c>
      <c r="AI97" s="1">
        <v>43857.791666666664</v>
      </c>
      <c r="AJ97" s="1">
        <v>43857.791666666664</v>
      </c>
    </row>
    <row r="98" spans="1:36" x14ac:dyDescent="0.35">
      <c r="A98">
        <v>4405</v>
      </c>
      <c r="B98" t="s">
        <v>1186</v>
      </c>
      <c r="C98" t="s">
        <v>36</v>
      </c>
      <c r="D98" t="s">
        <v>36</v>
      </c>
      <c r="E98" t="s">
        <v>36</v>
      </c>
      <c r="F98" t="s">
        <v>36</v>
      </c>
      <c r="G98" s="1">
        <v>43857.791666666664</v>
      </c>
      <c r="H98" t="s">
        <v>36</v>
      </c>
      <c r="I98" t="s">
        <v>36</v>
      </c>
      <c r="J98" t="s">
        <v>36</v>
      </c>
      <c r="K98" t="s">
        <v>36</v>
      </c>
      <c r="L98" t="s">
        <v>36</v>
      </c>
      <c r="M98" t="s">
        <v>36</v>
      </c>
      <c r="N98" t="s">
        <v>36</v>
      </c>
      <c r="O98" t="s">
        <v>36</v>
      </c>
      <c r="P98" s="1">
        <v>43857.791666666664</v>
      </c>
      <c r="Q98" t="s">
        <v>36</v>
      </c>
      <c r="R98" t="s">
        <v>36</v>
      </c>
      <c r="S98" t="s">
        <v>36</v>
      </c>
      <c r="T98" s="1">
        <v>43857.791666666664</v>
      </c>
      <c r="U98" t="s">
        <v>36</v>
      </c>
      <c r="V98" t="s">
        <v>36</v>
      </c>
      <c r="W98" t="s">
        <v>36</v>
      </c>
      <c r="X98" t="s">
        <v>36</v>
      </c>
      <c r="Y98" t="s">
        <v>36</v>
      </c>
      <c r="Z98" t="s">
        <v>36</v>
      </c>
      <c r="AA98" t="s">
        <v>36</v>
      </c>
      <c r="AB98" t="s">
        <v>36</v>
      </c>
      <c r="AC98" t="s">
        <v>36</v>
      </c>
      <c r="AD98" t="s">
        <v>36</v>
      </c>
      <c r="AE98" t="s">
        <v>36</v>
      </c>
      <c r="AF98" s="1">
        <v>43857.791666666664</v>
      </c>
      <c r="AG98" t="s">
        <v>36</v>
      </c>
      <c r="AH98" t="s">
        <v>36</v>
      </c>
      <c r="AI98" s="1">
        <v>43857.791666666664</v>
      </c>
      <c r="AJ98" s="1">
        <v>43857.791666666664</v>
      </c>
    </row>
    <row r="99" spans="1:36" x14ac:dyDescent="0.35">
      <c r="A99">
        <v>4406</v>
      </c>
      <c r="B99" t="s">
        <v>1187</v>
      </c>
      <c r="C99" t="s">
        <v>36</v>
      </c>
      <c r="D99" t="s">
        <v>36</v>
      </c>
      <c r="E99" t="s">
        <v>36</v>
      </c>
      <c r="F99" t="s">
        <v>36</v>
      </c>
      <c r="G99" s="1">
        <v>43857.791666666664</v>
      </c>
      <c r="H99" t="s">
        <v>36</v>
      </c>
      <c r="I99" t="s">
        <v>36</v>
      </c>
      <c r="J99" t="s">
        <v>36</v>
      </c>
      <c r="K99" t="s">
        <v>36</v>
      </c>
      <c r="L99" t="s">
        <v>36</v>
      </c>
      <c r="M99" t="s">
        <v>36</v>
      </c>
      <c r="N99" t="s">
        <v>36</v>
      </c>
      <c r="O99" t="s">
        <v>36</v>
      </c>
      <c r="P99" s="1">
        <v>43857.791666666664</v>
      </c>
      <c r="Q99" t="s">
        <v>36</v>
      </c>
      <c r="R99" t="s">
        <v>36</v>
      </c>
      <c r="S99" t="s">
        <v>36</v>
      </c>
      <c r="T99" s="1">
        <v>43857.791666666664</v>
      </c>
      <c r="U99" t="s">
        <v>36</v>
      </c>
      <c r="V99" t="s">
        <v>36</v>
      </c>
      <c r="W99" t="s">
        <v>36</v>
      </c>
      <c r="X99" t="s">
        <v>36</v>
      </c>
      <c r="Y99" t="s">
        <v>36</v>
      </c>
      <c r="Z99" t="s">
        <v>36</v>
      </c>
      <c r="AA99" t="s">
        <v>36</v>
      </c>
      <c r="AB99" t="s">
        <v>36</v>
      </c>
      <c r="AC99" t="s">
        <v>36</v>
      </c>
      <c r="AD99" t="s">
        <v>36</v>
      </c>
      <c r="AE99" t="s">
        <v>36</v>
      </c>
      <c r="AF99" s="1">
        <v>43857.791666666664</v>
      </c>
      <c r="AG99" t="s">
        <v>36</v>
      </c>
      <c r="AH99" t="s">
        <v>36</v>
      </c>
      <c r="AI99" s="1">
        <v>43857.791666666664</v>
      </c>
      <c r="AJ99" s="1">
        <v>43857.791666666664</v>
      </c>
    </row>
    <row r="100" spans="1:36" x14ac:dyDescent="0.35">
      <c r="A100">
        <v>4401</v>
      </c>
      <c r="B100" t="s">
        <v>1182</v>
      </c>
      <c r="C100" t="s">
        <v>36</v>
      </c>
      <c r="D100" t="s">
        <v>36</v>
      </c>
      <c r="E100" t="s">
        <v>36</v>
      </c>
      <c r="F100" t="s">
        <v>36</v>
      </c>
      <c r="G100" s="1">
        <v>43530</v>
      </c>
      <c r="H100" t="s">
        <v>36</v>
      </c>
      <c r="I100" t="s">
        <v>36</v>
      </c>
      <c r="J100" t="s">
        <v>36</v>
      </c>
      <c r="K100" t="s">
        <v>36</v>
      </c>
      <c r="L100" t="s">
        <v>36</v>
      </c>
      <c r="M100" t="s">
        <v>36</v>
      </c>
      <c r="N100" t="s">
        <v>36</v>
      </c>
      <c r="O100" t="s">
        <v>36</v>
      </c>
      <c r="P100" s="1">
        <v>43559</v>
      </c>
      <c r="Q100" t="s">
        <v>36</v>
      </c>
      <c r="R100" t="s">
        <v>36</v>
      </c>
      <c r="S100" t="s">
        <v>36</v>
      </c>
      <c r="T100" s="1">
        <v>43557</v>
      </c>
      <c r="U100" t="s">
        <v>36</v>
      </c>
      <c r="V100" t="s">
        <v>36</v>
      </c>
      <c r="W100" t="s">
        <v>36</v>
      </c>
      <c r="X100" t="s">
        <v>36</v>
      </c>
      <c r="Y100" t="s">
        <v>36</v>
      </c>
      <c r="Z100" t="s">
        <v>36</v>
      </c>
      <c r="AA100" t="s">
        <v>36</v>
      </c>
      <c r="AB100" t="s">
        <v>36</v>
      </c>
      <c r="AC100" t="s">
        <v>36</v>
      </c>
      <c r="AD100" t="s">
        <v>36</v>
      </c>
      <c r="AE100" t="s">
        <v>36</v>
      </c>
      <c r="AF100" s="1">
        <v>43529</v>
      </c>
      <c r="AG100" t="s">
        <v>36</v>
      </c>
      <c r="AH100" t="s">
        <v>36</v>
      </c>
      <c r="AI100" s="1">
        <v>43530</v>
      </c>
      <c r="AJ100" s="1">
        <v>43528</v>
      </c>
    </row>
    <row r="101" spans="1:36" x14ac:dyDescent="0.35">
      <c r="A101">
        <v>4402</v>
      </c>
      <c r="B101" t="s">
        <v>1183</v>
      </c>
      <c r="C101" t="s">
        <v>36</v>
      </c>
      <c r="D101" t="s">
        <v>36</v>
      </c>
      <c r="E101" t="s">
        <v>36</v>
      </c>
      <c r="F101" t="s">
        <v>36</v>
      </c>
      <c r="G101" s="1">
        <v>43530</v>
      </c>
      <c r="H101" t="s">
        <v>36</v>
      </c>
      <c r="I101" t="s">
        <v>36</v>
      </c>
      <c r="J101" t="s">
        <v>36</v>
      </c>
      <c r="K101" t="s">
        <v>36</v>
      </c>
      <c r="L101" t="s">
        <v>36</v>
      </c>
      <c r="M101" t="s">
        <v>36</v>
      </c>
      <c r="N101" t="s">
        <v>36</v>
      </c>
      <c r="O101" t="s">
        <v>36</v>
      </c>
      <c r="P101" s="1">
        <v>43557</v>
      </c>
      <c r="Q101" t="s">
        <v>36</v>
      </c>
      <c r="R101" t="s">
        <v>36</v>
      </c>
      <c r="S101" t="s">
        <v>36</v>
      </c>
      <c r="T101" s="1">
        <v>43557</v>
      </c>
      <c r="U101" t="s">
        <v>36</v>
      </c>
      <c r="V101" t="s">
        <v>36</v>
      </c>
      <c r="W101" t="s">
        <v>36</v>
      </c>
      <c r="X101" t="s">
        <v>36</v>
      </c>
      <c r="Y101" t="s">
        <v>36</v>
      </c>
      <c r="Z101" t="s">
        <v>36</v>
      </c>
      <c r="AA101" t="s">
        <v>36</v>
      </c>
      <c r="AB101" t="s">
        <v>36</v>
      </c>
      <c r="AC101" t="s">
        <v>36</v>
      </c>
      <c r="AD101" t="s">
        <v>36</v>
      </c>
      <c r="AE101" t="s">
        <v>36</v>
      </c>
      <c r="AF101" s="1">
        <v>43529</v>
      </c>
      <c r="AG101" t="s">
        <v>36</v>
      </c>
      <c r="AH101" t="s">
        <v>36</v>
      </c>
      <c r="AI101" s="1">
        <v>43530</v>
      </c>
      <c r="AJ101" s="1">
        <v>43528</v>
      </c>
    </row>
    <row r="102" spans="1:36" x14ac:dyDescent="0.35">
      <c r="A102">
        <v>4403</v>
      </c>
      <c r="B102" t="s">
        <v>1184</v>
      </c>
      <c r="C102" t="s">
        <v>36</v>
      </c>
      <c r="D102" t="s">
        <v>36</v>
      </c>
      <c r="E102" t="s">
        <v>36</v>
      </c>
      <c r="F102" t="s">
        <v>36</v>
      </c>
      <c r="G102" s="1">
        <v>43530</v>
      </c>
      <c r="H102" t="s">
        <v>36</v>
      </c>
      <c r="I102" t="s">
        <v>36</v>
      </c>
      <c r="J102" t="s">
        <v>36</v>
      </c>
      <c r="K102" t="s">
        <v>36</v>
      </c>
      <c r="L102" t="s">
        <v>36</v>
      </c>
      <c r="M102" t="s">
        <v>36</v>
      </c>
      <c r="N102" t="s">
        <v>36</v>
      </c>
      <c r="O102" t="s">
        <v>36</v>
      </c>
      <c r="P102" s="1">
        <v>43557</v>
      </c>
      <c r="Q102" t="s">
        <v>36</v>
      </c>
      <c r="R102" t="s">
        <v>36</v>
      </c>
      <c r="S102" t="s">
        <v>36</v>
      </c>
      <c r="T102" s="1">
        <v>43557</v>
      </c>
      <c r="U102" t="s">
        <v>36</v>
      </c>
      <c r="V102" t="s">
        <v>36</v>
      </c>
      <c r="W102" t="s">
        <v>36</v>
      </c>
      <c r="X102" t="s">
        <v>36</v>
      </c>
      <c r="Y102" t="s">
        <v>36</v>
      </c>
      <c r="Z102" t="s">
        <v>36</v>
      </c>
      <c r="AA102" t="s">
        <v>36</v>
      </c>
      <c r="AB102" t="s">
        <v>36</v>
      </c>
      <c r="AC102" t="s">
        <v>36</v>
      </c>
      <c r="AD102" t="s">
        <v>36</v>
      </c>
      <c r="AE102" t="s">
        <v>36</v>
      </c>
      <c r="AF102" s="1">
        <v>43529</v>
      </c>
      <c r="AG102" t="s">
        <v>36</v>
      </c>
      <c r="AH102" t="s">
        <v>36</v>
      </c>
      <c r="AI102" s="1">
        <v>43530</v>
      </c>
      <c r="AJ102" s="1">
        <v>43528</v>
      </c>
    </row>
    <row r="103" spans="1:36" x14ac:dyDescent="0.35">
      <c r="A103">
        <v>33</v>
      </c>
      <c r="B103" t="s">
        <v>68</v>
      </c>
      <c r="C103" t="s">
        <v>36</v>
      </c>
      <c r="D103" t="s">
        <v>36</v>
      </c>
      <c r="E103" t="s">
        <v>36</v>
      </c>
      <c r="F103" t="s">
        <v>36</v>
      </c>
      <c r="G103" s="1">
        <v>41426</v>
      </c>
      <c r="H103" t="s">
        <v>36</v>
      </c>
      <c r="I103" t="s">
        <v>36</v>
      </c>
      <c r="J103" t="s">
        <v>36</v>
      </c>
      <c r="K103" t="s">
        <v>36</v>
      </c>
      <c r="L103" t="s">
        <v>36</v>
      </c>
      <c r="M103" t="s">
        <v>36</v>
      </c>
      <c r="N103" t="s">
        <v>36</v>
      </c>
      <c r="O103" t="s">
        <v>36</v>
      </c>
      <c r="P103" s="1">
        <v>43059.576388888891</v>
      </c>
      <c r="Q103" s="1">
        <v>40911.534722222219</v>
      </c>
      <c r="R103" t="s">
        <v>36</v>
      </c>
      <c r="S103" t="s">
        <v>36</v>
      </c>
      <c r="T103" s="1">
        <v>42528.291666666664</v>
      </c>
      <c r="U103" t="s">
        <v>36</v>
      </c>
      <c r="V103" t="s">
        <v>36</v>
      </c>
      <c r="W103" t="s">
        <v>36</v>
      </c>
      <c r="X103" t="s">
        <v>36</v>
      </c>
      <c r="Y103" t="s">
        <v>36</v>
      </c>
      <c r="Z103" t="s">
        <v>36</v>
      </c>
      <c r="AA103" t="s">
        <v>36</v>
      </c>
      <c r="AB103" t="s">
        <v>36</v>
      </c>
      <c r="AC103" t="s">
        <v>36</v>
      </c>
      <c r="AD103" t="s">
        <v>36</v>
      </c>
      <c r="AE103" t="s">
        <v>36</v>
      </c>
      <c r="AF103" s="1">
        <v>42058.680555555555</v>
      </c>
      <c r="AG103" t="s">
        <v>36</v>
      </c>
      <c r="AH103" t="s">
        <v>36</v>
      </c>
      <c r="AI103" s="1">
        <v>41426</v>
      </c>
      <c r="AJ103" s="1">
        <v>43059.576388888891</v>
      </c>
    </row>
    <row r="104" spans="1:36" x14ac:dyDescent="0.35">
      <c r="A104">
        <v>3013</v>
      </c>
      <c r="B104" t="s">
        <v>914</v>
      </c>
      <c r="C104" t="s">
        <v>36</v>
      </c>
      <c r="D104" t="s">
        <v>36</v>
      </c>
      <c r="E104" t="s">
        <v>36</v>
      </c>
      <c r="F104" t="s">
        <v>36</v>
      </c>
      <c r="G104" s="1">
        <v>43530</v>
      </c>
      <c r="H104" t="s">
        <v>36</v>
      </c>
      <c r="I104" t="s">
        <v>36</v>
      </c>
      <c r="J104" t="s">
        <v>36</v>
      </c>
      <c r="K104" t="s">
        <v>36</v>
      </c>
      <c r="L104" t="s">
        <v>36</v>
      </c>
      <c r="M104" t="s">
        <v>36</v>
      </c>
      <c r="N104" t="s">
        <v>36</v>
      </c>
      <c r="O104" t="s">
        <v>36</v>
      </c>
      <c r="P104" s="1">
        <v>43559</v>
      </c>
      <c r="Q104" s="1">
        <v>43245.618055555555</v>
      </c>
      <c r="R104" t="s">
        <v>36</v>
      </c>
      <c r="S104" t="s">
        <v>36</v>
      </c>
      <c r="T104" s="1">
        <v>43557</v>
      </c>
      <c r="U104" t="s">
        <v>36</v>
      </c>
      <c r="V104" t="s">
        <v>36</v>
      </c>
      <c r="W104" t="s">
        <v>36</v>
      </c>
      <c r="X104" t="s">
        <v>36</v>
      </c>
      <c r="Y104" t="s">
        <v>36</v>
      </c>
      <c r="Z104" t="s">
        <v>36</v>
      </c>
      <c r="AA104" t="s">
        <v>36</v>
      </c>
      <c r="AB104" t="s">
        <v>36</v>
      </c>
      <c r="AC104" t="s">
        <v>36</v>
      </c>
      <c r="AD104" t="s">
        <v>36</v>
      </c>
      <c r="AE104" t="s">
        <v>36</v>
      </c>
      <c r="AF104" s="1">
        <v>43529</v>
      </c>
      <c r="AG104" t="s">
        <v>36</v>
      </c>
      <c r="AH104" t="s">
        <v>36</v>
      </c>
      <c r="AI104" s="1">
        <v>43530</v>
      </c>
      <c r="AJ104" s="1">
        <v>43528</v>
      </c>
    </row>
    <row r="105" spans="1:36" x14ac:dyDescent="0.35">
      <c r="A105">
        <v>3014</v>
      </c>
      <c r="B105" t="s">
        <v>915</v>
      </c>
      <c r="C105" t="s">
        <v>36</v>
      </c>
      <c r="D105" t="s">
        <v>36</v>
      </c>
      <c r="E105" t="s">
        <v>36</v>
      </c>
      <c r="F105" t="s">
        <v>36</v>
      </c>
      <c r="G105" s="1">
        <v>43530</v>
      </c>
      <c r="H105" t="s">
        <v>36</v>
      </c>
      <c r="I105" t="s">
        <v>36</v>
      </c>
      <c r="J105" t="s">
        <v>36</v>
      </c>
      <c r="K105" t="s">
        <v>36</v>
      </c>
      <c r="L105" t="s">
        <v>36</v>
      </c>
      <c r="M105" t="s">
        <v>36</v>
      </c>
      <c r="N105" t="s">
        <v>36</v>
      </c>
      <c r="O105" t="s">
        <v>36</v>
      </c>
      <c r="P105" s="1">
        <v>43557</v>
      </c>
      <c r="Q105" s="1">
        <v>43245.618055555555</v>
      </c>
      <c r="R105" t="s">
        <v>36</v>
      </c>
      <c r="S105" t="s">
        <v>36</v>
      </c>
      <c r="T105" s="1">
        <v>43557</v>
      </c>
      <c r="U105" t="s">
        <v>36</v>
      </c>
      <c r="V105" t="s">
        <v>36</v>
      </c>
      <c r="W105" t="s">
        <v>36</v>
      </c>
      <c r="X105" t="s">
        <v>36</v>
      </c>
      <c r="Y105" t="s">
        <v>36</v>
      </c>
      <c r="Z105" t="s">
        <v>36</v>
      </c>
      <c r="AA105" t="s">
        <v>36</v>
      </c>
      <c r="AB105" t="s">
        <v>36</v>
      </c>
      <c r="AC105" t="s">
        <v>36</v>
      </c>
      <c r="AD105" t="s">
        <v>36</v>
      </c>
      <c r="AE105" t="s">
        <v>36</v>
      </c>
      <c r="AF105" s="1">
        <v>43529</v>
      </c>
      <c r="AG105" t="s">
        <v>36</v>
      </c>
      <c r="AH105" t="s">
        <v>36</v>
      </c>
      <c r="AI105" s="1">
        <v>43530</v>
      </c>
      <c r="AJ105" s="1">
        <v>43528</v>
      </c>
    </row>
    <row r="106" spans="1:36" x14ac:dyDescent="0.35">
      <c r="A106">
        <v>3015</v>
      </c>
      <c r="B106" t="s">
        <v>916</v>
      </c>
      <c r="C106" t="s">
        <v>36</v>
      </c>
      <c r="D106" t="s">
        <v>36</v>
      </c>
      <c r="E106" t="s">
        <v>36</v>
      </c>
      <c r="F106" t="s">
        <v>36</v>
      </c>
      <c r="G106" s="1">
        <v>43530</v>
      </c>
      <c r="H106" t="s">
        <v>36</v>
      </c>
      <c r="I106" t="s">
        <v>36</v>
      </c>
      <c r="J106" t="s">
        <v>36</v>
      </c>
      <c r="K106" t="s">
        <v>36</v>
      </c>
      <c r="L106" t="s">
        <v>36</v>
      </c>
      <c r="M106" t="s">
        <v>36</v>
      </c>
      <c r="N106" t="s">
        <v>36</v>
      </c>
      <c r="O106" t="s">
        <v>36</v>
      </c>
      <c r="P106" s="1">
        <v>43557</v>
      </c>
      <c r="Q106" s="1">
        <v>43245.618055555555</v>
      </c>
      <c r="R106" t="s">
        <v>36</v>
      </c>
      <c r="S106" t="s">
        <v>36</v>
      </c>
      <c r="T106" s="1">
        <v>43557</v>
      </c>
      <c r="U106" t="s">
        <v>36</v>
      </c>
      <c r="V106" t="s">
        <v>36</v>
      </c>
      <c r="W106" t="s">
        <v>36</v>
      </c>
      <c r="X106" t="s">
        <v>36</v>
      </c>
      <c r="Y106" t="s">
        <v>36</v>
      </c>
      <c r="Z106" t="s">
        <v>36</v>
      </c>
      <c r="AA106" t="s">
        <v>36</v>
      </c>
      <c r="AB106" t="s">
        <v>36</v>
      </c>
      <c r="AC106" t="s">
        <v>36</v>
      </c>
      <c r="AD106" t="s">
        <v>36</v>
      </c>
      <c r="AE106" t="s">
        <v>36</v>
      </c>
      <c r="AF106" s="1">
        <v>43529</v>
      </c>
      <c r="AG106" t="s">
        <v>36</v>
      </c>
      <c r="AH106" t="s">
        <v>36</v>
      </c>
      <c r="AI106" s="1">
        <v>43530</v>
      </c>
      <c r="AJ106" s="1">
        <v>43528</v>
      </c>
    </row>
    <row r="107" spans="1:36" x14ac:dyDescent="0.35">
      <c r="A107">
        <v>302</v>
      </c>
      <c r="B107" t="s">
        <v>181</v>
      </c>
      <c r="C107" t="s">
        <v>36</v>
      </c>
      <c r="D107" s="1">
        <v>42058.680555555555</v>
      </c>
      <c r="E107" t="s">
        <v>36</v>
      </c>
      <c r="F107" t="s">
        <v>36</v>
      </c>
      <c r="G107" t="s">
        <v>36</v>
      </c>
      <c r="H107" t="s">
        <v>36</v>
      </c>
      <c r="I107" t="s">
        <v>36</v>
      </c>
      <c r="J107" t="s">
        <v>36</v>
      </c>
      <c r="K107" t="s">
        <v>36</v>
      </c>
      <c r="L107" t="s">
        <v>36</v>
      </c>
      <c r="M107" t="s">
        <v>36</v>
      </c>
      <c r="N107" s="1">
        <v>42735.993055555555</v>
      </c>
      <c r="O107" s="1">
        <v>42206.583333333336</v>
      </c>
      <c r="P107" t="s">
        <v>36</v>
      </c>
      <c r="Q107" t="s">
        <v>36</v>
      </c>
      <c r="R107" t="s">
        <v>36</v>
      </c>
      <c r="S107" t="s">
        <v>36</v>
      </c>
      <c r="T107" t="s">
        <v>36</v>
      </c>
      <c r="U107" t="s">
        <v>36</v>
      </c>
      <c r="V107" t="s">
        <v>36</v>
      </c>
      <c r="W107" t="s">
        <v>36</v>
      </c>
      <c r="X107" s="1">
        <v>42193.652777777781</v>
      </c>
      <c r="Y107" t="s">
        <v>36</v>
      </c>
      <c r="Z107" t="s">
        <v>36</v>
      </c>
      <c r="AA107" t="s">
        <v>36</v>
      </c>
      <c r="AB107" t="s">
        <v>36</v>
      </c>
      <c r="AC107" t="s">
        <v>36</v>
      </c>
      <c r="AD107" t="s">
        <v>36</v>
      </c>
      <c r="AE107" t="s">
        <v>36</v>
      </c>
      <c r="AF107" t="s">
        <v>36</v>
      </c>
      <c r="AG107" t="s">
        <v>36</v>
      </c>
      <c r="AH107" t="s">
        <v>36</v>
      </c>
      <c r="AI107" t="s">
        <v>36</v>
      </c>
      <c r="AJ107" t="s">
        <v>36</v>
      </c>
    </row>
    <row r="108" spans="1:36" x14ac:dyDescent="0.35">
      <c r="A108">
        <v>3760</v>
      </c>
      <c r="B108" t="s">
        <v>961</v>
      </c>
      <c r="C108" t="s">
        <v>36</v>
      </c>
      <c r="D108" t="s">
        <v>36</v>
      </c>
      <c r="E108" t="s">
        <v>36</v>
      </c>
      <c r="F108" t="s">
        <v>36</v>
      </c>
      <c r="G108" t="s">
        <v>36</v>
      </c>
      <c r="H108" t="s">
        <v>36</v>
      </c>
      <c r="I108" t="s">
        <v>36</v>
      </c>
      <c r="J108" t="s">
        <v>36</v>
      </c>
      <c r="K108" t="s">
        <v>36</v>
      </c>
      <c r="L108" t="s">
        <v>36</v>
      </c>
      <c r="M108" t="s">
        <v>36</v>
      </c>
      <c r="N108" s="1">
        <v>43948.465277777781</v>
      </c>
      <c r="O108" s="1">
        <v>42206.583333333336</v>
      </c>
      <c r="P108" t="s">
        <v>36</v>
      </c>
      <c r="Q108" t="s">
        <v>36</v>
      </c>
      <c r="R108" t="s">
        <v>36</v>
      </c>
      <c r="S108" t="s">
        <v>36</v>
      </c>
      <c r="T108" t="s">
        <v>36</v>
      </c>
      <c r="U108" t="s">
        <v>36</v>
      </c>
      <c r="V108" t="s">
        <v>36</v>
      </c>
      <c r="W108" t="s">
        <v>36</v>
      </c>
      <c r="X108" t="s">
        <v>36</v>
      </c>
      <c r="Y108" t="s">
        <v>36</v>
      </c>
      <c r="Z108" t="s">
        <v>36</v>
      </c>
      <c r="AA108" t="s">
        <v>36</v>
      </c>
      <c r="AB108" t="s">
        <v>36</v>
      </c>
      <c r="AC108" t="s">
        <v>36</v>
      </c>
      <c r="AD108" t="s">
        <v>36</v>
      </c>
      <c r="AE108" t="s">
        <v>36</v>
      </c>
      <c r="AF108" t="s">
        <v>36</v>
      </c>
      <c r="AG108" t="s">
        <v>36</v>
      </c>
      <c r="AH108" t="s">
        <v>36</v>
      </c>
      <c r="AI108" t="s">
        <v>36</v>
      </c>
      <c r="AJ108" t="s">
        <v>36</v>
      </c>
    </row>
    <row r="109" spans="1:36" x14ac:dyDescent="0.35">
      <c r="A109">
        <v>3761</v>
      </c>
      <c r="B109" t="s">
        <v>962</v>
      </c>
      <c r="C109" t="s">
        <v>36</v>
      </c>
      <c r="D109" t="s">
        <v>36</v>
      </c>
      <c r="E109" t="s">
        <v>36</v>
      </c>
      <c r="F109" t="s">
        <v>36</v>
      </c>
      <c r="G109" t="s">
        <v>36</v>
      </c>
      <c r="H109" t="s">
        <v>36</v>
      </c>
      <c r="I109" t="s">
        <v>36</v>
      </c>
      <c r="J109" t="s">
        <v>36</v>
      </c>
      <c r="K109" t="s">
        <v>36</v>
      </c>
      <c r="L109" t="s">
        <v>36</v>
      </c>
      <c r="M109" t="s">
        <v>36</v>
      </c>
      <c r="N109" s="1">
        <v>43948.465277777781</v>
      </c>
      <c r="O109" s="1">
        <v>42206.583333333336</v>
      </c>
      <c r="P109" t="s">
        <v>36</v>
      </c>
      <c r="Q109" t="s">
        <v>36</v>
      </c>
      <c r="R109" t="s">
        <v>36</v>
      </c>
      <c r="S109" t="s">
        <v>36</v>
      </c>
      <c r="T109" t="s">
        <v>36</v>
      </c>
      <c r="U109" t="s">
        <v>36</v>
      </c>
      <c r="V109" t="s">
        <v>36</v>
      </c>
      <c r="W109" t="s">
        <v>36</v>
      </c>
      <c r="X109" t="s">
        <v>36</v>
      </c>
      <c r="Y109" t="s">
        <v>36</v>
      </c>
      <c r="Z109" t="s">
        <v>36</v>
      </c>
      <c r="AA109" t="s">
        <v>36</v>
      </c>
      <c r="AB109" t="s">
        <v>36</v>
      </c>
      <c r="AC109" t="s">
        <v>36</v>
      </c>
      <c r="AD109" t="s">
        <v>36</v>
      </c>
      <c r="AE109" t="s">
        <v>36</v>
      </c>
      <c r="AF109" t="s">
        <v>36</v>
      </c>
      <c r="AG109" t="s">
        <v>36</v>
      </c>
      <c r="AH109" t="s">
        <v>36</v>
      </c>
      <c r="AI109" t="s">
        <v>36</v>
      </c>
      <c r="AJ109" t="s">
        <v>36</v>
      </c>
    </row>
    <row r="110" spans="1:36" x14ac:dyDescent="0.35">
      <c r="A110">
        <v>49</v>
      </c>
      <c r="B110" t="s">
        <v>84</v>
      </c>
      <c r="C110" s="1">
        <v>42528.291666666664</v>
      </c>
      <c r="D110" s="1">
        <v>42058.680555555555</v>
      </c>
      <c r="E110" s="1">
        <v>39245.465277777781</v>
      </c>
      <c r="F110" s="1">
        <v>42735.993055555555</v>
      </c>
      <c r="G110" s="1">
        <v>41426</v>
      </c>
      <c r="H110" s="1">
        <v>43059.576388888891</v>
      </c>
      <c r="I110" s="1">
        <v>38757.354166666664</v>
      </c>
      <c r="J110" s="1">
        <v>39631.4375</v>
      </c>
      <c r="K110" s="1">
        <v>42528.291666666664</v>
      </c>
      <c r="L110" s="1">
        <v>42058.680555555555</v>
      </c>
      <c r="M110" s="1">
        <v>43348.625</v>
      </c>
      <c r="N110" s="1">
        <v>42735.993055555555</v>
      </c>
      <c r="O110" s="1">
        <v>42206.583333333336</v>
      </c>
      <c r="P110" s="1">
        <v>43059.576388888891</v>
      </c>
      <c r="Q110" t="s">
        <v>36</v>
      </c>
      <c r="R110" s="1">
        <v>43329.319444444445</v>
      </c>
      <c r="S110" s="1">
        <v>42735.993055555555</v>
      </c>
      <c r="T110" s="1">
        <v>42528.291666666664</v>
      </c>
      <c r="U110" s="1">
        <v>43054.631944444445</v>
      </c>
      <c r="V110" s="1">
        <v>42473.520833333336</v>
      </c>
      <c r="W110" s="1">
        <v>42735.993055555555</v>
      </c>
      <c r="X110" s="1">
        <v>42193.652777777781</v>
      </c>
      <c r="Y110" t="s">
        <v>36</v>
      </c>
      <c r="Z110" s="1">
        <v>42648.465277777781</v>
      </c>
      <c r="AA110" s="1">
        <v>43054.611111111109</v>
      </c>
      <c r="AB110" s="1">
        <v>41225.597222222219</v>
      </c>
      <c r="AC110" s="1">
        <v>42485.743055555555</v>
      </c>
      <c r="AD110" s="1">
        <v>43009</v>
      </c>
      <c r="AE110" t="s">
        <v>36</v>
      </c>
      <c r="AF110" s="1">
        <v>42058.680555555555</v>
      </c>
      <c r="AG110" s="32">
        <v>43040</v>
      </c>
      <c r="AH110" s="1">
        <v>42735.993055555555</v>
      </c>
      <c r="AI110" s="1">
        <v>41426</v>
      </c>
      <c r="AJ110" s="1">
        <v>43059.576388888891</v>
      </c>
    </row>
    <row r="111" spans="1:36" x14ac:dyDescent="0.35">
      <c r="A111">
        <v>2890</v>
      </c>
      <c r="B111" t="s">
        <v>903</v>
      </c>
      <c r="C111" s="1">
        <v>43229.416666666664</v>
      </c>
      <c r="D111" s="1">
        <v>42087.777777777781</v>
      </c>
      <c r="E111" t="s">
        <v>36</v>
      </c>
      <c r="F111" t="s">
        <v>36</v>
      </c>
      <c r="G111" s="1">
        <v>43530</v>
      </c>
      <c r="H111" t="s">
        <v>36</v>
      </c>
      <c r="I111" t="s">
        <v>36</v>
      </c>
      <c r="J111" s="1">
        <v>39631.4375</v>
      </c>
      <c r="K111" s="1">
        <v>43229.416666666664</v>
      </c>
      <c r="L111" s="1">
        <v>42058.680555555555</v>
      </c>
      <c r="M111" s="1">
        <v>43348.625</v>
      </c>
      <c r="N111" s="1">
        <v>43948.465277777781</v>
      </c>
      <c r="O111" s="1">
        <v>42206.583333333336</v>
      </c>
      <c r="P111" s="1">
        <v>43559</v>
      </c>
      <c r="Q111" t="s">
        <v>36</v>
      </c>
      <c r="R111" s="1">
        <v>43329.319444444445</v>
      </c>
      <c r="S111" t="s">
        <v>36</v>
      </c>
      <c r="T111" s="1">
        <v>43557</v>
      </c>
      <c r="U111" t="s">
        <v>36</v>
      </c>
      <c r="V111" s="1">
        <v>43229.416666666664</v>
      </c>
      <c r="W111" s="1">
        <v>43229.416666666664</v>
      </c>
      <c r="X111" s="1">
        <v>42193.652777777781</v>
      </c>
      <c r="Y111" t="s">
        <v>36</v>
      </c>
      <c r="Z111" s="1">
        <v>43229.416666666664</v>
      </c>
      <c r="AA111" t="s">
        <v>36</v>
      </c>
      <c r="AB111" s="1">
        <v>43229.416666666664</v>
      </c>
      <c r="AC111" s="1">
        <v>43229.416666666664</v>
      </c>
      <c r="AD111" s="1">
        <v>43229.416666666664</v>
      </c>
      <c r="AE111" t="s">
        <v>36</v>
      </c>
      <c r="AF111" s="1">
        <v>43529</v>
      </c>
      <c r="AG111" t="s">
        <v>36</v>
      </c>
      <c r="AH111" t="s">
        <v>36</v>
      </c>
      <c r="AI111" s="1">
        <v>43530</v>
      </c>
      <c r="AJ111" s="1">
        <v>43528</v>
      </c>
    </row>
    <row r="112" spans="1:36" x14ac:dyDescent="0.35">
      <c r="A112">
        <v>2889</v>
      </c>
      <c r="B112" t="s">
        <v>902</v>
      </c>
      <c r="C112" s="1">
        <v>43229.416666666664</v>
      </c>
      <c r="D112" t="s">
        <v>36</v>
      </c>
      <c r="E112" t="s">
        <v>36</v>
      </c>
      <c r="F112" t="s">
        <v>36</v>
      </c>
      <c r="G112" s="1">
        <v>43530</v>
      </c>
      <c r="H112" t="s">
        <v>36</v>
      </c>
      <c r="I112" t="s">
        <v>36</v>
      </c>
      <c r="J112" s="1">
        <v>39631.4375</v>
      </c>
      <c r="K112" s="1">
        <v>43229.416666666664</v>
      </c>
      <c r="L112" s="1">
        <v>42058.680555555555</v>
      </c>
      <c r="M112" s="1">
        <v>43348.625</v>
      </c>
      <c r="N112" t="s">
        <v>36</v>
      </c>
      <c r="O112" t="s">
        <v>36</v>
      </c>
      <c r="P112" s="1">
        <v>43557</v>
      </c>
      <c r="Q112" t="s">
        <v>36</v>
      </c>
      <c r="R112" s="1">
        <v>43329.319444444445</v>
      </c>
      <c r="S112" t="s">
        <v>36</v>
      </c>
      <c r="T112" s="1">
        <v>43557</v>
      </c>
      <c r="U112" t="s">
        <v>36</v>
      </c>
      <c r="V112" s="1">
        <v>43229.416666666664</v>
      </c>
      <c r="W112" s="1">
        <v>43229.416666666664</v>
      </c>
      <c r="X112" t="s">
        <v>36</v>
      </c>
      <c r="Y112" t="s">
        <v>36</v>
      </c>
      <c r="Z112" s="1">
        <v>43229.416666666664</v>
      </c>
      <c r="AA112" t="s">
        <v>36</v>
      </c>
      <c r="AB112" s="1">
        <v>43229.416666666664</v>
      </c>
      <c r="AC112" s="1">
        <v>43229.416666666664</v>
      </c>
      <c r="AD112" s="1">
        <v>43229.416666666664</v>
      </c>
      <c r="AE112" t="s">
        <v>36</v>
      </c>
      <c r="AF112" s="1">
        <v>43529</v>
      </c>
      <c r="AG112" t="s">
        <v>36</v>
      </c>
      <c r="AH112" t="s">
        <v>36</v>
      </c>
      <c r="AI112" s="1">
        <v>43530</v>
      </c>
      <c r="AJ112" s="1">
        <v>43528</v>
      </c>
    </row>
    <row r="113" spans="1:36" x14ac:dyDescent="0.35">
      <c r="A113">
        <v>2891</v>
      </c>
      <c r="B113" t="s">
        <v>904</v>
      </c>
      <c r="C113" s="1">
        <v>43229.416666666664</v>
      </c>
      <c r="D113" t="s">
        <v>36</v>
      </c>
      <c r="E113" t="s">
        <v>36</v>
      </c>
      <c r="F113" t="s">
        <v>36</v>
      </c>
      <c r="G113" s="1">
        <v>43530</v>
      </c>
      <c r="H113" t="s">
        <v>36</v>
      </c>
      <c r="I113" t="s">
        <v>36</v>
      </c>
      <c r="J113" s="1">
        <v>39631.4375</v>
      </c>
      <c r="K113" s="1">
        <v>43229.416666666664</v>
      </c>
      <c r="L113" s="1">
        <v>42058.680555555555</v>
      </c>
      <c r="M113" s="1">
        <v>43348.625</v>
      </c>
      <c r="N113" t="s">
        <v>36</v>
      </c>
      <c r="O113" t="s">
        <v>36</v>
      </c>
      <c r="P113" s="1">
        <v>43557</v>
      </c>
      <c r="Q113" t="s">
        <v>36</v>
      </c>
      <c r="R113" s="1">
        <v>43329.319444444445</v>
      </c>
      <c r="S113" t="s">
        <v>36</v>
      </c>
      <c r="T113" s="1">
        <v>43557</v>
      </c>
      <c r="U113" t="s">
        <v>36</v>
      </c>
      <c r="V113" s="1">
        <v>43229.416666666664</v>
      </c>
      <c r="W113" s="1">
        <v>43229.416666666664</v>
      </c>
      <c r="X113" t="s">
        <v>36</v>
      </c>
      <c r="Y113" t="s">
        <v>36</v>
      </c>
      <c r="Z113" s="1">
        <v>43229.416666666664</v>
      </c>
      <c r="AA113" t="s">
        <v>36</v>
      </c>
      <c r="AB113" s="1">
        <v>43229.416666666664</v>
      </c>
      <c r="AC113" s="1">
        <v>43229.416666666664</v>
      </c>
      <c r="AD113" s="1">
        <v>43229.416666666664</v>
      </c>
      <c r="AE113" t="s">
        <v>36</v>
      </c>
      <c r="AF113" s="1">
        <v>43529</v>
      </c>
      <c r="AG113" t="s">
        <v>36</v>
      </c>
      <c r="AH113" t="s">
        <v>36</v>
      </c>
      <c r="AI113" s="1">
        <v>43530</v>
      </c>
      <c r="AJ113" s="1">
        <v>43528</v>
      </c>
    </row>
    <row r="114" spans="1:36" x14ac:dyDescent="0.35">
      <c r="A114">
        <v>50</v>
      </c>
      <c r="B114" t="s">
        <v>85</v>
      </c>
      <c r="C114" s="1">
        <v>42528.291666666664</v>
      </c>
      <c r="D114" s="1">
        <v>42058.680555555555</v>
      </c>
      <c r="E114" s="1">
        <v>39245.465277777781</v>
      </c>
      <c r="F114" s="1">
        <v>42735.993055555555</v>
      </c>
      <c r="G114" s="1">
        <v>41426</v>
      </c>
      <c r="H114" s="1">
        <v>43059.576388888891</v>
      </c>
      <c r="I114" s="1">
        <v>38757.354166666664</v>
      </c>
      <c r="J114" s="1">
        <v>39631.4375</v>
      </c>
      <c r="K114" s="1">
        <v>42528.291666666664</v>
      </c>
      <c r="L114" s="1">
        <v>42058.680555555555</v>
      </c>
      <c r="M114" s="1">
        <v>43348.625</v>
      </c>
      <c r="N114" s="1">
        <v>42735.993055555555</v>
      </c>
      <c r="O114" s="1">
        <v>42206.583333333336</v>
      </c>
      <c r="P114" s="1">
        <v>43059.576388888891</v>
      </c>
      <c r="Q114" t="s">
        <v>36</v>
      </c>
      <c r="R114" s="1">
        <v>43329.319444444445</v>
      </c>
      <c r="S114" s="1">
        <v>42735.993055555555</v>
      </c>
      <c r="T114" s="1">
        <v>42528.291666666664</v>
      </c>
      <c r="U114" s="1">
        <v>43054.631944444445</v>
      </c>
      <c r="V114" s="1">
        <v>42473.520833333336</v>
      </c>
      <c r="W114" s="1">
        <v>42735.993055555555</v>
      </c>
      <c r="X114" s="1">
        <v>42193.652777777781</v>
      </c>
      <c r="Y114" t="s">
        <v>36</v>
      </c>
      <c r="Z114" s="1">
        <v>42648.465277777781</v>
      </c>
      <c r="AA114" s="1">
        <v>43054.611111111109</v>
      </c>
      <c r="AB114" s="1">
        <v>41225.597222222219</v>
      </c>
      <c r="AC114" s="1">
        <v>42485.743055555555</v>
      </c>
      <c r="AD114" s="1">
        <v>43009</v>
      </c>
      <c r="AE114" t="s">
        <v>36</v>
      </c>
      <c r="AF114" s="1">
        <v>42058.680555555555</v>
      </c>
      <c r="AG114" s="32">
        <v>43040</v>
      </c>
      <c r="AH114" s="1">
        <v>42735.993055555555</v>
      </c>
      <c r="AI114" s="1">
        <v>41426</v>
      </c>
      <c r="AJ114" s="1">
        <v>43059.576388888891</v>
      </c>
    </row>
    <row r="115" spans="1:36" x14ac:dyDescent="0.35">
      <c r="A115">
        <v>3742</v>
      </c>
      <c r="B115" t="s">
        <v>946</v>
      </c>
      <c r="C115" s="1">
        <v>43648.284722222219</v>
      </c>
      <c r="D115" s="1">
        <v>42087.777777777781</v>
      </c>
      <c r="E115" t="s">
        <v>36</v>
      </c>
      <c r="F115" t="s">
        <v>36</v>
      </c>
      <c r="G115" s="1">
        <v>43530</v>
      </c>
      <c r="H115" t="s">
        <v>36</v>
      </c>
      <c r="I115" t="s">
        <v>36</v>
      </c>
      <c r="J115" s="1">
        <v>39631.4375</v>
      </c>
      <c r="K115" s="1">
        <v>43648.284722222219</v>
      </c>
      <c r="L115" s="1">
        <v>42058.680555555555</v>
      </c>
      <c r="M115" s="1">
        <v>43647.284722222219</v>
      </c>
      <c r="N115" s="1">
        <v>43948.465277777781</v>
      </c>
      <c r="O115" s="1">
        <v>42206.583333333336</v>
      </c>
      <c r="P115" s="1">
        <v>43559</v>
      </c>
      <c r="Q115" t="s">
        <v>36</v>
      </c>
      <c r="R115" s="1">
        <v>43648.284722222219</v>
      </c>
      <c r="S115" t="s">
        <v>36</v>
      </c>
      <c r="T115" s="1">
        <v>43557</v>
      </c>
      <c r="U115" t="s">
        <v>36</v>
      </c>
      <c r="V115" s="1">
        <v>43648.284722222219</v>
      </c>
      <c r="W115" s="1">
        <v>43648.284722222219</v>
      </c>
      <c r="X115" s="1">
        <v>42193.652777777781</v>
      </c>
      <c r="Y115" t="s">
        <v>36</v>
      </c>
      <c r="Z115" s="1">
        <v>43648.284722222219</v>
      </c>
      <c r="AA115" t="s">
        <v>36</v>
      </c>
      <c r="AB115" s="1">
        <v>43648.284722222219</v>
      </c>
      <c r="AC115" s="1">
        <v>43648.284722222219</v>
      </c>
      <c r="AD115" s="1">
        <v>43648.284722222219</v>
      </c>
      <c r="AE115" t="s">
        <v>36</v>
      </c>
      <c r="AF115" s="1">
        <v>43529</v>
      </c>
      <c r="AG115" t="s">
        <v>36</v>
      </c>
      <c r="AH115" t="s">
        <v>36</v>
      </c>
      <c r="AI115" s="1">
        <v>43530</v>
      </c>
      <c r="AJ115" s="1">
        <v>43528</v>
      </c>
    </row>
    <row r="116" spans="1:36" x14ac:dyDescent="0.35">
      <c r="A116">
        <v>3783</v>
      </c>
      <c r="B116" t="s">
        <v>981</v>
      </c>
      <c r="C116" s="1">
        <v>43650.319444444445</v>
      </c>
      <c r="D116" t="s">
        <v>36</v>
      </c>
      <c r="E116" t="s">
        <v>36</v>
      </c>
      <c r="F116" t="s">
        <v>36</v>
      </c>
      <c r="G116" s="1">
        <v>43530</v>
      </c>
      <c r="H116" t="s">
        <v>36</v>
      </c>
      <c r="I116" t="s">
        <v>36</v>
      </c>
      <c r="J116" s="1">
        <v>39631.4375</v>
      </c>
      <c r="K116" s="1">
        <v>43650.326388888891</v>
      </c>
      <c r="L116" s="1">
        <v>42058.680555555555</v>
      </c>
      <c r="M116" s="1">
        <v>43647.284722222219</v>
      </c>
      <c r="N116" t="s">
        <v>36</v>
      </c>
      <c r="O116" t="s">
        <v>36</v>
      </c>
      <c r="P116" s="1">
        <v>43557</v>
      </c>
      <c r="Q116" t="s">
        <v>36</v>
      </c>
      <c r="R116" s="1">
        <v>43650.326388888891</v>
      </c>
      <c r="S116" t="s">
        <v>36</v>
      </c>
      <c r="T116" s="1">
        <v>43557</v>
      </c>
      <c r="U116" t="s">
        <v>36</v>
      </c>
      <c r="V116" s="1">
        <v>43650.326388888891</v>
      </c>
      <c r="W116" s="1">
        <v>43650.326388888891</v>
      </c>
      <c r="X116" t="s">
        <v>36</v>
      </c>
      <c r="Y116" t="s">
        <v>36</v>
      </c>
      <c r="Z116" s="1">
        <v>43650.326388888891</v>
      </c>
      <c r="AA116" t="s">
        <v>36</v>
      </c>
      <c r="AB116" s="1">
        <v>43650.326388888891</v>
      </c>
      <c r="AC116" s="1">
        <v>43650.326388888891</v>
      </c>
      <c r="AD116" s="1">
        <v>43650.326388888891</v>
      </c>
      <c r="AE116" t="s">
        <v>36</v>
      </c>
      <c r="AF116" s="1">
        <v>43529</v>
      </c>
      <c r="AG116" t="s">
        <v>36</v>
      </c>
      <c r="AH116" t="s">
        <v>36</v>
      </c>
      <c r="AI116" s="1">
        <v>43530</v>
      </c>
      <c r="AJ116" s="1">
        <v>43528</v>
      </c>
    </row>
    <row r="117" spans="1:36" x14ac:dyDescent="0.35">
      <c r="A117">
        <v>3784</v>
      </c>
      <c r="B117" t="s">
        <v>982</v>
      </c>
      <c r="C117" s="1">
        <v>43650.319444444445</v>
      </c>
      <c r="D117" t="s">
        <v>36</v>
      </c>
      <c r="E117" t="s">
        <v>36</v>
      </c>
      <c r="F117" t="s">
        <v>36</v>
      </c>
      <c r="G117" s="1">
        <v>43530</v>
      </c>
      <c r="H117" t="s">
        <v>36</v>
      </c>
      <c r="I117" t="s">
        <v>36</v>
      </c>
      <c r="J117" s="1">
        <v>39631.4375</v>
      </c>
      <c r="K117" s="1">
        <v>43650.326388888891</v>
      </c>
      <c r="L117" s="1">
        <v>42058.680555555555</v>
      </c>
      <c r="M117" s="1">
        <v>43647.284722222219</v>
      </c>
      <c r="N117" t="s">
        <v>36</v>
      </c>
      <c r="O117" t="s">
        <v>36</v>
      </c>
      <c r="P117" s="1">
        <v>43557</v>
      </c>
      <c r="Q117" t="s">
        <v>36</v>
      </c>
      <c r="R117" s="1">
        <v>43650.326388888891</v>
      </c>
      <c r="S117" t="s">
        <v>36</v>
      </c>
      <c r="T117" s="1">
        <v>43557</v>
      </c>
      <c r="U117" t="s">
        <v>36</v>
      </c>
      <c r="V117" s="1">
        <v>43650.326388888891</v>
      </c>
      <c r="W117" s="1">
        <v>43650.326388888891</v>
      </c>
      <c r="X117" t="s">
        <v>36</v>
      </c>
      <c r="Y117" t="s">
        <v>36</v>
      </c>
      <c r="Z117" s="1">
        <v>43650.326388888891</v>
      </c>
      <c r="AA117" t="s">
        <v>36</v>
      </c>
      <c r="AB117" s="1">
        <v>43650.326388888891</v>
      </c>
      <c r="AC117" s="1">
        <v>43650.326388888891</v>
      </c>
      <c r="AD117" s="1">
        <v>43650.326388888891</v>
      </c>
      <c r="AE117" t="s">
        <v>36</v>
      </c>
      <c r="AF117" s="1">
        <v>43529</v>
      </c>
      <c r="AG117" t="s">
        <v>36</v>
      </c>
      <c r="AH117" t="s">
        <v>36</v>
      </c>
      <c r="AI117" s="1">
        <v>43530</v>
      </c>
      <c r="AJ117" s="1">
        <v>43528</v>
      </c>
    </row>
    <row r="118" spans="1:36" x14ac:dyDescent="0.35">
      <c r="A118">
        <v>51</v>
      </c>
      <c r="B118" t="s">
        <v>86</v>
      </c>
      <c r="C118" s="1">
        <v>42528.291666666664</v>
      </c>
      <c r="D118" s="1">
        <v>42058.680555555555</v>
      </c>
      <c r="E118" s="1">
        <v>39245.465277777781</v>
      </c>
      <c r="F118" s="1">
        <v>42735.993055555555</v>
      </c>
      <c r="G118" s="1">
        <v>41426</v>
      </c>
      <c r="H118" s="1">
        <v>43059.576388888891</v>
      </c>
      <c r="I118" s="1">
        <v>38757.354166666664</v>
      </c>
      <c r="J118" s="1">
        <v>39631.4375</v>
      </c>
      <c r="K118" s="1">
        <v>42528.291666666664</v>
      </c>
      <c r="L118" s="1">
        <v>42058.680555555555</v>
      </c>
      <c r="M118" s="1">
        <v>43348.625</v>
      </c>
      <c r="N118" s="1">
        <v>42735.993055555555</v>
      </c>
      <c r="O118" s="1">
        <v>42206.583333333336</v>
      </c>
      <c r="P118" s="1">
        <v>43059.576388888891</v>
      </c>
      <c r="Q118" t="s">
        <v>36</v>
      </c>
      <c r="R118" s="1">
        <v>43329.319444444445</v>
      </c>
      <c r="S118" s="1">
        <v>42735.993055555555</v>
      </c>
      <c r="T118" s="1">
        <v>42528.291666666664</v>
      </c>
      <c r="U118" s="1">
        <v>43054.631944444445</v>
      </c>
      <c r="V118" s="1">
        <v>42473.520833333336</v>
      </c>
      <c r="W118" s="1">
        <v>42735.993055555555</v>
      </c>
      <c r="X118" s="1">
        <v>42193.652777777781</v>
      </c>
      <c r="Y118" t="s">
        <v>36</v>
      </c>
      <c r="Z118" s="1">
        <v>42648.465277777781</v>
      </c>
      <c r="AA118" s="1">
        <v>43054.611111111109</v>
      </c>
      <c r="AB118" s="1">
        <v>41225.597222222219</v>
      </c>
      <c r="AC118" s="1">
        <v>42485.743055555555</v>
      </c>
      <c r="AD118" s="1">
        <v>43009</v>
      </c>
      <c r="AE118" t="s">
        <v>36</v>
      </c>
      <c r="AF118" s="1">
        <v>42058.680555555555</v>
      </c>
      <c r="AG118" s="32">
        <v>43040</v>
      </c>
      <c r="AH118" s="1">
        <v>42735.993055555555</v>
      </c>
      <c r="AI118" s="1">
        <v>41426</v>
      </c>
      <c r="AJ118" s="1">
        <v>43059.576388888891</v>
      </c>
    </row>
    <row r="119" spans="1:36" x14ac:dyDescent="0.35">
      <c r="A119">
        <v>3743</v>
      </c>
      <c r="B119" t="s">
        <v>947</v>
      </c>
      <c r="C119" s="1">
        <v>43648.284722222219</v>
      </c>
      <c r="D119" s="1">
        <v>42087.777777777781</v>
      </c>
      <c r="E119" t="s">
        <v>36</v>
      </c>
      <c r="F119" t="s">
        <v>36</v>
      </c>
      <c r="G119" s="1">
        <v>43530</v>
      </c>
      <c r="H119" t="s">
        <v>36</v>
      </c>
      <c r="I119" t="s">
        <v>36</v>
      </c>
      <c r="J119" s="1">
        <v>39631.4375</v>
      </c>
      <c r="K119" s="1">
        <v>43648.284722222219</v>
      </c>
      <c r="L119" s="1">
        <v>42058.680555555555</v>
      </c>
      <c r="M119" s="1">
        <v>43647.284722222219</v>
      </c>
      <c r="N119" s="1">
        <v>43948.465277777781</v>
      </c>
      <c r="O119" s="1">
        <v>42206.583333333336</v>
      </c>
      <c r="P119" s="1">
        <v>43559</v>
      </c>
      <c r="Q119" t="s">
        <v>36</v>
      </c>
      <c r="R119" s="1">
        <v>43648.284722222219</v>
      </c>
      <c r="S119" t="s">
        <v>36</v>
      </c>
      <c r="T119" s="1">
        <v>43557</v>
      </c>
      <c r="U119" t="s">
        <v>36</v>
      </c>
      <c r="V119" s="1">
        <v>43648.284722222219</v>
      </c>
      <c r="W119" s="1">
        <v>43648.284722222219</v>
      </c>
      <c r="X119" s="1">
        <v>42193.652777777781</v>
      </c>
      <c r="Y119" t="s">
        <v>36</v>
      </c>
      <c r="Z119" s="1">
        <v>43648.284722222219</v>
      </c>
      <c r="AA119" t="s">
        <v>36</v>
      </c>
      <c r="AB119" s="1">
        <v>43648.284722222219</v>
      </c>
      <c r="AC119" s="1">
        <v>43648.284722222219</v>
      </c>
      <c r="AD119" s="1">
        <v>43648.284722222219</v>
      </c>
      <c r="AE119" t="s">
        <v>36</v>
      </c>
      <c r="AF119" s="1">
        <v>43529</v>
      </c>
      <c r="AG119" t="s">
        <v>36</v>
      </c>
      <c r="AH119" t="s">
        <v>36</v>
      </c>
      <c r="AI119" s="1">
        <v>43530</v>
      </c>
      <c r="AJ119" s="1">
        <v>43528</v>
      </c>
    </row>
    <row r="120" spans="1:36" x14ac:dyDescent="0.35">
      <c r="A120">
        <v>3785</v>
      </c>
      <c r="B120" t="s">
        <v>983</v>
      </c>
      <c r="C120" s="1">
        <v>43650.319444444445</v>
      </c>
      <c r="D120" t="s">
        <v>36</v>
      </c>
      <c r="E120" t="s">
        <v>36</v>
      </c>
      <c r="F120" t="s">
        <v>36</v>
      </c>
      <c r="G120" s="1">
        <v>43530</v>
      </c>
      <c r="H120" t="s">
        <v>36</v>
      </c>
      <c r="I120" t="s">
        <v>36</v>
      </c>
      <c r="J120" s="1">
        <v>39631.4375</v>
      </c>
      <c r="K120" s="1">
        <v>43650.326388888891</v>
      </c>
      <c r="L120" s="1">
        <v>42058.680555555555</v>
      </c>
      <c r="M120" s="1">
        <v>43647.284722222219</v>
      </c>
      <c r="N120" t="s">
        <v>36</v>
      </c>
      <c r="O120" t="s">
        <v>36</v>
      </c>
      <c r="P120" s="1">
        <v>43557</v>
      </c>
      <c r="Q120" t="s">
        <v>36</v>
      </c>
      <c r="R120" s="1">
        <v>43650.326388888891</v>
      </c>
      <c r="S120" t="s">
        <v>36</v>
      </c>
      <c r="T120" s="1">
        <v>43557</v>
      </c>
      <c r="U120" t="s">
        <v>36</v>
      </c>
      <c r="V120" s="1">
        <v>43650.326388888891</v>
      </c>
      <c r="W120" s="1">
        <v>43650.326388888891</v>
      </c>
      <c r="X120" t="s">
        <v>36</v>
      </c>
      <c r="Y120" t="s">
        <v>36</v>
      </c>
      <c r="Z120" s="1">
        <v>43650.326388888891</v>
      </c>
      <c r="AA120" t="s">
        <v>36</v>
      </c>
      <c r="AB120" s="1">
        <v>43650.326388888891</v>
      </c>
      <c r="AC120" s="1">
        <v>43650.326388888891</v>
      </c>
      <c r="AD120" s="1">
        <v>43650.326388888891</v>
      </c>
      <c r="AE120" t="s">
        <v>36</v>
      </c>
      <c r="AF120" s="1">
        <v>43529</v>
      </c>
      <c r="AG120" t="s">
        <v>36</v>
      </c>
      <c r="AH120" t="s">
        <v>36</v>
      </c>
      <c r="AI120" s="1">
        <v>43530</v>
      </c>
      <c r="AJ120" s="1">
        <v>43528</v>
      </c>
    </row>
    <row r="121" spans="1:36" x14ac:dyDescent="0.35">
      <c r="A121">
        <v>3786</v>
      </c>
      <c r="B121" t="s">
        <v>984</v>
      </c>
      <c r="C121" s="1">
        <v>43650.319444444445</v>
      </c>
      <c r="D121" t="s">
        <v>36</v>
      </c>
      <c r="E121" t="s">
        <v>36</v>
      </c>
      <c r="F121" t="s">
        <v>36</v>
      </c>
      <c r="G121" s="1">
        <v>43530</v>
      </c>
      <c r="H121" t="s">
        <v>36</v>
      </c>
      <c r="I121" t="s">
        <v>36</v>
      </c>
      <c r="J121" s="1">
        <v>39631.4375</v>
      </c>
      <c r="K121" s="1">
        <v>43650.326388888891</v>
      </c>
      <c r="L121" s="1">
        <v>42058.680555555555</v>
      </c>
      <c r="M121" s="1">
        <v>43647.284722222219</v>
      </c>
      <c r="N121" t="s">
        <v>36</v>
      </c>
      <c r="O121" t="s">
        <v>36</v>
      </c>
      <c r="P121" s="1">
        <v>43557</v>
      </c>
      <c r="Q121" t="s">
        <v>36</v>
      </c>
      <c r="R121" s="1">
        <v>43650.326388888891</v>
      </c>
      <c r="S121" t="s">
        <v>36</v>
      </c>
      <c r="T121" s="1">
        <v>43557</v>
      </c>
      <c r="U121" t="s">
        <v>36</v>
      </c>
      <c r="V121" s="1">
        <v>43650.326388888891</v>
      </c>
      <c r="W121" s="1">
        <v>43650.326388888891</v>
      </c>
      <c r="X121" t="s">
        <v>36</v>
      </c>
      <c r="Y121" t="s">
        <v>36</v>
      </c>
      <c r="Z121" s="1">
        <v>43650.326388888891</v>
      </c>
      <c r="AA121" t="s">
        <v>36</v>
      </c>
      <c r="AB121" s="1">
        <v>43650.326388888891</v>
      </c>
      <c r="AC121" s="1">
        <v>43650.326388888891</v>
      </c>
      <c r="AD121" s="1">
        <v>43650.326388888891</v>
      </c>
      <c r="AE121" t="s">
        <v>36</v>
      </c>
      <c r="AF121" s="1">
        <v>43529</v>
      </c>
      <c r="AG121" t="s">
        <v>36</v>
      </c>
      <c r="AH121" t="s">
        <v>36</v>
      </c>
      <c r="AI121" s="1">
        <v>43530</v>
      </c>
      <c r="AJ121" s="1">
        <v>43528</v>
      </c>
    </row>
    <row r="122" spans="1:36" x14ac:dyDescent="0.35">
      <c r="A122">
        <v>416</v>
      </c>
      <c r="B122" t="s">
        <v>242</v>
      </c>
      <c r="C122" t="s">
        <v>36</v>
      </c>
      <c r="D122" t="s">
        <v>36</v>
      </c>
      <c r="E122" t="s">
        <v>36</v>
      </c>
      <c r="F122" t="s">
        <v>36</v>
      </c>
      <c r="G122" s="1">
        <v>41426</v>
      </c>
      <c r="H122" t="s">
        <v>36</v>
      </c>
      <c r="I122" t="s">
        <v>36</v>
      </c>
      <c r="J122" t="s">
        <v>36</v>
      </c>
      <c r="K122" t="s">
        <v>36</v>
      </c>
      <c r="L122" t="s">
        <v>36</v>
      </c>
      <c r="M122" t="s">
        <v>36</v>
      </c>
      <c r="N122" t="s">
        <v>36</v>
      </c>
      <c r="O122" t="s">
        <v>36</v>
      </c>
      <c r="P122" s="1">
        <v>43059.576388888891</v>
      </c>
      <c r="Q122" t="s">
        <v>36</v>
      </c>
      <c r="R122" t="s">
        <v>36</v>
      </c>
      <c r="S122" t="s">
        <v>36</v>
      </c>
      <c r="T122" s="1">
        <v>42528.291666666664</v>
      </c>
      <c r="U122" t="s">
        <v>36</v>
      </c>
      <c r="V122" t="s">
        <v>36</v>
      </c>
      <c r="W122" t="s">
        <v>36</v>
      </c>
      <c r="X122" t="s">
        <v>36</v>
      </c>
      <c r="Y122" t="s">
        <v>36</v>
      </c>
      <c r="Z122" t="s">
        <v>36</v>
      </c>
      <c r="AA122" t="s">
        <v>36</v>
      </c>
      <c r="AB122" t="s">
        <v>36</v>
      </c>
      <c r="AC122" t="s">
        <v>36</v>
      </c>
      <c r="AD122" t="s">
        <v>36</v>
      </c>
      <c r="AE122" t="s">
        <v>36</v>
      </c>
      <c r="AF122" s="1">
        <v>42058.680555555555</v>
      </c>
      <c r="AG122" t="s">
        <v>36</v>
      </c>
      <c r="AH122" t="s">
        <v>36</v>
      </c>
      <c r="AI122" s="1">
        <v>41426</v>
      </c>
      <c r="AJ122" s="1">
        <v>43059.576388888891</v>
      </c>
    </row>
    <row r="123" spans="1:36" x14ac:dyDescent="0.35">
      <c r="A123">
        <v>4308</v>
      </c>
      <c r="B123" t="s">
        <v>1116</v>
      </c>
      <c r="C123" t="s">
        <v>36</v>
      </c>
      <c r="D123" t="s">
        <v>36</v>
      </c>
      <c r="E123" t="s">
        <v>36</v>
      </c>
      <c r="F123" t="s">
        <v>36</v>
      </c>
      <c r="G123" s="1">
        <v>43530</v>
      </c>
      <c r="H123" t="s">
        <v>36</v>
      </c>
      <c r="I123" t="s">
        <v>36</v>
      </c>
      <c r="J123" t="s">
        <v>36</v>
      </c>
      <c r="K123" t="s">
        <v>36</v>
      </c>
      <c r="L123" t="s">
        <v>36</v>
      </c>
      <c r="M123" t="s">
        <v>36</v>
      </c>
      <c r="N123" t="s">
        <v>36</v>
      </c>
      <c r="O123" t="s">
        <v>36</v>
      </c>
      <c r="P123" s="1">
        <v>43557</v>
      </c>
      <c r="Q123" t="s">
        <v>36</v>
      </c>
      <c r="R123" t="s">
        <v>36</v>
      </c>
      <c r="S123" t="s">
        <v>36</v>
      </c>
      <c r="T123" s="1">
        <v>43557</v>
      </c>
      <c r="U123" t="s">
        <v>36</v>
      </c>
      <c r="V123" t="s">
        <v>36</v>
      </c>
      <c r="W123" t="s">
        <v>36</v>
      </c>
      <c r="X123" t="s">
        <v>36</v>
      </c>
      <c r="Y123" t="s">
        <v>36</v>
      </c>
      <c r="Z123" t="s">
        <v>36</v>
      </c>
      <c r="AA123" t="s">
        <v>36</v>
      </c>
      <c r="AB123" t="s">
        <v>36</v>
      </c>
      <c r="AC123" t="s">
        <v>36</v>
      </c>
      <c r="AD123" t="s">
        <v>36</v>
      </c>
      <c r="AE123" t="s">
        <v>36</v>
      </c>
      <c r="AF123" s="1">
        <v>43529</v>
      </c>
      <c r="AG123" t="s">
        <v>36</v>
      </c>
      <c r="AH123" t="s">
        <v>36</v>
      </c>
      <c r="AI123" s="1">
        <v>43530</v>
      </c>
      <c r="AJ123" s="1">
        <v>43528</v>
      </c>
    </row>
    <row r="124" spans="1:36" x14ac:dyDescent="0.35">
      <c r="A124">
        <v>4309</v>
      </c>
      <c r="B124" t="s">
        <v>1117</v>
      </c>
      <c r="C124" t="s">
        <v>36</v>
      </c>
      <c r="D124" t="s">
        <v>36</v>
      </c>
      <c r="E124" t="s">
        <v>36</v>
      </c>
      <c r="F124" t="s">
        <v>36</v>
      </c>
      <c r="G124" s="1">
        <v>43530</v>
      </c>
      <c r="H124" t="s">
        <v>36</v>
      </c>
      <c r="I124" t="s">
        <v>36</v>
      </c>
      <c r="J124" t="s">
        <v>36</v>
      </c>
      <c r="K124" t="s">
        <v>36</v>
      </c>
      <c r="L124" t="s">
        <v>36</v>
      </c>
      <c r="M124" t="s">
        <v>36</v>
      </c>
      <c r="N124" t="s">
        <v>36</v>
      </c>
      <c r="O124" t="s">
        <v>36</v>
      </c>
      <c r="P124" s="1">
        <v>43556</v>
      </c>
      <c r="Q124" t="s">
        <v>36</v>
      </c>
      <c r="R124" t="s">
        <v>36</v>
      </c>
      <c r="S124" t="s">
        <v>36</v>
      </c>
      <c r="T124" s="1">
        <v>43557</v>
      </c>
      <c r="U124" t="s">
        <v>36</v>
      </c>
      <c r="V124" t="s">
        <v>36</v>
      </c>
      <c r="W124" t="s">
        <v>36</v>
      </c>
      <c r="X124" t="s">
        <v>36</v>
      </c>
      <c r="Y124" t="s">
        <v>36</v>
      </c>
      <c r="Z124" t="s">
        <v>36</v>
      </c>
      <c r="AA124" t="s">
        <v>36</v>
      </c>
      <c r="AB124" t="s">
        <v>36</v>
      </c>
      <c r="AC124" t="s">
        <v>36</v>
      </c>
      <c r="AD124" t="s">
        <v>36</v>
      </c>
      <c r="AE124" t="s">
        <v>36</v>
      </c>
      <c r="AF124" s="1">
        <v>43529</v>
      </c>
      <c r="AG124" t="s">
        <v>36</v>
      </c>
      <c r="AH124" t="s">
        <v>36</v>
      </c>
      <c r="AI124" s="1">
        <v>43530</v>
      </c>
      <c r="AJ124" s="1">
        <v>43528</v>
      </c>
    </row>
    <row r="125" spans="1:36" x14ac:dyDescent="0.35">
      <c r="A125">
        <v>4310</v>
      </c>
      <c r="B125" t="s">
        <v>1118</v>
      </c>
      <c r="C125" t="s">
        <v>36</v>
      </c>
      <c r="D125" t="s">
        <v>36</v>
      </c>
      <c r="E125" t="s">
        <v>36</v>
      </c>
      <c r="F125" t="s">
        <v>36</v>
      </c>
      <c r="G125" s="1">
        <v>43530</v>
      </c>
      <c r="H125" t="s">
        <v>36</v>
      </c>
      <c r="I125" t="s">
        <v>36</v>
      </c>
      <c r="J125" t="s">
        <v>36</v>
      </c>
      <c r="K125" t="s">
        <v>36</v>
      </c>
      <c r="L125" t="s">
        <v>36</v>
      </c>
      <c r="M125" t="s">
        <v>36</v>
      </c>
      <c r="N125" t="s">
        <v>36</v>
      </c>
      <c r="O125" t="s">
        <v>36</v>
      </c>
      <c r="P125" s="1">
        <v>43556</v>
      </c>
      <c r="Q125" t="s">
        <v>36</v>
      </c>
      <c r="R125" t="s">
        <v>36</v>
      </c>
      <c r="S125" t="s">
        <v>36</v>
      </c>
      <c r="T125" s="1">
        <v>43557</v>
      </c>
      <c r="U125" t="s">
        <v>36</v>
      </c>
      <c r="V125" t="s">
        <v>36</v>
      </c>
      <c r="W125" t="s">
        <v>36</v>
      </c>
      <c r="X125" t="s">
        <v>36</v>
      </c>
      <c r="Y125" t="s">
        <v>36</v>
      </c>
      <c r="Z125" t="s">
        <v>36</v>
      </c>
      <c r="AA125" t="s">
        <v>36</v>
      </c>
      <c r="AB125" t="s">
        <v>36</v>
      </c>
      <c r="AC125" t="s">
        <v>36</v>
      </c>
      <c r="AD125" t="s">
        <v>36</v>
      </c>
      <c r="AE125" t="s">
        <v>36</v>
      </c>
      <c r="AF125" s="1">
        <v>43529</v>
      </c>
      <c r="AG125" t="s">
        <v>36</v>
      </c>
      <c r="AH125" t="s">
        <v>36</v>
      </c>
      <c r="AI125" s="1">
        <v>43530</v>
      </c>
      <c r="AJ125" s="1">
        <v>43528</v>
      </c>
    </row>
    <row r="126" spans="1:36" x14ac:dyDescent="0.35">
      <c r="A126">
        <v>417</v>
      </c>
      <c r="B126" t="s">
        <v>243</v>
      </c>
      <c r="C126" t="s">
        <v>36</v>
      </c>
      <c r="D126" t="s">
        <v>36</v>
      </c>
      <c r="E126" t="s">
        <v>36</v>
      </c>
      <c r="F126" t="s">
        <v>36</v>
      </c>
      <c r="G126" s="1">
        <v>41426</v>
      </c>
      <c r="H126" t="s">
        <v>36</v>
      </c>
      <c r="I126" t="s">
        <v>36</v>
      </c>
      <c r="J126" t="s">
        <v>36</v>
      </c>
      <c r="K126" t="s">
        <v>36</v>
      </c>
      <c r="L126" t="s">
        <v>36</v>
      </c>
      <c r="M126" t="s">
        <v>36</v>
      </c>
      <c r="N126" t="s">
        <v>36</v>
      </c>
      <c r="O126" t="s">
        <v>36</v>
      </c>
      <c r="P126" s="1">
        <v>43059.576388888891</v>
      </c>
      <c r="Q126" t="s">
        <v>36</v>
      </c>
      <c r="R126" t="s">
        <v>36</v>
      </c>
      <c r="S126" t="s">
        <v>36</v>
      </c>
      <c r="T126" s="1">
        <v>42528.291666666664</v>
      </c>
      <c r="U126" t="s">
        <v>36</v>
      </c>
      <c r="V126" t="s">
        <v>36</v>
      </c>
      <c r="W126" t="s">
        <v>36</v>
      </c>
      <c r="X126" t="s">
        <v>36</v>
      </c>
      <c r="Y126" t="s">
        <v>36</v>
      </c>
      <c r="Z126" t="s">
        <v>36</v>
      </c>
      <c r="AA126" t="s">
        <v>36</v>
      </c>
      <c r="AB126" t="s">
        <v>36</v>
      </c>
      <c r="AC126" t="s">
        <v>36</v>
      </c>
      <c r="AD126" t="s">
        <v>36</v>
      </c>
      <c r="AE126" t="s">
        <v>36</v>
      </c>
      <c r="AF126" s="1">
        <v>42058.680555555555</v>
      </c>
      <c r="AG126" t="s">
        <v>36</v>
      </c>
      <c r="AH126" t="s">
        <v>36</v>
      </c>
      <c r="AI126" s="1">
        <v>41426</v>
      </c>
      <c r="AJ126" s="1">
        <v>43059.576388888891</v>
      </c>
    </row>
    <row r="127" spans="1:36" x14ac:dyDescent="0.35">
      <c r="A127">
        <v>4311</v>
      </c>
      <c r="B127" t="s">
        <v>1119</v>
      </c>
      <c r="C127" t="s">
        <v>36</v>
      </c>
      <c r="D127" t="s">
        <v>36</v>
      </c>
      <c r="E127" t="s">
        <v>36</v>
      </c>
      <c r="F127" t="s">
        <v>36</v>
      </c>
      <c r="G127" s="1">
        <v>43530</v>
      </c>
      <c r="H127" t="s">
        <v>36</v>
      </c>
      <c r="I127" t="s">
        <v>36</v>
      </c>
      <c r="J127" t="s">
        <v>36</v>
      </c>
      <c r="K127" t="s">
        <v>36</v>
      </c>
      <c r="L127" t="s">
        <v>36</v>
      </c>
      <c r="M127" t="s">
        <v>36</v>
      </c>
      <c r="N127" t="s">
        <v>36</v>
      </c>
      <c r="O127" t="s">
        <v>36</v>
      </c>
      <c r="P127" s="1">
        <v>43557</v>
      </c>
      <c r="Q127" t="s">
        <v>36</v>
      </c>
      <c r="R127" t="s">
        <v>36</v>
      </c>
      <c r="S127" t="s">
        <v>36</v>
      </c>
      <c r="T127" s="1">
        <v>43557</v>
      </c>
      <c r="U127" t="s">
        <v>36</v>
      </c>
      <c r="V127" t="s">
        <v>36</v>
      </c>
      <c r="W127" t="s">
        <v>36</v>
      </c>
      <c r="X127" t="s">
        <v>36</v>
      </c>
      <c r="Y127" t="s">
        <v>36</v>
      </c>
      <c r="Z127" t="s">
        <v>36</v>
      </c>
      <c r="AA127" t="s">
        <v>36</v>
      </c>
      <c r="AB127" t="s">
        <v>36</v>
      </c>
      <c r="AC127" t="s">
        <v>36</v>
      </c>
      <c r="AD127" t="s">
        <v>36</v>
      </c>
      <c r="AE127" t="s">
        <v>36</v>
      </c>
      <c r="AF127" s="1">
        <v>43529</v>
      </c>
      <c r="AG127" t="s">
        <v>36</v>
      </c>
      <c r="AH127" t="s">
        <v>36</v>
      </c>
      <c r="AI127" s="1">
        <v>43530</v>
      </c>
      <c r="AJ127" s="1">
        <v>43528</v>
      </c>
    </row>
    <row r="128" spans="1:36" x14ac:dyDescent="0.35">
      <c r="A128">
        <v>4312</v>
      </c>
      <c r="B128" t="s">
        <v>1120</v>
      </c>
      <c r="C128" t="s">
        <v>36</v>
      </c>
      <c r="D128" t="s">
        <v>36</v>
      </c>
      <c r="E128" t="s">
        <v>36</v>
      </c>
      <c r="F128" t="s">
        <v>36</v>
      </c>
      <c r="G128" s="1">
        <v>43530</v>
      </c>
      <c r="H128" t="s">
        <v>36</v>
      </c>
      <c r="I128" t="s">
        <v>36</v>
      </c>
      <c r="J128" t="s">
        <v>36</v>
      </c>
      <c r="K128" t="s">
        <v>36</v>
      </c>
      <c r="L128" t="s">
        <v>36</v>
      </c>
      <c r="M128" t="s">
        <v>36</v>
      </c>
      <c r="N128" t="s">
        <v>36</v>
      </c>
      <c r="O128" t="s">
        <v>36</v>
      </c>
      <c r="P128" s="1">
        <v>43556</v>
      </c>
      <c r="Q128" t="s">
        <v>36</v>
      </c>
      <c r="R128" t="s">
        <v>36</v>
      </c>
      <c r="S128" t="s">
        <v>36</v>
      </c>
      <c r="T128" s="1">
        <v>43557</v>
      </c>
      <c r="U128" t="s">
        <v>36</v>
      </c>
      <c r="V128" t="s">
        <v>36</v>
      </c>
      <c r="W128" t="s">
        <v>36</v>
      </c>
      <c r="X128" t="s">
        <v>36</v>
      </c>
      <c r="Y128" t="s">
        <v>36</v>
      </c>
      <c r="Z128" t="s">
        <v>36</v>
      </c>
      <c r="AA128" t="s">
        <v>36</v>
      </c>
      <c r="AB128" t="s">
        <v>36</v>
      </c>
      <c r="AC128" t="s">
        <v>36</v>
      </c>
      <c r="AD128" t="s">
        <v>36</v>
      </c>
      <c r="AE128" t="s">
        <v>36</v>
      </c>
      <c r="AF128" s="1">
        <v>43529</v>
      </c>
      <c r="AG128" t="s">
        <v>36</v>
      </c>
      <c r="AH128" t="s">
        <v>36</v>
      </c>
      <c r="AI128" s="1">
        <v>43530</v>
      </c>
      <c r="AJ128" s="1">
        <v>43528</v>
      </c>
    </row>
    <row r="129" spans="1:36" x14ac:dyDescent="0.35">
      <c r="A129">
        <v>4313</v>
      </c>
      <c r="B129" t="s">
        <v>1121</v>
      </c>
      <c r="C129" t="s">
        <v>36</v>
      </c>
      <c r="D129" t="s">
        <v>36</v>
      </c>
      <c r="E129" t="s">
        <v>36</v>
      </c>
      <c r="F129" t="s">
        <v>36</v>
      </c>
      <c r="G129" s="1">
        <v>43530</v>
      </c>
      <c r="H129" t="s">
        <v>36</v>
      </c>
      <c r="I129" t="s">
        <v>36</v>
      </c>
      <c r="J129" t="s">
        <v>36</v>
      </c>
      <c r="K129" t="s">
        <v>36</v>
      </c>
      <c r="L129" t="s">
        <v>36</v>
      </c>
      <c r="M129" t="s">
        <v>36</v>
      </c>
      <c r="N129" t="s">
        <v>36</v>
      </c>
      <c r="O129" t="s">
        <v>36</v>
      </c>
      <c r="P129" s="1">
        <v>43556</v>
      </c>
      <c r="Q129" t="s">
        <v>36</v>
      </c>
      <c r="R129" t="s">
        <v>36</v>
      </c>
      <c r="S129" t="s">
        <v>36</v>
      </c>
      <c r="T129" s="1">
        <v>43557</v>
      </c>
      <c r="U129" t="s">
        <v>36</v>
      </c>
      <c r="V129" t="s">
        <v>36</v>
      </c>
      <c r="W129" t="s">
        <v>36</v>
      </c>
      <c r="X129" t="s">
        <v>36</v>
      </c>
      <c r="Y129" t="s">
        <v>36</v>
      </c>
      <c r="Z129" t="s">
        <v>36</v>
      </c>
      <c r="AA129" t="s">
        <v>36</v>
      </c>
      <c r="AB129" t="s">
        <v>36</v>
      </c>
      <c r="AC129" t="s">
        <v>36</v>
      </c>
      <c r="AD129" t="s">
        <v>36</v>
      </c>
      <c r="AE129" t="s">
        <v>36</v>
      </c>
      <c r="AF129" s="1">
        <v>43529</v>
      </c>
      <c r="AG129" t="s">
        <v>36</v>
      </c>
      <c r="AH129" t="s">
        <v>36</v>
      </c>
      <c r="AI129" s="1">
        <v>43530</v>
      </c>
      <c r="AJ129" s="1">
        <v>43528</v>
      </c>
    </row>
    <row r="130" spans="1:36" x14ac:dyDescent="0.35">
      <c r="A130">
        <v>418</v>
      </c>
      <c r="B130" t="s">
        <v>244</v>
      </c>
      <c r="C130" t="s">
        <v>36</v>
      </c>
      <c r="D130" t="s">
        <v>36</v>
      </c>
      <c r="E130" t="s">
        <v>36</v>
      </c>
      <c r="F130" t="s">
        <v>36</v>
      </c>
      <c r="G130" s="1">
        <v>41426</v>
      </c>
      <c r="H130" t="s">
        <v>36</v>
      </c>
      <c r="I130" t="s">
        <v>36</v>
      </c>
      <c r="J130" t="s">
        <v>36</v>
      </c>
      <c r="K130" t="s">
        <v>36</v>
      </c>
      <c r="L130" t="s">
        <v>36</v>
      </c>
      <c r="M130" t="s">
        <v>36</v>
      </c>
      <c r="N130" t="s">
        <v>36</v>
      </c>
      <c r="O130" t="s">
        <v>36</v>
      </c>
      <c r="P130" s="1">
        <v>43059.576388888891</v>
      </c>
      <c r="Q130" t="s">
        <v>36</v>
      </c>
      <c r="R130" t="s">
        <v>36</v>
      </c>
      <c r="S130" t="s">
        <v>36</v>
      </c>
      <c r="T130" s="1">
        <v>42528.291666666664</v>
      </c>
      <c r="U130" t="s">
        <v>36</v>
      </c>
      <c r="V130" t="s">
        <v>36</v>
      </c>
      <c r="W130" t="s">
        <v>36</v>
      </c>
      <c r="X130" t="s">
        <v>36</v>
      </c>
      <c r="Y130" t="s">
        <v>36</v>
      </c>
      <c r="Z130" t="s">
        <v>36</v>
      </c>
      <c r="AA130" t="s">
        <v>36</v>
      </c>
      <c r="AB130" t="s">
        <v>36</v>
      </c>
      <c r="AC130" t="s">
        <v>36</v>
      </c>
      <c r="AD130" t="s">
        <v>36</v>
      </c>
      <c r="AE130" t="s">
        <v>36</v>
      </c>
      <c r="AF130" s="1">
        <v>42058.680555555555</v>
      </c>
      <c r="AG130" t="s">
        <v>36</v>
      </c>
      <c r="AH130" t="s">
        <v>36</v>
      </c>
      <c r="AI130" s="1">
        <v>41426</v>
      </c>
      <c r="AJ130" s="1">
        <v>43059.576388888891</v>
      </c>
    </row>
    <row r="131" spans="1:36" x14ac:dyDescent="0.35">
      <c r="A131">
        <v>4314</v>
      </c>
      <c r="B131" t="s">
        <v>1122</v>
      </c>
      <c r="C131" t="s">
        <v>36</v>
      </c>
      <c r="D131" t="s">
        <v>36</v>
      </c>
      <c r="E131" t="s">
        <v>36</v>
      </c>
      <c r="F131" t="s">
        <v>36</v>
      </c>
      <c r="G131" s="1">
        <v>43530</v>
      </c>
      <c r="H131" t="s">
        <v>36</v>
      </c>
      <c r="I131" t="s">
        <v>36</v>
      </c>
      <c r="J131" t="s">
        <v>36</v>
      </c>
      <c r="K131" t="s">
        <v>36</v>
      </c>
      <c r="L131" t="s">
        <v>36</v>
      </c>
      <c r="M131" t="s">
        <v>36</v>
      </c>
      <c r="N131" t="s">
        <v>36</v>
      </c>
      <c r="O131" t="s">
        <v>36</v>
      </c>
      <c r="P131" s="1">
        <v>43557</v>
      </c>
      <c r="Q131" t="s">
        <v>36</v>
      </c>
      <c r="R131" t="s">
        <v>36</v>
      </c>
      <c r="S131" t="s">
        <v>36</v>
      </c>
      <c r="T131" s="1">
        <v>43557</v>
      </c>
      <c r="U131" t="s">
        <v>36</v>
      </c>
      <c r="V131" t="s">
        <v>36</v>
      </c>
      <c r="W131" t="s">
        <v>36</v>
      </c>
      <c r="X131" t="s">
        <v>36</v>
      </c>
      <c r="Y131" t="s">
        <v>36</v>
      </c>
      <c r="Z131" t="s">
        <v>36</v>
      </c>
      <c r="AA131" t="s">
        <v>36</v>
      </c>
      <c r="AB131" t="s">
        <v>36</v>
      </c>
      <c r="AC131" t="s">
        <v>36</v>
      </c>
      <c r="AD131" t="s">
        <v>36</v>
      </c>
      <c r="AE131" t="s">
        <v>36</v>
      </c>
      <c r="AF131" s="1">
        <v>43529</v>
      </c>
      <c r="AG131" t="s">
        <v>36</v>
      </c>
      <c r="AH131" t="s">
        <v>36</v>
      </c>
      <c r="AI131" s="1">
        <v>43530</v>
      </c>
      <c r="AJ131" s="1">
        <v>43528</v>
      </c>
    </row>
    <row r="132" spans="1:36" x14ac:dyDescent="0.35">
      <c r="A132">
        <v>4315</v>
      </c>
      <c r="B132" t="s">
        <v>1123</v>
      </c>
      <c r="C132" t="s">
        <v>36</v>
      </c>
      <c r="D132" t="s">
        <v>36</v>
      </c>
      <c r="E132" t="s">
        <v>36</v>
      </c>
      <c r="F132" t="s">
        <v>36</v>
      </c>
      <c r="G132" s="1">
        <v>43530</v>
      </c>
      <c r="H132" t="s">
        <v>36</v>
      </c>
      <c r="I132" t="s">
        <v>36</v>
      </c>
      <c r="J132" t="s">
        <v>36</v>
      </c>
      <c r="K132" t="s">
        <v>36</v>
      </c>
      <c r="L132" t="s">
        <v>36</v>
      </c>
      <c r="M132" t="s">
        <v>36</v>
      </c>
      <c r="N132" t="s">
        <v>36</v>
      </c>
      <c r="O132" t="s">
        <v>36</v>
      </c>
      <c r="P132" s="1">
        <v>43556</v>
      </c>
      <c r="Q132" t="s">
        <v>36</v>
      </c>
      <c r="R132" t="s">
        <v>36</v>
      </c>
      <c r="S132" t="s">
        <v>36</v>
      </c>
      <c r="T132" s="1">
        <v>43557</v>
      </c>
      <c r="U132" t="s">
        <v>36</v>
      </c>
      <c r="V132" t="s">
        <v>36</v>
      </c>
      <c r="W132" t="s">
        <v>36</v>
      </c>
      <c r="X132" t="s">
        <v>36</v>
      </c>
      <c r="Y132" t="s">
        <v>36</v>
      </c>
      <c r="Z132" t="s">
        <v>36</v>
      </c>
      <c r="AA132" t="s">
        <v>36</v>
      </c>
      <c r="AB132" t="s">
        <v>36</v>
      </c>
      <c r="AC132" t="s">
        <v>36</v>
      </c>
      <c r="AD132" t="s">
        <v>36</v>
      </c>
      <c r="AE132" t="s">
        <v>36</v>
      </c>
      <c r="AF132" s="1">
        <v>43529</v>
      </c>
      <c r="AG132" t="s">
        <v>36</v>
      </c>
      <c r="AH132" t="s">
        <v>36</v>
      </c>
      <c r="AI132" s="1">
        <v>43530</v>
      </c>
      <c r="AJ132" s="1">
        <v>43528</v>
      </c>
    </row>
    <row r="133" spans="1:36" x14ac:dyDescent="0.35">
      <c r="A133">
        <v>4316</v>
      </c>
      <c r="B133" t="s">
        <v>1124</v>
      </c>
      <c r="C133" t="s">
        <v>36</v>
      </c>
      <c r="D133" t="s">
        <v>36</v>
      </c>
      <c r="E133" t="s">
        <v>36</v>
      </c>
      <c r="F133" t="s">
        <v>36</v>
      </c>
      <c r="G133" s="1">
        <v>43530</v>
      </c>
      <c r="H133" t="s">
        <v>36</v>
      </c>
      <c r="I133" t="s">
        <v>36</v>
      </c>
      <c r="J133" t="s">
        <v>36</v>
      </c>
      <c r="K133" t="s">
        <v>36</v>
      </c>
      <c r="L133" t="s">
        <v>36</v>
      </c>
      <c r="M133" t="s">
        <v>36</v>
      </c>
      <c r="N133" t="s">
        <v>36</v>
      </c>
      <c r="O133" t="s">
        <v>36</v>
      </c>
      <c r="P133" s="1">
        <v>43556</v>
      </c>
      <c r="Q133" t="s">
        <v>36</v>
      </c>
      <c r="R133" t="s">
        <v>36</v>
      </c>
      <c r="S133" t="s">
        <v>36</v>
      </c>
      <c r="T133" s="1">
        <v>43557</v>
      </c>
      <c r="U133" t="s">
        <v>36</v>
      </c>
      <c r="V133" t="s">
        <v>36</v>
      </c>
      <c r="W133" t="s">
        <v>36</v>
      </c>
      <c r="X133" t="s">
        <v>36</v>
      </c>
      <c r="Y133" t="s">
        <v>36</v>
      </c>
      <c r="Z133" t="s">
        <v>36</v>
      </c>
      <c r="AA133" t="s">
        <v>36</v>
      </c>
      <c r="AB133" t="s">
        <v>36</v>
      </c>
      <c r="AC133" t="s">
        <v>36</v>
      </c>
      <c r="AD133" t="s">
        <v>36</v>
      </c>
      <c r="AE133" t="s">
        <v>36</v>
      </c>
      <c r="AF133" s="1">
        <v>43529</v>
      </c>
      <c r="AG133" t="s">
        <v>36</v>
      </c>
      <c r="AH133" t="s">
        <v>36</v>
      </c>
      <c r="AI133" s="1">
        <v>43530</v>
      </c>
      <c r="AJ133" s="1">
        <v>43528</v>
      </c>
    </row>
    <row r="134" spans="1:36" x14ac:dyDescent="0.35">
      <c r="A134">
        <v>472</v>
      </c>
      <c r="B134" t="s">
        <v>253</v>
      </c>
      <c r="C134" t="s">
        <v>36</v>
      </c>
      <c r="D134" t="s">
        <v>36</v>
      </c>
      <c r="E134" t="s">
        <v>36</v>
      </c>
      <c r="F134" t="s">
        <v>36</v>
      </c>
      <c r="G134" t="s">
        <v>36</v>
      </c>
      <c r="H134" t="s">
        <v>36</v>
      </c>
      <c r="I134" t="s">
        <v>36</v>
      </c>
      <c r="J134" t="s">
        <v>36</v>
      </c>
      <c r="K134" t="s">
        <v>36</v>
      </c>
      <c r="L134" t="s">
        <v>36</v>
      </c>
      <c r="M134" t="s">
        <v>36</v>
      </c>
      <c r="N134" t="s">
        <v>36</v>
      </c>
      <c r="O134" t="s">
        <v>36</v>
      </c>
      <c r="P134" t="s">
        <v>36</v>
      </c>
      <c r="Q134" t="s">
        <v>36</v>
      </c>
      <c r="R134" t="s">
        <v>36</v>
      </c>
      <c r="S134" t="s">
        <v>36</v>
      </c>
      <c r="T134" t="s">
        <v>36</v>
      </c>
      <c r="U134" t="s">
        <v>36</v>
      </c>
      <c r="V134" t="s">
        <v>36</v>
      </c>
      <c r="W134" t="s">
        <v>36</v>
      </c>
      <c r="X134" t="s">
        <v>36</v>
      </c>
      <c r="Y134" t="s">
        <v>36</v>
      </c>
      <c r="Z134" t="s">
        <v>36</v>
      </c>
      <c r="AA134" t="s">
        <v>36</v>
      </c>
      <c r="AB134" t="s">
        <v>36</v>
      </c>
      <c r="AC134" t="s">
        <v>36</v>
      </c>
      <c r="AD134" t="s">
        <v>36</v>
      </c>
      <c r="AE134" t="s">
        <v>36</v>
      </c>
      <c r="AF134" t="s">
        <v>36</v>
      </c>
      <c r="AG134" t="s">
        <v>36</v>
      </c>
      <c r="AH134" t="s">
        <v>36</v>
      </c>
      <c r="AI134" t="s">
        <v>36</v>
      </c>
      <c r="AJ134" t="s">
        <v>36</v>
      </c>
    </row>
    <row r="135" spans="1:36" x14ac:dyDescent="0.35">
      <c r="A135">
        <v>4</v>
      </c>
      <c r="B135" t="s">
        <v>39</v>
      </c>
      <c r="C135" s="1">
        <v>42528.291666666664</v>
      </c>
      <c r="D135" s="1">
        <v>42058.680555555555</v>
      </c>
      <c r="E135" s="1">
        <v>42538.694444444445</v>
      </c>
      <c r="F135" s="1">
        <v>42735.993055555555</v>
      </c>
      <c r="G135" s="1">
        <v>41426</v>
      </c>
      <c r="H135" s="1">
        <v>43066.833333333336</v>
      </c>
      <c r="I135" s="1">
        <v>38768.548611111109</v>
      </c>
      <c r="J135" s="1">
        <v>39631.4375</v>
      </c>
      <c r="K135" s="1">
        <v>42528.291666666664</v>
      </c>
      <c r="L135" s="1">
        <v>42058.680555555555</v>
      </c>
      <c r="M135" s="1">
        <v>43348.631944444445</v>
      </c>
      <c r="N135" s="1">
        <v>42735.993055555555</v>
      </c>
      <c r="O135" s="1">
        <v>42206.590277777781</v>
      </c>
      <c r="P135" s="1">
        <v>43059.576388888891</v>
      </c>
      <c r="Q135" s="1">
        <v>40215.548611111109</v>
      </c>
      <c r="R135" t="s">
        <v>36</v>
      </c>
      <c r="S135" s="1">
        <v>42736</v>
      </c>
      <c r="T135" s="1">
        <v>42528.291666666664</v>
      </c>
      <c r="U135" s="1">
        <v>43057.743055555555</v>
      </c>
      <c r="V135" s="1">
        <v>42473.527777777781</v>
      </c>
      <c r="W135" s="1">
        <v>42735.993055555555</v>
      </c>
      <c r="X135" s="1">
        <v>42193.659722222219</v>
      </c>
      <c r="Y135" s="1">
        <v>43394.006944444445</v>
      </c>
      <c r="Z135" s="1">
        <v>42648.465277777781</v>
      </c>
      <c r="AA135" s="1">
        <v>43057.756944444445</v>
      </c>
      <c r="AB135" s="1">
        <v>41225.604166666664</v>
      </c>
      <c r="AC135" s="1">
        <v>42485.75</v>
      </c>
      <c r="AD135" s="1">
        <v>43009</v>
      </c>
      <c r="AE135" t="s">
        <v>36</v>
      </c>
      <c r="AF135" s="1">
        <v>42058.680555555555</v>
      </c>
      <c r="AG135" s="32">
        <v>43040</v>
      </c>
      <c r="AH135" s="1">
        <v>42735.993055555555</v>
      </c>
      <c r="AI135" s="1">
        <v>41426</v>
      </c>
      <c r="AJ135" s="1">
        <v>43059.576388888891</v>
      </c>
    </row>
    <row r="136" spans="1:36" x14ac:dyDescent="0.35">
      <c r="A136">
        <v>334</v>
      </c>
      <c r="B136" t="s">
        <v>202</v>
      </c>
      <c r="C136" t="s">
        <v>36</v>
      </c>
      <c r="D136" t="s">
        <v>36</v>
      </c>
      <c r="E136" t="s">
        <v>36</v>
      </c>
      <c r="F136" t="s">
        <v>36</v>
      </c>
      <c r="G136" s="1">
        <v>41426</v>
      </c>
      <c r="H136" t="s">
        <v>36</v>
      </c>
      <c r="I136" t="s">
        <v>36</v>
      </c>
      <c r="J136" t="s">
        <v>36</v>
      </c>
      <c r="K136" t="s">
        <v>36</v>
      </c>
      <c r="L136" t="s">
        <v>36</v>
      </c>
      <c r="M136" t="s">
        <v>36</v>
      </c>
      <c r="N136" t="s">
        <v>36</v>
      </c>
      <c r="O136" t="s">
        <v>36</v>
      </c>
      <c r="P136" s="1">
        <v>43059.576388888891</v>
      </c>
      <c r="Q136" t="s">
        <v>36</v>
      </c>
      <c r="R136" t="s">
        <v>36</v>
      </c>
      <c r="S136" t="s">
        <v>36</v>
      </c>
      <c r="T136" s="1">
        <v>42528.291666666664</v>
      </c>
      <c r="U136" t="s">
        <v>36</v>
      </c>
      <c r="V136" t="s">
        <v>36</v>
      </c>
      <c r="W136" t="s">
        <v>36</v>
      </c>
      <c r="X136" t="s">
        <v>36</v>
      </c>
      <c r="Y136" t="s">
        <v>36</v>
      </c>
      <c r="Z136" t="s">
        <v>36</v>
      </c>
      <c r="AA136" t="s">
        <v>36</v>
      </c>
      <c r="AB136" t="s">
        <v>36</v>
      </c>
      <c r="AC136" t="s">
        <v>36</v>
      </c>
      <c r="AD136" t="s">
        <v>36</v>
      </c>
      <c r="AE136" t="s">
        <v>36</v>
      </c>
      <c r="AF136" s="1">
        <v>42058.680555555555</v>
      </c>
      <c r="AG136" s="32">
        <v>43040</v>
      </c>
      <c r="AH136" t="s">
        <v>36</v>
      </c>
      <c r="AI136" s="1">
        <v>41426</v>
      </c>
      <c r="AJ136" s="1">
        <v>43059.576388888891</v>
      </c>
    </row>
    <row r="137" spans="1:36" x14ac:dyDescent="0.35">
      <c r="A137">
        <v>984</v>
      </c>
      <c r="B137" t="s">
        <v>273</v>
      </c>
      <c r="C137" t="s">
        <v>36</v>
      </c>
      <c r="D137" t="s">
        <v>36</v>
      </c>
      <c r="E137" s="1">
        <v>42538.694444444445</v>
      </c>
      <c r="F137" s="1">
        <v>42735.993055555555</v>
      </c>
      <c r="G137" t="s">
        <v>36</v>
      </c>
      <c r="H137" t="s">
        <v>36</v>
      </c>
      <c r="I137" s="1">
        <v>38768.548611111109</v>
      </c>
      <c r="J137" s="1">
        <v>39631.4375</v>
      </c>
      <c r="K137" t="s">
        <v>36</v>
      </c>
      <c r="L137" s="1">
        <v>42058.680555555555</v>
      </c>
      <c r="M137" t="s">
        <v>36</v>
      </c>
      <c r="N137" t="s">
        <v>36</v>
      </c>
      <c r="O137" t="s">
        <v>36</v>
      </c>
      <c r="P137" t="s">
        <v>36</v>
      </c>
      <c r="Q137" t="s">
        <v>36</v>
      </c>
      <c r="R137" t="s">
        <v>36</v>
      </c>
      <c r="S137" s="1">
        <v>42736</v>
      </c>
      <c r="T137" t="s">
        <v>36</v>
      </c>
      <c r="U137" s="1">
        <v>43057.743055555555</v>
      </c>
      <c r="V137" t="s">
        <v>36</v>
      </c>
      <c r="W137" t="s">
        <v>36</v>
      </c>
      <c r="X137" t="s">
        <v>36</v>
      </c>
      <c r="Y137" t="s">
        <v>36</v>
      </c>
      <c r="Z137" t="s">
        <v>36</v>
      </c>
      <c r="AA137" t="s">
        <v>36</v>
      </c>
      <c r="AB137" t="s">
        <v>36</v>
      </c>
      <c r="AC137" t="s">
        <v>36</v>
      </c>
      <c r="AD137" t="s">
        <v>36</v>
      </c>
      <c r="AE137" t="s">
        <v>36</v>
      </c>
      <c r="AF137" t="s">
        <v>36</v>
      </c>
      <c r="AG137" t="s">
        <v>36</v>
      </c>
      <c r="AH137" s="1">
        <v>42735.993055555555</v>
      </c>
      <c r="AI137" t="s">
        <v>36</v>
      </c>
      <c r="AJ137" t="s">
        <v>36</v>
      </c>
    </row>
    <row r="138" spans="1:36" x14ac:dyDescent="0.35">
      <c r="A138">
        <v>90</v>
      </c>
      <c r="B138" t="s">
        <v>101</v>
      </c>
      <c r="C138" s="1">
        <v>42528.291666666664</v>
      </c>
      <c r="D138" t="s">
        <v>36</v>
      </c>
      <c r="E138" t="s">
        <v>36</v>
      </c>
      <c r="F138" t="s">
        <v>36</v>
      </c>
      <c r="G138" s="1">
        <v>41426</v>
      </c>
      <c r="H138" t="s">
        <v>36</v>
      </c>
      <c r="I138" t="s">
        <v>36</v>
      </c>
      <c r="J138" s="1">
        <v>40234.0625</v>
      </c>
      <c r="K138" s="1">
        <v>42528.291666666664</v>
      </c>
      <c r="L138" s="1">
        <v>42058.680555555555</v>
      </c>
      <c r="M138" t="s">
        <v>36</v>
      </c>
      <c r="N138" t="s">
        <v>36</v>
      </c>
      <c r="O138" t="s">
        <v>36</v>
      </c>
      <c r="P138" s="1">
        <v>43059.576388888891</v>
      </c>
      <c r="Q138" t="s">
        <v>36</v>
      </c>
      <c r="R138" t="s">
        <v>36</v>
      </c>
      <c r="S138" t="s">
        <v>36</v>
      </c>
      <c r="T138" s="1">
        <v>42528.291666666664</v>
      </c>
      <c r="U138" t="s">
        <v>36</v>
      </c>
      <c r="V138" s="1">
        <v>42473.527777777781</v>
      </c>
      <c r="W138" s="1">
        <v>42735.993055555555</v>
      </c>
      <c r="X138" t="s">
        <v>36</v>
      </c>
      <c r="Y138" s="1">
        <v>43394.006944444445</v>
      </c>
      <c r="Z138" s="1">
        <v>42646.951388888891</v>
      </c>
      <c r="AA138" t="s">
        <v>36</v>
      </c>
      <c r="AB138" t="s">
        <v>36</v>
      </c>
      <c r="AC138" s="1">
        <v>42485.75</v>
      </c>
      <c r="AD138" s="1">
        <v>43009</v>
      </c>
      <c r="AE138" t="s">
        <v>36</v>
      </c>
      <c r="AF138" s="1">
        <v>42058.680555555555</v>
      </c>
      <c r="AG138" s="32">
        <v>43040</v>
      </c>
      <c r="AH138" t="s">
        <v>36</v>
      </c>
      <c r="AI138" s="1">
        <v>41426</v>
      </c>
      <c r="AJ138" s="1">
        <v>43059.576388888891</v>
      </c>
    </row>
    <row r="139" spans="1:36" x14ac:dyDescent="0.35">
      <c r="A139">
        <v>335</v>
      </c>
      <c r="B139" t="s">
        <v>203</v>
      </c>
      <c r="C139" t="s">
        <v>36</v>
      </c>
      <c r="D139" t="s">
        <v>36</v>
      </c>
      <c r="E139" t="s">
        <v>36</v>
      </c>
      <c r="F139" t="s">
        <v>36</v>
      </c>
      <c r="G139" s="1">
        <v>41426</v>
      </c>
      <c r="H139" t="s">
        <v>36</v>
      </c>
      <c r="I139" t="s">
        <v>36</v>
      </c>
      <c r="J139" t="s">
        <v>36</v>
      </c>
      <c r="K139" t="s">
        <v>36</v>
      </c>
      <c r="L139" t="s">
        <v>36</v>
      </c>
      <c r="M139" t="s">
        <v>36</v>
      </c>
      <c r="N139" t="s">
        <v>36</v>
      </c>
      <c r="O139" t="s">
        <v>36</v>
      </c>
      <c r="P139" s="1">
        <v>43059.576388888891</v>
      </c>
      <c r="Q139" t="s">
        <v>36</v>
      </c>
      <c r="R139" t="s">
        <v>36</v>
      </c>
      <c r="S139" t="s">
        <v>36</v>
      </c>
      <c r="T139" s="1">
        <v>42528.291666666664</v>
      </c>
      <c r="U139" t="s">
        <v>36</v>
      </c>
      <c r="V139" t="s">
        <v>36</v>
      </c>
      <c r="W139" t="s">
        <v>36</v>
      </c>
      <c r="X139" t="s">
        <v>36</v>
      </c>
      <c r="Y139" t="s">
        <v>36</v>
      </c>
      <c r="Z139" t="s">
        <v>36</v>
      </c>
      <c r="AA139" t="s">
        <v>36</v>
      </c>
      <c r="AB139" t="s">
        <v>36</v>
      </c>
      <c r="AC139" t="s">
        <v>36</v>
      </c>
      <c r="AD139" t="s">
        <v>36</v>
      </c>
      <c r="AE139" t="s">
        <v>36</v>
      </c>
      <c r="AF139" s="1">
        <v>42058.680555555555</v>
      </c>
      <c r="AG139" s="32">
        <v>43040</v>
      </c>
      <c r="AH139" t="s">
        <v>36</v>
      </c>
      <c r="AI139" s="1">
        <v>41426</v>
      </c>
      <c r="AJ139" s="1">
        <v>43059.576388888891</v>
      </c>
    </row>
    <row r="140" spans="1:36" x14ac:dyDescent="0.35">
      <c r="A140">
        <v>2752</v>
      </c>
      <c r="B140" t="s">
        <v>277</v>
      </c>
      <c r="C140" t="s">
        <v>36</v>
      </c>
      <c r="D140" t="s">
        <v>36</v>
      </c>
      <c r="E140" t="s">
        <v>36</v>
      </c>
      <c r="F140" t="s">
        <v>36</v>
      </c>
      <c r="G140" t="s">
        <v>36</v>
      </c>
      <c r="H140" t="s">
        <v>36</v>
      </c>
      <c r="I140" t="s">
        <v>36</v>
      </c>
      <c r="J140" s="1">
        <v>39631.4375</v>
      </c>
      <c r="K140" t="s">
        <v>36</v>
      </c>
      <c r="L140" s="1">
        <v>42058.680555555555</v>
      </c>
      <c r="M140" t="s">
        <v>36</v>
      </c>
      <c r="N140" t="s">
        <v>36</v>
      </c>
      <c r="O140" t="s">
        <v>36</v>
      </c>
      <c r="P140" t="s">
        <v>36</v>
      </c>
      <c r="Q140" t="s">
        <v>36</v>
      </c>
      <c r="R140" t="s">
        <v>36</v>
      </c>
      <c r="S140" t="s">
        <v>36</v>
      </c>
      <c r="T140" t="s">
        <v>36</v>
      </c>
      <c r="U140" t="s">
        <v>36</v>
      </c>
      <c r="V140" t="s">
        <v>36</v>
      </c>
      <c r="W140" t="s">
        <v>36</v>
      </c>
      <c r="X140" t="s">
        <v>36</v>
      </c>
      <c r="Y140" t="s">
        <v>36</v>
      </c>
      <c r="Z140" t="s">
        <v>36</v>
      </c>
      <c r="AA140" t="s">
        <v>36</v>
      </c>
      <c r="AB140" t="s">
        <v>36</v>
      </c>
      <c r="AC140" t="s">
        <v>36</v>
      </c>
      <c r="AD140" t="s">
        <v>36</v>
      </c>
      <c r="AE140" t="s">
        <v>36</v>
      </c>
      <c r="AF140" t="s">
        <v>36</v>
      </c>
      <c r="AG140" t="s">
        <v>36</v>
      </c>
      <c r="AH140" t="s">
        <v>36</v>
      </c>
      <c r="AI140" t="s">
        <v>36</v>
      </c>
      <c r="AJ140" t="s">
        <v>36</v>
      </c>
    </row>
    <row r="141" spans="1:36" x14ac:dyDescent="0.35">
      <c r="A141">
        <v>228</v>
      </c>
      <c r="B141" t="s">
        <v>157</v>
      </c>
      <c r="C141" t="s">
        <v>36</v>
      </c>
      <c r="D141" t="s">
        <v>36</v>
      </c>
      <c r="E141" t="s">
        <v>36</v>
      </c>
      <c r="F141" t="s">
        <v>36</v>
      </c>
      <c r="G141" t="s">
        <v>36</v>
      </c>
      <c r="H141" t="s">
        <v>36</v>
      </c>
      <c r="I141" t="s">
        <v>36</v>
      </c>
      <c r="J141" s="1">
        <v>43061.215277777781</v>
      </c>
      <c r="K141" t="s">
        <v>36</v>
      </c>
      <c r="L141" s="1">
        <v>43195.548611111109</v>
      </c>
      <c r="M141" t="s">
        <v>36</v>
      </c>
      <c r="N141" t="s">
        <v>36</v>
      </c>
      <c r="O141" t="s">
        <v>36</v>
      </c>
      <c r="P141" t="s">
        <v>36</v>
      </c>
      <c r="Q141" t="s">
        <v>36</v>
      </c>
      <c r="R141" t="s">
        <v>36</v>
      </c>
      <c r="S141" t="s">
        <v>36</v>
      </c>
      <c r="T141" t="s">
        <v>36</v>
      </c>
      <c r="U141" t="s">
        <v>36</v>
      </c>
      <c r="V141" t="s">
        <v>36</v>
      </c>
      <c r="W141" s="1">
        <v>42735.993055555555</v>
      </c>
      <c r="X141" t="s">
        <v>36</v>
      </c>
      <c r="Y141" t="s">
        <v>36</v>
      </c>
      <c r="Z141" t="s">
        <v>36</v>
      </c>
      <c r="AA141" t="s">
        <v>36</v>
      </c>
      <c r="AB141" s="1">
        <v>42486.548611111109</v>
      </c>
      <c r="AC141" t="s">
        <v>36</v>
      </c>
      <c r="AD141" t="s">
        <v>36</v>
      </c>
      <c r="AE141" t="s">
        <v>36</v>
      </c>
      <c r="AF141" t="s">
        <v>36</v>
      </c>
      <c r="AG141" t="s">
        <v>36</v>
      </c>
      <c r="AH141" t="s">
        <v>36</v>
      </c>
      <c r="AI141" t="s">
        <v>36</v>
      </c>
      <c r="AJ141" t="s">
        <v>36</v>
      </c>
    </row>
    <row r="142" spans="1:36" x14ac:dyDescent="0.35">
      <c r="A142">
        <v>30</v>
      </c>
      <c r="B142" t="s">
        <v>65</v>
      </c>
      <c r="C142" t="s">
        <v>36</v>
      </c>
      <c r="D142" t="s">
        <v>36</v>
      </c>
      <c r="E142" t="s">
        <v>36</v>
      </c>
      <c r="F142" t="s">
        <v>36</v>
      </c>
      <c r="G142" t="s">
        <v>36</v>
      </c>
      <c r="H142" t="s">
        <v>36</v>
      </c>
      <c r="I142" t="s">
        <v>36</v>
      </c>
      <c r="J142" t="s">
        <v>36</v>
      </c>
      <c r="K142" t="s">
        <v>36</v>
      </c>
      <c r="L142" t="s">
        <v>36</v>
      </c>
      <c r="M142" t="s">
        <v>36</v>
      </c>
      <c r="N142" t="s">
        <v>36</v>
      </c>
      <c r="O142" t="s">
        <v>36</v>
      </c>
      <c r="P142" t="s">
        <v>36</v>
      </c>
      <c r="Q142" s="1">
        <v>40911.534722222219</v>
      </c>
      <c r="R142" t="s">
        <v>36</v>
      </c>
      <c r="S142" t="s">
        <v>36</v>
      </c>
      <c r="T142" t="s">
        <v>36</v>
      </c>
      <c r="U142" t="s">
        <v>36</v>
      </c>
      <c r="V142" t="s">
        <v>36</v>
      </c>
      <c r="W142" t="s">
        <v>36</v>
      </c>
      <c r="X142" t="s">
        <v>36</v>
      </c>
      <c r="Y142" t="s">
        <v>36</v>
      </c>
      <c r="Z142" t="s">
        <v>36</v>
      </c>
      <c r="AA142" t="s">
        <v>36</v>
      </c>
      <c r="AB142" t="s">
        <v>36</v>
      </c>
      <c r="AC142" t="s">
        <v>36</v>
      </c>
      <c r="AD142" t="s">
        <v>36</v>
      </c>
      <c r="AE142" t="s">
        <v>36</v>
      </c>
      <c r="AF142" t="s">
        <v>36</v>
      </c>
      <c r="AG142" t="s">
        <v>36</v>
      </c>
      <c r="AH142" t="s">
        <v>36</v>
      </c>
      <c r="AI142" t="s">
        <v>36</v>
      </c>
      <c r="AJ142" t="s">
        <v>36</v>
      </c>
    </row>
    <row r="143" spans="1:36" x14ac:dyDescent="0.35">
      <c r="A143">
        <v>4407</v>
      </c>
      <c r="B143" t="s">
        <v>1188</v>
      </c>
      <c r="C143" t="s">
        <v>36</v>
      </c>
      <c r="D143" t="s">
        <v>36</v>
      </c>
      <c r="E143" t="s">
        <v>36</v>
      </c>
      <c r="F143" t="s">
        <v>36</v>
      </c>
      <c r="G143" t="s">
        <v>36</v>
      </c>
      <c r="H143" t="s">
        <v>36</v>
      </c>
      <c r="I143" t="s">
        <v>36</v>
      </c>
      <c r="J143" t="s">
        <v>36</v>
      </c>
      <c r="K143" t="s">
        <v>36</v>
      </c>
      <c r="L143" t="s">
        <v>36</v>
      </c>
      <c r="M143" t="s">
        <v>36</v>
      </c>
      <c r="N143" t="s">
        <v>36</v>
      </c>
      <c r="O143" t="s">
        <v>36</v>
      </c>
      <c r="P143" t="s">
        <v>36</v>
      </c>
      <c r="Q143" s="1">
        <v>43857.791666666664</v>
      </c>
      <c r="R143" t="s">
        <v>36</v>
      </c>
      <c r="S143" t="s">
        <v>36</v>
      </c>
      <c r="T143" t="s">
        <v>36</v>
      </c>
      <c r="U143" t="s">
        <v>36</v>
      </c>
      <c r="V143" t="s">
        <v>36</v>
      </c>
      <c r="W143" t="s">
        <v>36</v>
      </c>
      <c r="X143" t="s">
        <v>36</v>
      </c>
      <c r="Y143" t="s">
        <v>36</v>
      </c>
      <c r="Z143" t="s">
        <v>36</v>
      </c>
      <c r="AA143" t="s">
        <v>36</v>
      </c>
      <c r="AB143" t="s">
        <v>36</v>
      </c>
      <c r="AC143" t="s">
        <v>36</v>
      </c>
      <c r="AD143" t="s">
        <v>36</v>
      </c>
      <c r="AE143" t="s">
        <v>36</v>
      </c>
      <c r="AF143" t="s">
        <v>36</v>
      </c>
      <c r="AG143" t="s">
        <v>36</v>
      </c>
      <c r="AH143" t="s">
        <v>36</v>
      </c>
      <c r="AI143" t="s">
        <v>36</v>
      </c>
      <c r="AJ143" t="s">
        <v>36</v>
      </c>
    </row>
    <row r="144" spans="1:36" x14ac:dyDescent="0.35">
      <c r="A144">
        <v>4408</v>
      </c>
      <c r="B144" t="s">
        <v>1189</v>
      </c>
      <c r="C144" t="s">
        <v>36</v>
      </c>
      <c r="D144" t="s">
        <v>36</v>
      </c>
      <c r="E144" t="s">
        <v>36</v>
      </c>
      <c r="F144" t="s">
        <v>36</v>
      </c>
      <c r="G144" t="s">
        <v>36</v>
      </c>
      <c r="H144" t="s">
        <v>36</v>
      </c>
      <c r="I144" t="s">
        <v>36</v>
      </c>
      <c r="J144" t="s">
        <v>36</v>
      </c>
      <c r="K144" t="s">
        <v>36</v>
      </c>
      <c r="L144" t="s">
        <v>36</v>
      </c>
      <c r="M144" t="s">
        <v>36</v>
      </c>
      <c r="N144" t="s">
        <v>36</v>
      </c>
      <c r="O144" t="s">
        <v>36</v>
      </c>
      <c r="P144" t="s">
        <v>36</v>
      </c>
      <c r="Q144" s="1">
        <v>43857.791666666664</v>
      </c>
      <c r="R144" t="s">
        <v>36</v>
      </c>
      <c r="S144" t="s">
        <v>36</v>
      </c>
      <c r="T144" t="s">
        <v>36</v>
      </c>
      <c r="U144" t="s">
        <v>36</v>
      </c>
      <c r="V144" t="s">
        <v>36</v>
      </c>
      <c r="W144" t="s">
        <v>36</v>
      </c>
      <c r="X144" t="s">
        <v>36</v>
      </c>
      <c r="Y144" t="s">
        <v>36</v>
      </c>
      <c r="Z144" t="s">
        <v>36</v>
      </c>
      <c r="AA144" t="s">
        <v>36</v>
      </c>
      <c r="AB144" t="s">
        <v>36</v>
      </c>
      <c r="AC144" t="s">
        <v>36</v>
      </c>
      <c r="AD144" t="s">
        <v>36</v>
      </c>
      <c r="AE144" t="s">
        <v>36</v>
      </c>
      <c r="AF144" t="s">
        <v>36</v>
      </c>
      <c r="AG144" t="s">
        <v>36</v>
      </c>
      <c r="AH144" t="s">
        <v>36</v>
      </c>
      <c r="AI144" t="s">
        <v>36</v>
      </c>
      <c r="AJ144" t="s">
        <v>36</v>
      </c>
    </row>
    <row r="145" spans="1:36" x14ac:dyDescent="0.35">
      <c r="A145">
        <v>4409</v>
      </c>
      <c r="B145" t="s">
        <v>1190</v>
      </c>
      <c r="C145" t="s">
        <v>36</v>
      </c>
      <c r="D145" t="s">
        <v>36</v>
      </c>
      <c r="E145" t="s">
        <v>36</v>
      </c>
      <c r="F145" t="s">
        <v>36</v>
      </c>
      <c r="G145" t="s">
        <v>36</v>
      </c>
      <c r="H145" t="s">
        <v>36</v>
      </c>
      <c r="I145" t="s">
        <v>36</v>
      </c>
      <c r="J145" t="s">
        <v>36</v>
      </c>
      <c r="K145" t="s">
        <v>36</v>
      </c>
      <c r="L145" t="s">
        <v>36</v>
      </c>
      <c r="M145" t="s">
        <v>36</v>
      </c>
      <c r="N145" t="s">
        <v>36</v>
      </c>
      <c r="O145" t="s">
        <v>36</v>
      </c>
      <c r="P145" t="s">
        <v>36</v>
      </c>
      <c r="Q145" s="1">
        <v>43857.791666666664</v>
      </c>
      <c r="R145" t="s">
        <v>36</v>
      </c>
      <c r="S145" t="s">
        <v>36</v>
      </c>
      <c r="T145" t="s">
        <v>36</v>
      </c>
      <c r="U145" t="s">
        <v>36</v>
      </c>
      <c r="V145" t="s">
        <v>36</v>
      </c>
      <c r="W145" t="s">
        <v>36</v>
      </c>
      <c r="X145" t="s">
        <v>36</v>
      </c>
      <c r="Y145" t="s">
        <v>36</v>
      </c>
      <c r="Z145" t="s">
        <v>36</v>
      </c>
      <c r="AA145" t="s">
        <v>36</v>
      </c>
      <c r="AB145" t="s">
        <v>36</v>
      </c>
      <c r="AC145" t="s">
        <v>36</v>
      </c>
      <c r="AD145" t="s">
        <v>36</v>
      </c>
      <c r="AE145" t="s">
        <v>36</v>
      </c>
      <c r="AF145" t="s">
        <v>36</v>
      </c>
      <c r="AG145" t="s">
        <v>36</v>
      </c>
      <c r="AH145" t="s">
        <v>36</v>
      </c>
      <c r="AI145" t="s">
        <v>36</v>
      </c>
      <c r="AJ145" t="s">
        <v>36</v>
      </c>
    </row>
    <row r="146" spans="1:36" x14ac:dyDescent="0.35">
      <c r="A146">
        <v>275</v>
      </c>
      <c r="B146" t="s">
        <v>165</v>
      </c>
      <c r="C146" t="s">
        <v>36</v>
      </c>
      <c r="D146" t="s">
        <v>36</v>
      </c>
      <c r="E146" t="s">
        <v>36</v>
      </c>
      <c r="F146" t="s">
        <v>36</v>
      </c>
      <c r="G146" s="1">
        <v>41426</v>
      </c>
      <c r="H146" t="s">
        <v>36</v>
      </c>
      <c r="I146" t="s">
        <v>36</v>
      </c>
      <c r="J146" t="s">
        <v>36</v>
      </c>
      <c r="K146" t="s">
        <v>36</v>
      </c>
      <c r="L146" t="s">
        <v>36</v>
      </c>
      <c r="M146" t="s">
        <v>36</v>
      </c>
      <c r="N146" t="s">
        <v>36</v>
      </c>
      <c r="O146" t="s">
        <v>36</v>
      </c>
      <c r="P146" s="1">
        <v>43059.576388888891</v>
      </c>
      <c r="Q146" t="s">
        <v>36</v>
      </c>
      <c r="R146" t="s">
        <v>36</v>
      </c>
      <c r="S146" t="s">
        <v>36</v>
      </c>
      <c r="T146" s="1">
        <v>42528.291666666664</v>
      </c>
      <c r="U146" t="s">
        <v>36</v>
      </c>
      <c r="V146" t="s">
        <v>36</v>
      </c>
      <c r="W146" t="s">
        <v>36</v>
      </c>
      <c r="X146" t="s">
        <v>36</v>
      </c>
      <c r="Y146" t="s">
        <v>36</v>
      </c>
      <c r="Z146" t="s">
        <v>36</v>
      </c>
      <c r="AA146" t="s">
        <v>36</v>
      </c>
      <c r="AB146" t="s">
        <v>36</v>
      </c>
      <c r="AC146" t="s">
        <v>36</v>
      </c>
      <c r="AD146" t="s">
        <v>36</v>
      </c>
      <c r="AE146" t="s">
        <v>36</v>
      </c>
      <c r="AF146" s="1">
        <v>42058.680555555555</v>
      </c>
      <c r="AG146" s="32">
        <v>43040</v>
      </c>
      <c r="AH146" t="s">
        <v>36</v>
      </c>
      <c r="AI146" s="1">
        <v>41426</v>
      </c>
      <c r="AJ146" s="1">
        <v>43059.576388888891</v>
      </c>
    </row>
    <row r="147" spans="1:36" x14ac:dyDescent="0.35">
      <c r="A147">
        <v>208</v>
      </c>
      <c r="B147" t="s">
        <v>152</v>
      </c>
      <c r="C147" t="s">
        <v>36</v>
      </c>
      <c r="D147" s="1">
        <v>42058.680555555555</v>
      </c>
      <c r="E147" t="s">
        <v>36</v>
      </c>
      <c r="F147" t="s">
        <v>36</v>
      </c>
      <c r="G147" t="s">
        <v>36</v>
      </c>
      <c r="H147" t="s">
        <v>36</v>
      </c>
      <c r="I147" t="s">
        <v>36</v>
      </c>
      <c r="J147" t="s">
        <v>36</v>
      </c>
      <c r="K147" t="s">
        <v>36</v>
      </c>
      <c r="L147" t="s">
        <v>36</v>
      </c>
      <c r="M147" t="s">
        <v>36</v>
      </c>
      <c r="N147" s="1">
        <v>42735.993055555555</v>
      </c>
      <c r="O147" s="1">
        <v>42206.583333333336</v>
      </c>
      <c r="P147" t="s">
        <v>36</v>
      </c>
      <c r="Q147" t="s">
        <v>36</v>
      </c>
      <c r="R147" t="s">
        <v>36</v>
      </c>
      <c r="S147" t="s">
        <v>36</v>
      </c>
      <c r="T147" t="s">
        <v>36</v>
      </c>
      <c r="U147" t="s">
        <v>36</v>
      </c>
      <c r="V147" t="s">
        <v>36</v>
      </c>
      <c r="W147" t="s">
        <v>36</v>
      </c>
      <c r="X147" s="1">
        <v>42193.652777777781</v>
      </c>
      <c r="Y147" t="s">
        <v>36</v>
      </c>
      <c r="Z147" t="s">
        <v>36</v>
      </c>
      <c r="AA147" t="s">
        <v>36</v>
      </c>
      <c r="AB147" t="s">
        <v>36</v>
      </c>
      <c r="AC147" t="s">
        <v>36</v>
      </c>
      <c r="AD147" t="s">
        <v>36</v>
      </c>
      <c r="AE147" t="s">
        <v>36</v>
      </c>
      <c r="AF147" t="s">
        <v>36</v>
      </c>
      <c r="AG147" t="s">
        <v>36</v>
      </c>
      <c r="AH147" t="s">
        <v>36</v>
      </c>
      <c r="AI147" t="s">
        <v>36</v>
      </c>
      <c r="AJ147" t="s">
        <v>36</v>
      </c>
    </row>
    <row r="148" spans="1:36" x14ac:dyDescent="0.35">
      <c r="A148">
        <v>209</v>
      </c>
      <c r="B148" t="s">
        <v>153</v>
      </c>
      <c r="C148" t="s">
        <v>36</v>
      </c>
      <c r="D148" s="1">
        <v>42058.680555555555</v>
      </c>
      <c r="E148" t="s">
        <v>36</v>
      </c>
      <c r="F148" t="s">
        <v>36</v>
      </c>
      <c r="G148" t="s">
        <v>36</v>
      </c>
      <c r="H148" t="s">
        <v>36</v>
      </c>
      <c r="I148" t="s">
        <v>36</v>
      </c>
      <c r="J148" t="s">
        <v>36</v>
      </c>
      <c r="K148" t="s">
        <v>36</v>
      </c>
      <c r="L148" t="s">
        <v>36</v>
      </c>
      <c r="M148" t="s">
        <v>36</v>
      </c>
      <c r="N148" s="1">
        <v>42735.993055555555</v>
      </c>
      <c r="O148" s="1">
        <v>42206.583333333336</v>
      </c>
      <c r="P148" t="s">
        <v>36</v>
      </c>
      <c r="Q148" t="s">
        <v>36</v>
      </c>
      <c r="R148" t="s">
        <v>36</v>
      </c>
      <c r="S148" t="s">
        <v>36</v>
      </c>
      <c r="T148" t="s">
        <v>36</v>
      </c>
      <c r="U148" t="s">
        <v>36</v>
      </c>
      <c r="V148" t="s">
        <v>36</v>
      </c>
      <c r="W148" t="s">
        <v>36</v>
      </c>
      <c r="X148" s="1">
        <v>42193.652777777781</v>
      </c>
      <c r="Y148" t="s">
        <v>36</v>
      </c>
      <c r="Z148" t="s">
        <v>36</v>
      </c>
      <c r="AA148" t="s">
        <v>36</v>
      </c>
      <c r="AB148" t="s">
        <v>36</v>
      </c>
      <c r="AC148" t="s">
        <v>36</v>
      </c>
      <c r="AD148" t="s">
        <v>36</v>
      </c>
      <c r="AE148" t="s">
        <v>36</v>
      </c>
      <c r="AF148" t="s">
        <v>36</v>
      </c>
      <c r="AG148" t="s">
        <v>36</v>
      </c>
      <c r="AH148" t="s">
        <v>36</v>
      </c>
      <c r="AI148" t="s">
        <v>36</v>
      </c>
      <c r="AJ148" t="s">
        <v>36</v>
      </c>
    </row>
    <row r="149" spans="1:36" x14ac:dyDescent="0.35">
      <c r="A149">
        <v>210</v>
      </c>
      <c r="B149" t="s">
        <v>154</v>
      </c>
      <c r="C149" t="s">
        <v>36</v>
      </c>
      <c r="D149" s="1">
        <v>42058.680555555555</v>
      </c>
      <c r="E149" t="s">
        <v>36</v>
      </c>
      <c r="F149" t="s">
        <v>36</v>
      </c>
      <c r="G149" t="s">
        <v>36</v>
      </c>
      <c r="H149" t="s">
        <v>36</v>
      </c>
      <c r="I149" t="s">
        <v>36</v>
      </c>
      <c r="J149" t="s">
        <v>36</v>
      </c>
      <c r="K149" t="s">
        <v>36</v>
      </c>
      <c r="L149" t="s">
        <v>36</v>
      </c>
      <c r="M149" t="s">
        <v>36</v>
      </c>
      <c r="N149" s="1">
        <v>42735.993055555555</v>
      </c>
      <c r="O149" s="1">
        <v>42206.583333333336</v>
      </c>
      <c r="P149" t="s">
        <v>36</v>
      </c>
      <c r="Q149" t="s">
        <v>36</v>
      </c>
      <c r="R149" t="s">
        <v>36</v>
      </c>
      <c r="S149" t="s">
        <v>36</v>
      </c>
      <c r="T149" t="s">
        <v>36</v>
      </c>
      <c r="U149" t="s">
        <v>36</v>
      </c>
      <c r="V149" t="s">
        <v>36</v>
      </c>
      <c r="W149" t="s">
        <v>36</v>
      </c>
      <c r="X149" s="1">
        <v>42193.652777777781</v>
      </c>
      <c r="Y149" t="s">
        <v>36</v>
      </c>
      <c r="Z149" t="s">
        <v>36</v>
      </c>
      <c r="AA149" t="s">
        <v>36</v>
      </c>
      <c r="AB149" t="s">
        <v>36</v>
      </c>
      <c r="AC149" t="s">
        <v>36</v>
      </c>
      <c r="AD149" t="s">
        <v>36</v>
      </c>
      <c r="AE149" t="s">
        <v>36</v>
      </c>
      <c r="AF149" t="s">
        <v>36</v>
      </c>
      <c r="AG149" t="s">
        <v>36</v>
      </c>
      <c r="AH149" t="s">
        <v>36</v>
      </c>
      <c r="AI149" t="s">
        <v>36</v>
      </c>
      <c r="AJ149" t="s">
        <v>36</v>
      </c>
    </row>
    <row r="150" spans="1:36" x14ac:dyDescent="0.35">
      <c r="A150">
        <v>333</v>
      </c>
      <c r="B150" t="s">
        <v>201</v>
      </c>
      <c r="C150" t="s">
        <v>36</v>
      </c>
      <c r="D150" t="s">
        <v>36</v>
      </c>
      <c r="E150" t="s">
        <v>36</v>
      </c>
      <c r="F150" t="s">
        <v>36</v>
      </c>
      <c r="G150" t="s">
        <v>36</v>
      </c>
      <c r="H150" t="s">
        <v>36</v>
      </c>
      <c r="I150" t="s">
        <v>36</v>
      </c>
      <c r="J150" t="s">
        <v>36</v>
      </c>
      <c r="K150" t="s">
        <v>36</v>
      </c>
      <c r="L150" t="s">
        <v>36</v>
      </c>
      <c r="M150" t="s">
        <v>36</v>
      </c>
      <c r="N150" t="s">
        <v>36</v>
      </c>
      <c r="O150" t="s">
        <v>36</v>
      </c>
      <c r="P150" t="s">
        <v>36</v>
      </c>
      <c r="Q150" t="s">
        <v>36</v>
      </c>
      <c r="R150" t="s">
        <v>36</v>
      </c>
      <c r="S150" t="s">
        <v>36</v>
      </c>
      <c r="T150" t="s">
        <v>36</v>
      </c>
      <c r="U150" t="s">
        <v>36</v>
      </c>
      <c r="V150" t="s">
        <v>36</v>
      </c>
      <c r="W150" t="s">
        <v>36</v>
      </c>
      <c r="X150" t="s">
        <v>36</v>
      </c>
      <c r="Y150" t="s">
        <v>36</v>
      </c>
      <c r="Z150" t="s">
        <v>36</v>
      </c>
      <c r="AA150" t="s">
        <v>36</v>
      </c>
      <c r="AB150" t="s">
        <v>36</v>
      </c>
      <c r="AC150" t="s">
        <v>36</v>
      </c>
      <c r="AD150" t="s">
        <v>36</v>
      </c>
      <c r="AE150" t="s">
        <v>36</v>
      </c>
      <c r="AF150" s="1">
        <v>42492.5</v>
      </c>
      <c r="AG150" t="s">
        <v>36</v>
      </c>
      <c r="AH150" t="s">
        <v>36</v>
      </c>
      <c r="AI150" s="1">
        <v>42492.902777777781</v>
      </c>
      <c r="AJ150" s="1">
        <v>43059.576388888891</v>
      </c>
    </row>
    <row r="151" spans="1:36" x14ac:dyDescent="0.35">
      <c r="A151">
        <v>332</v>
      </c>
      <c r="B151" t="s">
        <v>200</v>
      </c>
      <c r="C151" t="s">
        <v>36</v>
      </c>
      <c r="D151" t="s">
        <v>36</v>
      </c>
      <c r="E151" t="s">
        <v>36</v>
      </c>
      <c r="F151" t="s">
        <v>36</v>
      </c>
      <c r="G151" t="s">
        <v>36</v>
      </c>
      <c r="H151" t="s">
        <v>36</v>
      </c>
      <c r="I151" t="s">
        <v>36</v>
      </c>
      <c r="J151" t="s">
        <v>36</v>
      </c>
      <c r="K151" t="s">
        <v>36</v>
      </c>
      <c r="L151" t="s">
        <v>36</v>
      </c>
      <c r="M151" t="s">
        <v>36</v>
      </c>
      <c r="N151" t="s">
        <v>36</v>
      </c>
      <c r="O151" t="s">
        <v>36</v>
      </c>
      <c r="P151" t="s">
        <v>36</v>
      </c>
      <c r="Q151" t="s">
        <v>36</v>
      </c>
      <c r="R151" t="s">
        <v>36</v>
      </c>
      <c r="S151" t="s">
        <v>36</v>
      </c>
      <c r="T151" t="s">
        <v>36</v>
      </c>
      <c r="U151" t="s">
        <v>36</v>
      </c>
      <c r="V151" t="s">
        <v>36</v>
      </c>
      <c r="W151" t="s">
        <v>36</v>
      </c>
      <c r="X151" t="s">
        <v>36</v>
      </c>
      <c r="Y151" t="s">
        <v>36</v>
      </c>
      <c r="Z151" t="s">
        <v>36</v>
      </c>
      <c r="AA151" t="s">
        <v>36</v>
      </c>
      <c r="AB151" t="s">
        <v>36</v>
      </c>
      <c r="AC151" t="s">
        <v>36</v>
      </c>
      <c r="AD151" t="s">
        <v>36</v>
      </c>
      <c r="AE151" t="s">
        <v>36</v>
      </c>
      <c r="AF151" s="1">
        <v>42492.5</v>
      </c>
      <c r="AG151" t="s">
        <v>36</v>
      </c>
      <c r="AH151" t="s">
        <v>36</v>
      </c>
      <c r="AI151" s="1">
        <v>42492.902777777781</v>
      </c>
      <c r="AJ151" s="1">
        <v>43059.576388888891</v>
      </c>
    </row>
    <row r="152" spans="1:36" x14ac:dyDescent="0.35">
      <c r="A152">
        <v>329</v>
      </c>
      <c r="B152" t="s">
        <v>197</v>
      </c>
      <c r="C152" t="s">
        <v>36</v>
      </c>
      <c r="D152" t="s">
        <v>36</v>
      </c>
      <c r="E152" t="s">
        <v>36</v>
      </c>
      <c r="F152" t="s">
        <v>36</v>
      </c>
      <c r="G152" s="1">
        <v>41426</v>
      </c>
      <c r="H152" t="s">
        <v>36</v>
      </c>
      <c r="I152" t="s">
        <v>36</v>
      </c>
      <c r="J152" t="s">
        <v>36</v>
      </c>
      <c r="K152" t="s">
        <v>36</v>
      </c>
      <c r="L152" t="s">
        <v>36</v>
      </c>
      <c r="M152" t="s">
        <v>36</v>
      </c>
      <c r="N152" t="s">
        <v>36</v>
      </c>
      <c r="O152" t="s">
        <v>36</v>
      </c>
      <c r="P152" s="1">
        <v>43059.576388888891</v>
      </c>
      <c r="Q152" t="s">
        <v>36</v>
      </c>
      <c r="R152" t="s">
        <v>36</v>
      </c>
      <c r="S152" t="s">
        <v>36</v>
      </c>
      <c r="T152" s="1">
        <v>42528.291666666664</v>
      </c>
      <c r="U152" t="s">
        <v>36</v>
      </c>
      <c r="V152" t="s">
        <v>36</v>
      </c>
      <c r="W152" t="s">
        <v>36</v>
      </c>
      <c r="X152" t="s">
        <v>36</v>
      </c>
      <c r="Y152" t="s">
        <v>36</v>
      </c>
      <c r="Z152" t="s">
        <v>36</v>
      </c>
      <c r="AA152" t="s">
        <v>36</v>
      </c>
      <c r="AB152" t="s">
        <v>36</v>
      </c>
      <c r="AC152" t="s">
        <v>36</v>
      </c>
      <c r="AD152" t="s">
        <v>36</v>
      </c>
      <c r="AE152" t="s">
        <v>36</v>
      </c>
      <c r="AF152" s="1">
        <v>42058.680555555555</v>
      </c>
      <c r="AG152" s="32">
        <v>43040</v>
      </c>
      <c r="AH152" t="s">
        <v>36</v>
      </c>
      <c r="AI152" s="1">
        <v>41426</v>
      </c>
      <c r="AJ152" s="1">
        <v>43059.576388888891</v>
      </c>
    </row>
    <row r="153" spans="1:36" x14ac:dyDescent="0.35">
      <c r="A153">
        <v>399</v>
      </c>
      <c r="B153" t="s">
        <v>226</v>
      </c>
      <c r="C153" t="s">
        <v>36</v>
      </c>
      <c r="D153" t="s">
        <v>36</v>
      </c>
      <c r="E153" t="s">
        <v>36</v>
      </c>
      <c r="F153" t="s">
        <v>36</v>
      </c>
      <c r="G153" s="1">
        <v>41426</v>
      </c>
      <c r="H153" t="s">
        <v>36</v>
      </c>
      <c r="I153" t="s">
        <v>36</v>
      </c>
      <c r="J153" t="s">
        <v>36</v>
      </c>
      <c r="K153" t="s">
        <v>36</v>
      </c>
      <c r="L153" t="s">
        <v>36</v>
      </c>
      <c r="M153" t="s">
        <v>36</v>
      </c>
      <c r="N153" t="s">
        <v>36</v>
      </c>
      <c r="O153" t="s">
        <v>36</v>
      </c>
      <c r="P153" s="1">
        <v>43059.576388888891</v>
      </c>
      <c r="Q153" t="s">
        <v>36</v>
      </c>
      <c r="R153" t="s">
        <v>36</v>
      </c>
      <c r="S153" t="s">
        <v>36</v>
      </c>
      <c r="T153" s="1">
        <v>42528.291666666664</v>
      </c>
      <c r="U153" t="s">
        <v>36</v>
      </c>
      <c r="V153" t="s">
        <v>36</v>
      </c>
      <c r="W153" t="s">
        <v>36</v>
      </c>
      <c r="X153" t="s">
        <v>36</v>
      </c>
      <c r="Y153" t="s">
        <v>36</v>
      </c>
      <c r="Z153" t="s">
        <v>36</v>
      </c>
      <c r="AA153" t="s">
        <v>36</v>
      </c>
      <c r="AB153" t="s">
        <v>36</v>
      </c>
      <c r="AC153" t="s">
        <v>36</v>
      </c>
      <c r="AD153" t="s">
        <v>36</v>
      </c>
      <c r="AE153" t="s">
        <v>36</v>
      </c>
      <c r="AF153" s="1">
        <v>42058.680555555555</v>
      </c>
      <c r="AG153" s="32">
        <v>43040</v>
      </c>
      <c r="AH153" t="s">
        <v>36</v>
      </c>
      <c r="AI153" s="1">
        <v>41426</v>
      </c>
      <c r="AJ153" s="1">
        <v>43059.576388888891</v>
      </c>
    </row>
    <row r="154" spans="1:36" x14ac:dyDescent="0.35">
      <c r="A154">
        <v>794</v>
      </c>
      <c r="B154" t="s">
        <v>270</v>
      </c>
      <c r="C154" t="s">
        <v>36</v>
      </c>
      <c r="D154" t="s">
        <v>36</v>
      </c>
      <c r="E154" t="s">
        <v>36</v>
      </c>
      <c r="F154" t="s">
        <v>36</v>
      </c>
      <c r="G154" t="s">
        <v>36</v>
      </c>
      <c r="H154" t="s">
        <v>36</v>
      </c>
      <c r="I154" t="s">
        <v>36</v>
      </c>
      <c r="J154" t="s">
        <v>36</v>
      </c>
      <c r="K154" t="s">
        <v>36</v>
      </c>
      <c r="L154" s="1">
        <v>43195.548611111109</v>
      </c>
      <c r="M154" t="s">
        <v>36</v>
      </c>
      <c r="N154" t="s">
        <v>36</v>
      </c>
      <c r="O154" t="s">
        <v>36</v>
      </c>
      <c r="P154" t="s">
        <v>36</v>
      </c>
      <c r="Q154" t="s">
        <v>36</v>
      </c>
      <c r="R154" t="s">
        <v>36</v>
      </c>
      <c r="S154" t="s">
        <v>36</v>
      </c>
      <c r="T154" t="s">
        <v>36</v>
      </c>
      <c r="U154" t="s">
        <v>36</v>
      </c>
      <c r="V154" t="s">
        <v>36</v>
      </c>
      <c r="W154" t="s">
        <v>36</v>
      </c>
      <c r="X154" t="s">
        <v>36</v>
      </c>
      <c r="Y154" t="s">
        <v>36</v>
      </c>
      <c r="Z154" t="s">
        <v>36</v>
      </c>
      <c r="AA154" t="s">
        <v>36</v>
      </c>
      <c r="AB154" s="1">
        <v>41225.597222222219</v>
      </c>
      <c r="AC154" t="s">
        <v>36</v>
      </c>
      <c r="AD154" t="s">
        <v>36</v>
      </c>
      <c r="AE154" t="s">
        <v>36</v>
      </c>
      <c r="AF154" t="s">
        <v>36</v>
      </c>
      <c r="AG154" t="s">
        <v>36</v>
      </c>
      <c r="AH154" t="s">
        <v>36</v>
      </c>
      <c r="AI154" t="s">
        <v>36</v>
      </c>
      <c r="AJ154" t="s">
        <v>36</v>
      </c>
    </row>
    <row r="155" spans="1:36" x14ac:dyDescent="0.35">
      <c r="A155">
        <v>2748</v>
      </c>
      <c r="B155" t="s">
        <v>892</v>
      </c>
      <c r="C155" t="s">
        <v>36</v>
      </c>
      <c r="D155" t="s">
        <v>36</v>
      </c>
      <c r="E155" t="s">
        <v>36</v>
      </c>
      <c r="F155" t="s">
        <v>36</v>
      </c>
      <c r="G155" t="s">
        <v>36</v>
      </c>
      <c r="H155" t="s">
        <v>36</v>
      </c>
      <c r="I155" t="s">
        <v>36</v>
      </c>
      <c r="J155" t="s">
        <v>36</v>
      </c>
      <c r="K155" t="s">
        <v>36</v>
      </c>
      <c r="L155" s="1">
        <v>43195.548611111109</v>
      </c>
      <c r="M155" t="s">
        <v>36</v>
      </c>
      <c r="N155" t="s">
        <v>36</v>
      </c>
      <c r="O155" t="s">
        <v>36</v>
      </c>
      <c r="P155" t="s">
        <v>36</v>
      </c>
      <c r="Q155" t="s">
        <v>36</v>
      </c>
      <c r="R155" t="s">
        <v>36</v>
      </c>
      <c r="S155" t="s">
        <v>36</v>
      </c>
      <c r="T155" t="s">
        <v>36</v>
      </c>
      <c r="U155" t="s">
        <v>36</v>
      </c>
      <c r="V155" t="s">
        <v>36</v>
      </c>
      <c r="W155" t="s">
        <v>36</v>
      </c>
      <c r="X155" t="s">
        <v>36</v>
      </c>
      <c r="Y155" t="s">
        <v>36</v>
      </c>
      <c r="Z155" t="s">
        <v>36</v>
      </c>
      <c r="AA155" t="s">
        <v>36</v>
      </c>
      <c r="AB155" s="1">
        <v>43062.604166666664</v>
      </c>
      <c r="AC155" t="s">
        <v>36</v>
      </c>
      <c r="AD155" t="s">
        <v>36</v>
      </c>
      <c r="AE155" t="s">
        <v>36</v>
      </c>
      <c r="AF155" t="s">
        <v>36</v>
      </c>
      <c r="AG155" t="s">
        <v>36</v>
      </c>
      <c r="AH155" t="s">
        <v>36</v>
      </c>
      <c r="AI155" t="s">
        <v>36</v>
      </c>
      <c r="AJ155" t="s">
        <v>36</v>
      </c>
    </row>
    <row r="156" spans="1:36" x14ac:dyDescent="0.35">
      <c r="A156">
        <v>2749</v>
      </c>
      <c r="B156" t="s">
        <v>893</v>
      </c>
      <c r="C156" t="s">
        <v>36</v>
      </c>
      <c r="D156" t="s">
        <v>36</v>
      </c>
      <c r="E156" t="s">
        <v>36</v>
      </c>
      <c r="F156" t="s">
        <v>36</v>
      </c>
      <c r="G156" t="s">
        <v>36</v>
      </c>
      <c r="H156" t="s">
        <v>36</v>
      </c>
      <c r="I156" t="s">
        <v>36</v>
      </c>
      <c r="J156" t="s">
        <v>36</v>
      </c>
      <c r="K156" t="s">
        <v>36</v>
      </c>
      <c r="L156" s="1">
        <v>43195.548611111109</v>
      </c>
      <c r="M156" t="s">
        <v>36</v>
      </c>
      <c r="N156" t="s">
        <v>36</v>
      </c>
      <c r="O156" t="s">
        <v>36</v>
      </c>
      <c r="P156" t="s">
        <v>36</v>
      </c>
      <c r="Q156" t="s">
        <v>36</v>
      </c>
      <c r="R156" t="s">
        <v>36</v>
      </c>
      <c r="S156" t="s">
        <v>36</v>
      </c>
      <c r="T156" t="s">
        <v>36</v>
      </c>
      <c r="U156" t="s">
        <v>36</v>
      </c>
      <c r="V156" t="s">
        <v>36</v>
      </c>
      <c r="W156" t="s">
        <v>36</v>
      </c>
      <c r="X156" t="s">
        <v>36</v>
      </c>
      <c r="Y156" t="s">
        <v>36</v>
      </c>
      <c r="Z156" t="s">
        <v>36</v>
      </c>
      <c r="AA156" t="s">
        <v>36</v>
      </c>
      <c r="AB156" s="1">
        <v>43062.604166666664</v>
      </c>
      <c r="AC156" t="s">
        <v>36</v>
      </c>
      <c r="AD156" t="s">
        <v>36</v>
      </c>
      <c r="AE156" t="s">
        <v>36</v>
      </c>
      <c r="AF156" t="s">
        <v>36</v>
      </c>
      <c r="AG156" t="s">
        <v>36</v>
      </c>
      <c r="AH156" t="s">
        <v>36</v>
      </c>
      <c r="AI156" t="s">
        <v>36</v>
      </c>
      <c r="AJ156" t="s">
        <v>36</v>
      </c>
    </row>
    <row r="157" spans="1:36" x14ac:dyDescent="0.35">
      <c r="A157">
        <v>9</v>
      </c>
      <c r="B157" t="s">
        <v>44</v>
      </c>
      <c r="C157" t="s">
        <v>36</v>
      </c>
      <c r="D157" t="s">
        <v>36</v>
      </c>
      <c r="E157" t="s">
        <v>36</v>
      </c>
      <c r="F157" t="s">
        <v>36</v>
      </c>
      <c r="G157" t="s">
        <v>36</v>
      </c>
      <c r="H157" t="s">
        <v>36</v>
      </c>
      <c r="I157" t="s">
        <v>36</v>
      </c>
      <c r="J157" t="s">
        <v>36</v>
      </c>
      <c r="K157" t="s">
        <v>36</v>
      </c>
      <c r="L157" t="s">
        <v>36</v>
      </c>
      <c r="M157" s="1">
        <v>43348.625</v>
      </c>
      <c r="N157" t="s">
        <v>36</v>
      </c>
      <c r="O157" t="s">
        <v>36</v>
      </c>
      <c r="P157" t="s">
        <v>36</v>
      </c>
      <c r="Q157" s="1">
        <v>40911.534722222219</v>
      </c>
      <c r="R157" t="s">
        <v>36</v>
      </c>
      <c r="S157" t="s">
        <v>36</v>
      </c>
      <c r="T157" t="s">
        <v>36</v>
      </c>
      <c r="U157" t="s">
        <v>36</v>
      </c>
      <c r="V157" t="s">
        <v>36</v>
      </c>
      <c r="W157" t="s">
        <v>36</v>
      </c>
      <c r="X157" t="s">
        <v>36</v>
      </c>
      <c r="Y157" t="s">
        <v>36</v>
      </c>
      <c r="Z157" t="s">
        <v>36</v>
      </c>
      <c r="AA157" t="s">
        <v>36</v>
      </c>
      <c r="AB157" t="s">
        <v>36</v>
      </c>
      <c r="AC157" t="s">
        <v>36</v>
      </c>
      <c r="AD157" t="s">
        <v>36</v>
      </c>
      <c r="AE157" t="s">
        <v>36</v>
      </c>
      <c r="AF157" t="s">
        <v>36</v>
      </c>
      <c r="AG157" t="s">
        <v>36</v>
      </c>
      <c r="AH157" t="s">
        <v>36</v>
      </c>
      <c r="AI157" t="s">
        <v>36</v>
      </c>
      <c r="AJ157" t="s">
        <v>36</v>
      </c>
    </row>
    <row r="158" spans="1:36" x14ac:dyDescent="0.35">
      <c r="A158">
        <v>948</v>
      </c>
      <c r="B158" t="s">
        <v>881</v>
      </c>
      <c r="C158" t="s">
        <v>36</v>
      </c>
      <c r="D158" t="s">
        <v>36</v>
      </c>
      <c r="E158" t="s">
        <v>36</v>
      </c>
      <c r="F158" t="s">
        <v>36</v>
      </c>
      <c r="G158" t="s">
        <v>36</v>
      </c>
      <c r="H158" t="s">
        <v>36</v>
      </c>
      <c r="I158" t="s">
        <v>36</v>
      </c>
      <c r="J158" t="s">
        <v>36</v>
      </c>
      <c r="K158" t="s">
        <v>36</v>
      </c>
      <c r="L158" t="s">
        <v>36</v>
      </c>
      <c r="M158" s="1">
        <v>43348.625</v>
      </c>
      <c r="N158" t="s">
        <v>36</v>
      </c>
      <c r="O158" t="s">
        <v>36</v>
      </c>
      <c r="P158" t="s">
        <v>36</v>
      </c>
      <c r="Q158" s="1">
        <v>42692.506944444445</v>
      </c>
      <c r="R158" t="s">
        <v>36</v>
      </c>
      <c r="S158" t="s">
        <v>36</v>
      </c>
      <c r="T158" t="s">
        <v>36</v>
      </c>
      <c r="U158" t="s">
        <v>36</v>
      </c>
      <c r="V158" t="s">
        <v>36</v>
      </c>
      <c r="W158" t="s">
        <v>36</v>
      </c>
      <c r="X158" t="s">
        <v>36</v>
      </c>
      <c r="Y158" t="s">
        <v>36</v>
      </c>
      <c r="Z158" t="s">
        <v>36</v>
      </c>
      <c r="AA158" t="s">
        <v>36</v>
      </c>
      <c r="AB158" t="s">
        <v>36</v>
      </c>
      <c r="AC158" t="s">
        <v>36</v>
      </c>
      <c r="AD158" t="s">
        <v>36</v>
      </c>
      <c r="AE158" t="s">
        <v>36</v>
      </c>
      <c r="AF158" t="s">
        <v>36</v>
      </c>
      <c r="AG158" t="s">
        <v>36</v>
      </c>
      <c r="AH158" t="s">
        <v>36</v>
      </c>
      <c r="AI158" t="s">
        <v>36</v>
      </c>
      <c r="AJ158" t="s">
        <v>36</v>
      </c>
    </row>
    <row r="159" spans="1:36" x14ac:dyDescent="0.35">
      <c r="A159">
        <v>949</v>
      </c>
      <c r="B159" t="s">
        <v>882</v>
      </c>
      <c r="C159" t="s">
        <v>36</v>
      </c>
      <c r="D159" t="s">
        <v>36</v>
      </c>
      <c r="E159" t="s">
        <v>36</v>
      </c>
      <c r="F159" t="s">
        <v>36</v>
      </c>
      <c r="G159" t="s">
        <v>36</v>
      </c>
      <c r="H159" t="s">
        <v>36</v>
      </c>
      <c r="I159" t="s">
        <v>36</v>
      </c>
      <c r="J159" t="s">
        <v>36</v>
      </c>
      <c r="K159" t="s">
        <v>36</v>
      </c>
      <c r="L159" t="s">
        <v>36</v>
      </c>
      <c r="M159" s="1">
        <v>43348.625</v>
      </c>
      <c r="N159" t="s">
        <v>36</v>
      </c>
      <c r="O159" t="s">
        <v>36</v>
      </c>
      <c r="P159" t="s">
        <v>36</v>
      </c>
      <c r="Q159" s="1">
        <v>42692.506944444445</v>
      </c>
      <c r="R159" t="s">
        <v>36</v>
      </c>
      <c r="S159" t="s">
        <v>36</v>
      </c>
      <c r="T159" t="s">
        <v>36</v>
      </c>
      <c r="U159" t="s">
        <v>36</v>
      </c>
      <c r="V159" t="s">
        <v>36</v>
      </c>
      <c r="W159" t="s">
        <v>36</v>
      </c>
      <c r="X159" t="s">
        <v>36</v>
      </c>
      <c r="Y159" t="s">
        <v>36</v>
      </c>
      <c r="Z159" t="s">
        <v>36</v>
      </c>
      <c r="AA159" t="s">
        <v>36</v>
      </c>
      <c r="AB159" t="s">
        <v>36</v>
      </c>
      <c r="AC159" t="s">
        <v>36</v>
      </c>
      <c r="AD159" t="s">
        <v>36</v>
      </c>
      <c r="AE159" t="s">
        <v>36</v>
      </c>
      <c r="AF159" t="s">
        <v>36</v>
      </c>
      <c r="AG159" t="s">
        <v>36</v>
      </c>
      <c r="AH159" t="s">
        <v>36</v>
      </c>
      <c r="AI159" t="s">
        <v>36</v>
      </c>
      <c r="AJ159" t="s">
        <v>36</v>
      </c>
    </row>
    <row r="160" spans="1:36" x14ac:dyDescent="0.35">
      <c r="A160">
        <v>950</v>
      </c>
      <c r="B160" t="s">
        <v>883</v>
      </c>
      <c r="C160" t="s">
        <v>36</v>
      </c>
      <c r="D160" t="s">
        <v>36</v>
      </c>
      <c r="E160" t="s">
        <v>36</v>
      </c>
      <c r="F160" t="s">
        <v>36</v>
      </c>
      <c r="G160" t="s">
        <v>36</v>
      </c>
      <c r="H160" t="s">
        <v>36</v>
      </c>
      <c r="I160" t="s">
        <v>36</v>
      </c>
      <c r="J160" t="s">
        <v>36</v>
      </c>
      <c r="K160" t="s">
        <v>36</v>
      </c>
      <c r="L160" t="s">
        <v>36</v>
      </c>
      <c r="M160" s="1">
        <v>43348.625</v>
      </c>
      <c r="N160" t="s">
        <v>36</v>
      </c>
      <c r="O160" t="s">
        <v>36</v>
      </c>
      <c r="P160" t="s">
        <v>36</v>
      </c>
      <c r="Q160" s="1">
        <v>42692.506944444445</v>
      </c>
      <c r="R160" t="s">
        <v>36</v>
      </c>
      <c r="S160" t="s">
        <v>36</v>
      </c>
      <c r="T160" t="s">
        <v>36</v>
      </c>
      <c r="U160" t="s">
        <v>36</v>
      </c>
      <c r="V160" t="s">
        <v>36</v>
      </c>
      <c r="W160" t="s">
        <v>36</v>
      </c>
      <c r="X160" t="s">
        <v>36</v>
      </c>
      <c r="Y160" t="s">
        <v>36</v>
      </c>
      <c r="Z160" t="s">
        <v>36</v>
      </c>
      <c r="AA160" t="s">
        <v>36</v>
      </c>
      <c r="AB160" t="s">
        <v>36</v>
      </c>
      <c r="AC160" t="s">
        <v>36</v>
      </c>
      <c r="AD160" t="s">
        <v>36</v>
      </c>
      <c r="AE160" t="s">
        <v>36</v>
      </c>
      <c r="AF160" t="s">
        <v>36</v>
      </c>
      <c r="AG160" t="s">
        <v>36</v>
      </c>
      <c r="AH160" t="s">
        <v>36</v>
      </c>
      <c r="AI160" t="s">
        <v>36</v>
      </c>
      <c r="AJ160" t="s">
        <v>36</v>
      </c>
    </row>
    <row r="161" spans="1:36" x14ac:dyDescent="0.35">
      <c r="A161">
        <v>93</v>
      </c>
      <c r="B161" t="s">
        <v>104</v>
      </c>
      <c r="C161" s="1">
        <v>42544.520833333336</v>
      </c>
      <c r="D161" t="s">
        <v>36</v>
      </c>
      <c r="E161" t="s">
        <v>36</v>
      </c>
      <c r="F161" t="s">
        <v>36</v>
      </c>
      <c r="G161" s="1">
        <v>41426</v>
      </c>
      <c r="H161" t="s">
        <v>36</v>
      </c>
      <c r="I161" t="s">
        <v>36</v>
      </c>
      <c r="J161" s="1">
        <v>43061.555555555555</v>
      </c>
      <c r="K161" s="1">
        <v>42528.291666666664</v>
      </c>
      <c r="L161" s="1">
        <v>43195.548611111109</v>
      </c>
      <c r="M161" s="1">
        <v>43009</v>
      </c>
      <c r="N161" t="s">
        <v>36</v>
      </c>
      <c r="O161" t="s">
        <v>36</v>
      </c>
      <c r="P161" s="1">
        <v>43059.576388888891</v>
      </c>
      <c r="Q161" t="s">
        <v>36</v>
      </c>
      <c r="R161" t="s">
        <v>36</v>
      </c>
      <c r="S161" t="s">
        <v>36</v>
      </c>
      <c r="T161" s="1">
        <v>42528.291666666664</v>
      </c>
      <c r="U161" t="s">
        <v>36</v>
      </c>
      <c r="V161" s="1">
        <v>42473.513888888891</v>
      </c>
      <c r="W161" s="1">
        <v>42735.993055555555</v>
      </c>
      <c r="X161" t="s">
        <v>36</v>
      </c>
      <c r="Y161" t="s">
        <v>36</v>
      </c>
      <c r="Z161" s="1">
        <v>42648.465277777781</v>
      </c>
      <c r="AA161" t="s">
        <v>36</v>
      </c>
      <c r="AB161" t="s">
        <v>36</v>
      </c>
      <c r="AC161" s="1">
        <v>42485.743055555555</v>
      </c>
      <c r="AD161" s="1">
        <v>43009</v>
      </c>
      <c r="AE161" t="s">
        <v>36</v>
      </c>
      <c r="AF161" s="1">
        <v>42058.680555555555</v>
      </c>
      <c r="AG161" s="32">
        <v>43040</v>
      </c>
      <c r="AH161" t="s">
        <v>36</v>
      </c>
      <c r="AI161" s="1">
        <v>41426</v>
      </c>
      <c r="AJ161" s="1">
        <v>43059.576388888891</v>
      </c>
    </row>
    <row r="162" spans="1:36" x14ac:dyDescent="0.35">
      <c r="A162">
        <v>4317</v>
      </c>
      <c r="B162" t="s">
        <v>1125</v>
      </c>
      <c r="C162" s="1">
        <v>43856.506944444445</v>
      </c>
      <c r="D162" t="s">
        <v>36</v>
      </c>
      <c r="E162" t="s">
        <v>36</v>
      </c>
      <c r="F162" t="s">
        <v>36</v>
      </c>
      <c r="G162" s="1">
        <v>43530</v>
      </c>
      <c r="H162" t="s">
        <v>36</v>
      </c>
      <c r="I162" t="s">
        <v>36</v>
      </c>
      <c r="J162" s="1">
        <v>43856.506944444445</v>
      </c>
      <c r="K162" s="1">
        <v>43856.506944444445</v>
      </c>
      <c r="L162" s="1">
        <v>43886.368055555555</v>
      </c>
      <c r="M162" s="1">
        <v>43856.506944444445</v>
      </c>
      <c r="N162" t="s">
        <v>36</v>
      </c>
      <c r="O162" t="s">
        <v>36</v>
      </c>
      <c r="P162" s="1">
        <v>43559</v>
      </c>
      <c r="Q162" t="s">
        <v>36</v>
      </c>
      <c r="R162" t="s">
        <v>36</v>
      </c>
      <c r="S162" t="s">
        <v>36</v>
      </c>
      <c r="T162" s="1">
        <v>43557</v>
      </c>
      <c r="U162" t="s">
        <v>36</v>
      </c>
      <c r="V162" s="1">
        <v>43857.458333333336</v>
      </c>
      <c r="W162" s="1">
        <v>43856.506944444445</v>
      </c>
      <c r="X162" t="s">
        <v>36</v>
      </c>
      <c r="Y162" t="s">
        <v>36</v>
      </c>
      <c r="Z162" s="1">
        <v>43856.506944444445</v>
      </c>
      <c r="AA162" t="s">
        <v>36</v>
      </c>
      <c r="AB162" t="s">
        <v>36</v>
      </c>
      <c r="AC162" s="1">
        <v>43856.423611111109</v>
      </c>
      <c r="AD162" s="1">
        <v>43856.506944444445</v>
      </c>
      <c r="AE162" t="s">
        <v>36</v>
      </c>
      <c r="AF162" s="1">
        <v>43529</v>
      </c>
      <c r="AG162" t="s">
        <v>36</v>
      </c>
      <c r="AH162" t="s">
        <v>36</v>
      </c>
      <c r="AI162" s="1">
        <v>43530</v>
      </c>
      <c r="AJ162" s="1">
        <v>43528</v>
      </c>
    </row>
    <row r="163" spans="1:36" x14ac:dyDescent="0.35">
      <c r="A163">
        <v>4318</v>
      </c>
      <c r="B163" t="s">
        <v>1126</v>
      </c>
      <c r="C163" s="1">
        <v>43856.506944444445</v>
      </c>
      <c r="D163" t="s">
        <v>36</v>
      </c>
      <c r="E163" t="s">
        <v>36</v>
      </c>
      <c r="F163" t="s">
        <v>36</v>
      </c>
      <c r="G163" s="1">
        <v>43530</v>
      </c>
      <c r="H163" t="s">
        <v>36</v>
      </c>
      <c r="I163" t="s">
        <v>36</v>
      </c>
      <c r="J163" s="1">
        <v>43856.506944444445</v>
      </c>
      <c r="K163" s="1">
        <v>43856.506944444445</v>
      </c>
      <c r="L163" s="1">
        <v>43886.368055555555</v>
      </c>
      <c r="M163" s="1">
        <v>43856.506944444445</v>
      </c>
      <c r="N163" t="s">
        <v>36</v>
      </c>
      <c r="O163" t="s">
        <v>36</v>
      </c>
      <c r="P163" s="1">
        <v>43557</v>
      </c>
      <c r="Q163" t="s">
        <v>36</v>
      </c>
      <c r="R163" t="s">
        <v>36</v>
      </c>
      <c r="S163" t="s">
        <v>36</v>
      </c>
      <c r="T163" s="1">
        <v>43557</v>
      </c>
      <c r="U163" t="s">
        <v>36</v>
      </c>
      <c r="V163" s="1">
        <v>43857.458333333336</v>
      </c>
      <c r="W163" s="1">
        <v>43856.506944444445</v>
      </c>
      <c r="X163" t="s">
        <v>36</v>
      </c>
      <c r="Y163" t="s">
        <v>36</v>
      </c>
      <c r="Z163" s="1">
        <v>43856.506944444445</v>
      </c>
      <c r="AA163" t="s">
        <v>36</v>
      </c>
      <c r="AB163" t="s">
        <v>36</v>
      </c>
      <c r="AC163" s="1">
        <v>43856.423611111109</v>
      </c>
      <c r="AD163" s="1">
        <v>43856.506944444445</v>
      </c>
      <c r="AE163" t="s">
        <v>36</v>
      </c>
      <c r="AF163" s="1">
        <v>43529</v>
      </c>
      <c r="AG163" t="s">
        <v>36</v>
      </c>
      <c r="AH163" t="s">
        <v>36</v>
      </c>
      <c r="AI163" s="1">
        <v>43530</v>
      </c>
      <c r="AJ163" s="1">
        <v>43528</v>
      </c>
    </row>
    <row r="164" spans="1:36" x14ac:dyDescent="0.35">
      <c r="A164">
        <v>4319</v>
      </c>
      <c r="B164" t="s">
        <v>1127</v>
      </c>
      <c r="C164" s="1">
        <v>43856.506944444445</v>
      </c>
      <c r="D164" t="s">
        <v>36</v>
      </c>
      <c r="E164" t="s">
        <v>36</v>
      </c>
      <c r="F164" t="s">
        <v>36</v>
      </c>
      <c r="G164" s="1">
        <v>43530</v>
      </c>
      <c r="H164" t="s">
        <v>36</v>
      </c>
      <c r="I164" t="s">
        <v>36</v>
      </c>
      <c r="J164" s="1">
        <v>43856.506944444445</v>
      </c>
      <c r="K164" s="1">
        <v>43856.506944444445</v>
      </c>
      <c r="L164" s="1">
        <v>43886.368055555555</v>
      </c>
      <c r="M164" s="1">
        <v>43856.506944444445</v>
      </c>
      <c r="N164" t="s">
        <v>36</v>
      </c>
      <c r="O164" t="s">
        <v>36</v>
      </c>
      <c r="P164" s="1">
        <v>43557</v>
      </c>
      <c r="Q164" t="s">
        <v>36</v>
      </c>
      <c r="R164" t="s">
        <v>36</v>
      </c>
      <c r="S164" t="s">
        <v>36</v>
      </c>
      <c r="T164" s="1">
        <v>43557</v>
      </c>
      <c r="U164" t="s">
        <v>36</v>
      </c>
      <c r="V164" s="1">
        <v>43857.458333333336</v>
      </c>
      <c r="W164" s="1">
        <v>43856.506944444445</v>
      </c>
      <c r="X164" t="s">
        <v>36</v>
      </c>
      <c r="Y164" t="s">
        <v>36</v>
      </c>
      <c r="Z164" s="1">
        <v>43856.506944444445</v>
      </c>
      <c r="AA164" t="s">
        <v>36</v>
      </c>
      <c r="AB164" t="s">
        <v>36</v>
      </c>
      <c r="AC164" s="1">
        <v>43856.423611111109</v>
      </c>
      <c r="AD164" s="1">
        <v>43856.506944444445</v>
      </c>
      <c r="AE164" t="s">
        <v>36</v>
      </c>
      <c r="AF164" s="1">
        <v>43529</v>
      </c>
      <c r="AG164" t="s">
        <v>36</v>
      </c>
      <c r="AH164" t="s">
        <v>36</v>
      </c>
      <c r="AI164" s="1">
        <v>43530</v>
      </c>
      <c r="AJ164" s="1">
        <v>43528</v>
      </c>
    </row>
    <row r="165" spans="1:36" x14ac:dyDescent="0.35">
      <c r="A165">
        <v>94</v>
      </c>
      <c r="B165" t="s">
        <v>105</v>
      </c>
      <c r="C165" s="1">
        <v>42544.520833333336</v>
      </c>
      <c r="D165" t="s">
        <v>36</v>
      </c>
      <c r="E165" t="s">
        <v>36</v>
      </c>
      <c r="F165" t="s">
        <v>36</v>
      </c>
      <c r="G165" s="1">
        <v>41426</v>
      </c>
      <c r="H165" t="s">
        <v>36</v>
      </c>
      <c r="I165" t="s">
        <v>36</v>
      </c>
      <c r="J165" s="1">
        <v>43061.534722222219</v>
      </c>
      <c r="K165" s="1">
        <v>42528.291666666664</v>
      </c>
      <c r="L165" s="1">
        <v>43195.548611111109</v>
      </c>
      <c r="M165" s="1">
        <v>43348.625</v>
      </c>
      <c r="N165" t="s">
        <v>36</v>
      </c>
      <c r="O165" t="s">
        <v>36</v>
      </c>
      <c r="P165" s="1">
        <v>43059.576388888891</v>
      </c>
      <c r="Q165" t="s">
        <v>36</v>
      </c>
      <c r="R165" t="s">
        <v>36</v>
      </c>
      <c r="S165" t="s">
        <v>36</v>
      </c>
      <c r="T165" s="1">
        <v>42528.291666666664</v>
      </c>
      <c r="U165" t="s">
        <v>36</v>
      </c>
      <c r="V165" s="1">
        <v>42473.520833333336</v>
      </c>
      <c r="W165" s="1">
        <v>42735.993055555555</v>
      </c>
      <c r="X165" t="s">
        <v>36</v>
      </c>
      <c r="Y165" t="s">
        <v>36</v>
      </c>
      <c r="Z165" s="1">
        <v>42648.465277777781</v>
      </c>
      <c r="AA165" t="s">
        <v>36</v>
      </c>
      <c r="AB165" t="s">
        <v>36</v>
      </c>
      <c r="AC165" s="1">
        <v>42485.743055555555</v>
      </c>
      <c r="AD165" s="1">
        <v>43009</v>
      </c>
      <c r="AE165" t="s">
        <v>36</v>
      </c>
      <c r="AF165" s="1">
        <v>42058.680555555555</v>
      </c>
      <c r="AG165" s="32">
        <v>43040</v>
      </c>
      <c r="AH165" t="s">
        <v>36</v>
      </c>
      <c r="AI165" s="1">
        <v>41426</v>
      </c>
      <c r="AJ165" s="1">
        <v>43059.576388888891</v>
      </c>
    </row>
    <row r="166" spans="1:36" x14ac:dyDescent="0.35">
      <c r="A166">
        <v>4320</v>
      </c>
      <c r="B166" t="s">
        <v>1128</v>
      </c>
      <c r="C166" s="1">
        <v>43856.506944444445</v>
      </c>
      <c r="D166" t="s">
        <v>36</v>
      </c>
      <c r="E166" t="s">
        <v>36</v>
      </c>
      <c r="F166" t="s">
        <v>36</v>
      </c>
      <c r="G166" s="1">
        <v>43530</v>
      </c>
      <c r="H166" t="s">
        <v>36</v>
      </c>
      <c r="I166" t="s">
        <v>36</v>
      </c>
      <c r="J166" s="1">
        <v>43856.506944444445</v>
      </c>
      <c r="K166" s="1">
        <v>43856.506944444445</v>
      </c>
      <c r="L166" s="1">
        <v>43886.368055555555</v>
      </c>
      <c r="M166" s="1">
        <v>43856.506944444445</v>
      </c>
      <c r="N166" t="s">
        <v>36</v>
      </c>
      <c r="O166" t="s">
        <v>36</v>
      </c>
      <c r="P166" s="1">
        <v>43557</v>
      </c>
      <c r="Q166" t="s">
        <v>36</v>
      </c>
      <c r="R166" t="s">
        <v>36</v>
      </c>
      <c r="S166" t="s">
        <v>36</v>
      </c>
      <c r="T166" s="1">
        <v>43557</v>
      </c>
      <c r="U166" t="s">
        <v>36</v>
      </c>
      <c r="V166" s="1">
        <v>43857.458333333336</v>
      </c>
      <c r="W166" s="1">
        <v>43856.506944444445</v>
      </c>
      <c r="X166" t="s">
        <v>36</v>
      </c>
      <c r="Y166" t="s">
        <v>36</v>
      </c>
      <c r="Z166" s="1">
        <v>43856.506944444445</v>
      </c>
      <c r="AA166" t="s">
        <v>36</v>
      </c>
      <c r="AB166" t="s">
        <v>36</v>
      </c>
      <c r="AC166" s="1">
        <v>43856.423611111109</v>
      </c>
      <c r="AD166" s="1">
        <v>43856.506944444445</v>
      </c>
      <c r="AE166" t="s">
        <v>36</v>
      </c>
      <c r="AF166" s="1">
        <v>43529</v>
      </c>
      <c r="AG166" t="s">
        <v>36</v>
      </c>
      <c r="AH166" t="s">
        <v>36</v>
      </c>
      <c r="AI166" s="1">
        <v>43530</v>
      </c>
      <c r="AJ166" s="1">
        <v>43528</v>
      </c>
    </row>
    <row r="167" spans="1:36" x14ac:dyDescent="0.35">
      <c r="A167">
        <v>4321</v>
      </c>
      <c r="B167" t="s">
        <v>1129</v>
      </c>
      <c r="C167" s="1">
        <v>43856.506944444445</v>
      </c>
      <c r="D167" t="s">
        <v>36</v>
      </c>
      <c r="E167" t="s">
        <v>36</v>
      </c>
      <c r="F167" t="s">
        <v>36</v>
      </c>
      <c r="G167" s="1">
        <v>43530</v>
      </c>
      <c r="H167" t="s">
        <v>36</v>
      </c>
      <c r="I167" t="s">
        <v>36</v>
      </c>
      <c r="J167" s="1">
        <v>43856.506944444445</v>
      </c>
      <c r="K167" s="1">
        <v>43856.506944444445</v>
      </c>
      <c r="L167" s="1">
        <v>43886.368055555555</v>
      </c>
      <c r="M167" s="1">
        <v>43856.506944444445</v>
      </c>
      <c r="N167" t="s">
        <v>36</v>
      </c>
      <c r="O167" t="s">
        <v>36</v>
      </c>
      <c r="P167" s="1">
        <v>43556</v>
      </c>
      <c r="Q167" t="s">
        <v>36</v>
      </c>
      <c r="R167" t="s">
        <v>36</v>
      </c>
      <c r="S167" t="s">
        <v>36</v>
      </c>
      <c r="T167" s="1">
        <v>43557</v>
      </c>
      <c r="U167" t="s">
        <v>36</v>
      </c>
      <c r="V167" s="1">
        <v>43857.458333333336</v>
      </c>
      <c r="W167" s="1">
        <v>43856.506944444445</v>
      </c>
      <c r="X167" t="s">
        <v>36</v>
      </c>
      <c r="Y167" t="s">
        <v>36</v>
      </c>
      <c r="Z167" s="1">
        <v>43856.506944444445</v>
      </c>
      <c r="AA167" t="s">
        <v>36</v>
      </c>
      <c r="AB167" t="s">
        <v>36</v>
      </c>
      <c r="AC167" s="1">
        <v>43856.423611111109</v>
      </c>
      <c r="AD167" s="1">
        <v>43856.506944444445</v>
      </c>
      <c r="AE167" t="s">
        <v>36</v>
      </c>
      <c r="AF167" s="1">
        <v>43529</v>
      </c>
      <c r="AG167" t="s">
        <v>36</v>
      </c>
      <c r="AH167" t="s">
        <v>36</v>
      </c>
      <c r="AI167" s="1">
        <v>43530</v>
      </c>
      <c r="AJ167" s="1">
        <v>43528</v>
      </c>
    </row>
    <row r="168" spans="1:36" x14ac:dyDescent="0.35">
      <c r="A168">
        <v>4322</v>
      </c>
      <c r="B168" t="s">
        <v>1130</v>
      </c>
      <c r="C168" s="1">
        <v>43856.506944444445</v>
      </c>
      <c r="D168" t="s">
        <v>36</v>
      </c>
      <c r="E168" t="s">
        <v>36</v>
      </c>
      <c r="F168" t="s">
        <v>36</v>
      </c>
      <c r="G168" s="1">
        <v>43530</v>
      </c>
      <c r="H168" t="s">
        <v>36</v>
      </c>
      <c r="I168" t="s">
        <v>36</v>
      </c>
      <c r="J168" s="1">
        <v>43856.506944444445</v>
      </c>
      <c r="K168" s="1">
        <v>43856.506944444445</v>
      </c>
      <c r="L168" s="1">
        <v>43886.368055555555</v>
      </c>
      <c r="M168" s="1">
        <v>43856.506944444445</v>
      </c>
      <c r="N168" t="s">
        <v>36</v>
      </c>
      <c r="O168" t="s">
        <v>36</v>
      </c>
      <c r="P168" s="1">
        <v>43556</v>
      </c>
      <c r="Q168" t="s">
        <v>36</v>
      </c>
      <c r="R168" t="s">
        <v>36</v>
      </c>
      <c r="S168" t="s">
        <v>36</v>
      </c>
      <c r="T168" s="1">
        <v>43557</v>
      </c>
      <c r="U168" t="s">
        <v>36</v>
      </c>
      <c r="V168" s="1">
        <v>43857.458333333336</v>
      </c>
      <c r="W168" s="1">
        <v>43856.506944444445</v>
      </c>
      <c r="X168" t="s">
        <v>36</v>
      </c>
      <c r="Y168" t="s">
        <v>36</v>
      </c>
      <c r="Z168" s="1">
        <v>43856.506944444445</v>
      </c>
      <c r="AA168" t="s">
        <v>36</v>
      </c>
      <c r="AB168" t="s">
        <v>36</v>
      </c>
      <c r="AC168" s="1">
        <v>43856.423611111109</v>
      </c>
      <c r="AD168" s="1">
        <v>43856.506944444445</v>
      </c>
      <c r="AE168" t="s">
        <v>36</v>
      </c>
      <c r="AF168" s="1">
        <v>43529</v>
      </c>
      <c r="AG168" t="s">
        <v>36</v>
      </c>
      <c r="AH168" t="s">
        <v>36</v>
      </c>
      <c r="AI168" s="1">
        <v>43530</v>
      </c>
      <c r="AJ168" s="1">
        <v>43528</v>
      </c>
    </row>
    <row r="169" spans="1:36" x14ac:dyDescent="0.35">
      <c r="A169">
        <v>111</v>
      </c>
      <c r="B169" t="s">
        <v>861</v>
      </c>
      <c r="C169" t="s">
        <v>36</v>
      </c>
      <c r="D169" t="s">
        <v>36</v>
      </c>
      <c r="E169" t="s">
        <v>36</v>
      </c>
      <c r="F169" t="s">
        <v>36</v>
      </c>
      <c r="G169" t="s">
        <v>36</v>
      </c>
      <c r="H169" t="s">
        <v>36</v>
      </c>
      <c r="I169" t="s">
        <v>36</v>
      </c>
      <c r="J169" t="s">
        <v>36</v>
      </c>
      <c r="K169" t="s">
        <v>36</v>
      </c>
      <c r="L169" t="s">
        <v>36</v>
      </c>
      <c r="M169" t="s">
        <v>36</v>
      </c>
      <c r="N169" t="s">
        <v>36</v>
      </c>
      <c r="O169" t="s">
        <v>36</v>
      </c>
      <c r="P169" t="s">
        <v>36</v>
      </c>
      <c r="Q169" t="s">
        <v>36</v>
      </c>
      <c r="R169" t="s">
        <v>36</v>
      </c>
      <c r="S169" t="s">
        <v>36</v>
      </c>
      <c r="T169" t="s">
        <v>36</v>
      </c>
      <c r="U169" t="s">
        <v>36</v>
      </c>
      <c r="V169" t="s">
        <v>36</v>
      </c>
      <c r="W169" t="s">
        <v>36</v>
      </c>
      <c r="X169" t="s">
        <v>36</v>
      </c>
      <c r="Y169" t="s">
        <v>36</v>
      </c>
      <c r="Z169" t="s">
        <v>36</v>
      </c>
      <c r="AA169" t="s">
        <v>36</v>
      </c>
      <c r="AB169" t="s">
        <v>36</v>
      </c>
      <c r="AC169" t="s">
        <v>36</v>
      </c>
      <c r="AD169" t="s">
        <v>36</v>
      </c>
      <c r="AE169" t="s">
        <v>36</v>
      </c>
      <c r="AF169" t="s">
        <v>36</v>
      </c>
      <c r="AG169" t="s">
        <v>36</v>
      </c>
      <c r="AH169" t="s">
        <v>36</v>
      </c>
      <c r="AI169" t="s">
        <v>36</v>
      </c>
      <c r="AJ169" t="s">
        <v>36</v>
      </c>
    </row>
    <row r="170" spans="1:36" x14ac:dyDescent="0.35">
      <c r="A170">
        <v>112</v>
      </c>
      <c r="B170" t="s">
        <v>862</v>
      </c>
      <c r="C170" t="s">
        <v>36</v>
      </c>
      <c r="D170" t="s">
        <v>36</v>
      </c>
      <c r="E170" t="s">
        <v>36</v>
      </c>
      <c r="F170" t="s">
        <v>36</v>
      </c>
      <c r="G170" t="s">
        <v>36</v>
      </c>
      <c r="H170" t="s">
        <v>36</v>
      </c>
      <c r="I170" t="s">
        <v>36</v>
      </c>
      <c r="J170" t="s">
        <v>36</v>
      </c>
      <c r="K170" t="s">
        <v>36</v>
      </c>
      <c r="L170" t="s">
        <v>36</v>
      </c>
      <c r="M170" t="s">
        <v>36</v>
      </c>
      <c r="N170" t="s">
        <v>36</v>
      </c>
      <c r="O170" t="s">
        <v>36</v>
      </c>
      <c r="P170" t="s">
        <v>36</v>
      </c>
      <c r="Q170" t="s">
        <v>36</v>
      </c>
      <c r="R170" t="s">
        <v>36</v>
      </c>
      <c r="S170" t="s">
        <v>36</v>
      </c>
      <c r="T170" t="s">
        <v>36</v>
      </c>
      <c r="U170" t="s">
        <v>36</v>
      </c>
      <c r="V170" t="s">
        <v>36</v>
      </c>
      <c r="W170" t="s">
        <v>36</v>
      </c>
      <c r="X170" t="s">
        <v>36</v>
      </c>
      <c r="Y170" t="s">
        <v>36</v>
      </c>
      <c r="Z170" t="s">
        <v>36</v>
      </c>
      <c r="AA170" t="s">
        <v>36</v>
      </c>
      <c r="AB170" t="s">
        <v>36</v>
      </c>
      <c r="AC170" t="s">
        <v>36</v>
      </c>
      <c r="AD170" t="s">
        <v>36</v>
      </c>
      <c r="AE170" t="s">
        <v>36</v>
      </c>
      <c r="AF170" t="s">
        <v>36</v>
      </c>
      <c r="AG170" t="s">
        <v>36</v>
      </c>
      <c r="AH170" t="s">
        <v>36</v>
      </c>
      <c r="AI170" t="s">
        <v>36</v>
      </c>
      <c r="AJ170" t="s">
        <v>36</v>
      </c>
    </row>
    <row r="171" spans="1:36" x14ac:dyDescent="0.35">
      <c r="A171">
        <v>194</v>
      </c>
      <c r="B171" t="s">
        <v>143</v>
      </c>
      <c r="C171" t="s">
        <v>36</v>
      </c>
      <c r="D171" t="s">
        <v>36</v>
      </c>
      <c r="E171" t="s">
        <v>36</v>
      </c>
      <c r="F171" t="s">
        <v>36</v>
      </c>
      <c r="G171" t="s">
        <v>36</v>
      </c>
      <c r="H171" t="s">
        <v>36</v>
      </c>
      <c r="I171" t="s">
        <v>36</v>
      </c>
      <c r="J171" t="s">
        <v>36</v>
      </c>
      <c r="K171" t="s">
        <v>36</v>
      </c>
      <c r="L171" t="s">
        <v>36</v>
      </c>
      <c r="M171" t="s">
        <v>36</v>
      </c>
      <c r="N171" t="s">
        <v>36</v>
      </c>
      <c r="O171" t="s">
        <v>36</v>
      </c>
      <c r="P171" t="s">
        <v>36</v>
      </c>
      <c r="Q171" t="s">
        <v>36</v>
      </c>
      <c r="R171" t="s">
        <v>36</v>
      </c>
      <c r="S171" t="s">
        <v>36</v>
      </c>
      <c r="T171" t="s">
        <v>36</v>
      </c>
      <c r="U171" t="s">
        <v>36</v>
      </c>
      <c r="V171" t="s">
        <v>36</v>
      </c>
      <c r="W171" t="s">
        <v>36</v>
      </c>
      <c r="X171" t="s">
        <v>36</v>
      </c>
      <c r="Y171" t="s">
        <v>36</v>
      </c>
      <c r="Z171" t="s">
        <v>36</v>
      </c>
      <c r="AA171" t="s">
        <v>36</v>
      </c>
      <c r="AB171" t="s">
        <v>36</v>
      </c>
      <c r="AC171" t="s">
        <v>36</v>
      </c>
      <c r="AD171" t="s">
        <v>36</v>
      </c>
      <c r="AE171" t="s">
        <v>36</v>
      </c>
      <c r="AF171" t="s">
        <v>36</v>
      </c>
      <c r="AG171" t="s">
        <v>36</v>
      </c>
      <c r="AH171" t="s">
        <v>36</v>
      </c>
      <c r="AI171" t="s">
        <v>36</v>
      </c>
      <c r="AJ171" t="s">
        <v>36</v>
      </c>
    </row>
    <row r="172" spans="1:36" x14ac:dyDescent="0.35">
      <c r="A172">
        <v>195</v>
      </c>
      <c r="B172" t="s">
        <v>144</v>
      </c>
      <c r="C172" t="s">
        <v>36</v>
      </c>
      <c r="D172" t="s">
        <v>36</v>
      </c>
      <c r="E172" t="s">
        <v>36</v>
      </c>
      <c r="F172" t="s">
        <v>36</v>
      </c>
      <c r="G172" t="s">
        <v>36</v>
      </c>
      <c r="H172" t="s">
        <v>36</v>
      </c>
      <c r="I172" t="s">
        <v>36</v>
      </c>
      <c r="J172" t="s">
        <v>36</v>
      </c>
      <c r="K172" t="s">
        <v>36</v>
      </c>
      <c r="L172" t="s">
        <v>36</v>
      </c>
      <c r="M172" t="s">
        <v>36</v>
      </c>
      <c r="N172" t="s">
        <v>36</v>
      </c>
      <c r="O172" t="s">
        <v>36</v>
      </c>
      <c r="P172" t="s">
        <v>36</v>
      </c>
      <c r="Q172" t="s">
        <v>36</v>
      </c>
      <c r="R172" t="s">
        <v>36</v>
      </c>
      <c r="S172" t="s">
        <v>36</v>
      </c>
      <c r="T172" t="s">
        <v>36</v>
      </c>
      <c r="U172" t="s">
        <v>36</v>
      </c>
      <c r="V172" t="s">
        <v>36</v>
      </c>
      <c r="W172" t="s">
        <v>36</v>
      </c>
      <c r="X172" t="s">
        <v>36</v>
      </c>
      <c r="Y172" t="s">
        <v>36</v>
      </c>
      <c r="Z172" t="s">
        <v>36</v>
      </c>
      <c r="AA172" t="s">
        <v>36</v>
      </c>
      <c r="AB172" t="s">
        <v>36</v>
      </c>
      <c r="AC172" t="s">
        <v>36</v>
      </c>
      <c r="AD172" t="s">
        <v>36</v>
      </c>
      <c r="AE172" t="s">
        <v>36</v>
      </c>
      <c r="AF172" t="s">
        <v>36</v>
      </c>
      <c r="AG172" t="s">
        <v>36</v>
      </c>
      <c r="AH172" t="s">
        <v>36</v>
      </c>
      <c r="AI172" t="s">
        <v>36</v>
      </c>
      <c r="AJ172" t="s">
        <v>36</v>
      </c>
    </row>
    <row r="173" spans="1:36" x14ac:dyDescent="0.35">
      <c r="A173">
        <v>110</v>
      </c>
      <c r="B173" t="s">
        <v>141</v>
      </c>
      <c r="C173" t="s">
        <v>36</v>
      </c>
      <c r="D173" t="s">
        <v>36</v>
      </c>
      <c r="E173" t="s">
        <v>36</v>
      </c>
      <c r="F173" t="s">
        <v>36</v>
      </c>
      <c r="G173" t="s">
        <v>36</v>
      </c>
      <c r="H173" t="s">
        <v>36</v>
      </c>
      <c r="I173" t="s">
        <v>36</v>
      </c>
      <c r="J173" t="s">
        <v>36</v>
      </c>
      <c r="K173" t="s">
        <v>36</v>
      </c>
      <c r="L173" t="s">
        <v>36</v>
      </c>
      <c r="M173" t="s">
        <v>36</v>
      </c>
      <c r="N173" t="s">
        <v>36</v>
      </c>
      <c r="O173" t="s">
        <v>36</v>
      </c>
      <c r="P173" t="s">
        <v>36</v>
      </c>
      <c r="Q173" t="s">
        <v>36</v>
      </c>
      <c r="R173" t="s">
        <v>36</v>
      </c>
      <c r="S173" t="s">
        <v>36</v>
      </c>
      <c r="T173" t="s">
        <v>36</v>
      </c>
      <c r="U173" t="s">
        <v>36</v>
      </c>
      <c r="V173" t="s">
        <v>36</v>
      </c>
      <c r="W173" t="s">
        <v>36</v>
      </c>
      <c r="X173" t="s">
        <v>36</v>
      </c>
      <c r="Y173" t="s">
        <v>36</v>
      </c>
      <c r="Z173" t="s">
        <v>36</v>
      </c>
      <c r="AA173" t="s">
        <v>36</v>
      </c>
      <c r="AB173" t="s">
        <v>36</v>
      </c>
      <c r="AC173" t="s">
        <v>36</v>
      </c>
      <c r="AD173" t="s">
        <v>36</v>
      </c>
      <c r="AE173" t="s">
        <v>36</v>
      </c>
      <c r="AF173" t="s">
        <v>36</v>
      </c>
      <c r="AG173" t="s">
        <v>36</v>
      </c>
      <c r="AH173" t="s">
        <v>36</v>
      </c>
      <c r="AI173" t="s">
        <v>36</v>
      </c>
      <c r="AJ173" t="s">
        <v>36</v>
      </c>
    </row>
    <row r="174" spans="1:36" x14ac:dyDescent="0.35">
      <c r="A174">
        <v>177</v>
      </c>
      <c r="B174" t="s">
        <v>133</v>
      </c>
      <c r="C174" t="s">
        <v>36</v>
      </c>
      <c r="D174" s="1">
        <v>42058.680555555555</v>
      </c>
      <c r="E174" t="s">
        <v>36</v>
      </c>
      <c r="F174" t="s">
        <v>36</v>
      </c>
      <c r="G174" t="s">
        <v>36</v>
      </c>
      <c r="H174" t="s">
        <v>36</v>
      </c>
      <c r="I174" t="s">
        <v>36</v>
      </c>
      <c r="J174" t="s">
        <v>36</v>
      </c>
      <c r="K174" t="s">
        <v>36</v>
      </c>
      <c r="L174" t="s">
        <v>36</v>
      </c>
      <c r="M174" t="s">
        <v>36</v>
      </c>
      <c r="N174" t="s">
        <v>36</v>
      </c>
      <c r="O174" s="1">
        <v>42206.583333333336</v>
      </c>
      <c r="P174" t="s">
        <v>36</v>
      </c>
      <c r="Q174" t="s">
        <v>36</v>
      </c>
      <c r="R174" s="1">
        <v>43329.319444444445</v>
      </c>
      <c r="S174" t="s">
        <v>36</v>
      </c>
      <c r="T174" t="s">
        <v>36</v>
      </c>
      <c r="U174" t="s">
        <v>36</v>
      </c>
      <c r="V174" t="s">
        <v>36</v>
      </c>
      <c r="W174" t="s">
        <v>36</v>
      </c>
      <c r="X174" s="1">
        <v>42193.652777777781</v>
      </c>
      <c r="Y174" t="s">
        <v>36</v>
      </c>
      <c r="Z174" t="s">
        <v>36</v>
      </c>
      <c r="AA174" t="s">
        <v>36</v>
      </c>
      <c r="AB174" t="s">
        <v>36</v>
      </c>
      <c r="AC174" t="s">
        <v>36</v>
      </c>
      <c r="AD174" t="s">
        <v>36</v>
      </c>
      <c r="AE174" t="s">
        <v>36</v>
      </c>
      <c r="AF174" t="s">
        <v>36</v>
      </c>
      <c r="AG174" t="s">
        <v>36</v>
      </c>
      <c r="AH174" t="s">
        <v>36</v>
      </c>
      <c r="AI174" t="s">
        <v>36</v>
      </c>
      <c r="AJ174" t="s">
        <v>36</v>
      </c>
    </row>
    <row r="175" spans="1:36" x14ac:dyDescent="0.35">
      <c r="A175">
        <v>954</v>
      </c>
      <c r="B175" t="s">
        <v>887</v>
      </c>
      <c r="C175" t="s">
        <v>36</v>
      </c>
      <c r="D175" t="s">
        <v>36</v>
      </c>
      <c r="E175" t="s">
        <v>36</v>
      </c>
      <c r="F175" t="s">
        <v>36</v>
      </c>
      <c r="G175" t="s">
        <v>36</v>
      </c>
      <c r="H175" t="s">
        <v>36</v>
      </c>
      <c r="I175" t="s">
        <v>36</v>
      </c>
      <c r="J175" t="s">
        <v>36</v>
      </c>
      <c r="K175" t="s">
        <v>36</v>
      </c>
      <c r="L175" t="s">
        <v>36</v>
      </c>
      <c r="M175" t="s">
        <v>36</v>
      </c>
      <c r="N175" t="s">
        <v>36</v>
      </c>
      <c r="O175" s="1">
        <v>42206.583333333336</v>
      </c>
      <c r="P175" t="s">
        <v>36</v>
      </c>
      <c r="Q175" t="s">
        <v>36</v>
      </c>
      <c r="R175" s="1">
        <v>43329.319444444445</v>
      </c>
      <c r="S175" t="s">
        <v>36</v>
      </c>
      <c r="T175" t="s">
        <v>36</v>
      </c>
      <c r="U175" t="s">
        <v>36</v>
      </c>
      <c r="V175" t="s">
        <v>36</v>
      </c>
      <c r="W175" t="s">
        <v>36</v>
      </c>
      <c r="X175" t="s">
        <v>36</v>
      </c>
      <c r="Y175" t="s">
        <v>36</v>
      </c>
      <c r="Z175" t="s">
        <v>36</v>
      </c>
      <c r="AA175" t="s">
        <v>36</v>
      </c>
      <c r="AB175" t="s">
        <v>36</v>
      </c>
      <c r="AC175" t="s">
        <v>36</v>
      </c>
      <c r="AD175" t="s">
        <v>36</v>
      </c>
      <c r="AE175" t="s">
        <v>36</v>
      </c>
      <c r="AF175" t="s">
        <v>36</v>
      </c>
      <c r="AG175" t="s">
        <v>36</v>
      </c>
      <c r="AH175" t="s">
        <v>36</v>
      </c>
      <c r="AI175" t="s">
        <v>36</v>
      </c>
      <c r="AJ175" t="s">
        <v>36</v>
      </c>
    </row>
    <row r="176" spans="1:36" x14ac:dyDescent="0.35">
      <c r="A176">
        <v>955</v>
      </c>
      <c r="B176" t="s">
        <v>888</v>
      </c>
      <c r="C176" t="s">
        <v>36</v>
      </c>
      <c r="D176" t="s">
        <v>36</v>
      </c>
      <c r="E176" t="s">
        <v>36</v>
      </c>
      <c r="F176" t="s">
        <v>36</v>
      </c>
      <c r="G176" t="s">
        <v>36</v>
      </c>
      <c r="H176" t="s">
        <v>36</v>
      </c>
      <c r="I176" t="s">
        <v>36</v>
      </c>
      <c r="J176" t="s">
        <v>36</v>
      </c>
      <c r="K176" t="s">
        <v>36</v>
      </c>
      <c r="L176" t="s">
        <v>36</v>
      </c>
      <c r="M176" t="s">
        <v>36</v>
      </c>
      <c r="N176" t="s">
        <v>36</v>
      </c>
      <c r="O176" s="1">
        <v>42206.583333333336</v>
      </c>
      <c r="P176" t="s">
        <v>36</v>
      </c>
      <c r="Q176" t="s">
        <v>36</v>
      </c>
      <c r="R176" s="1">
        <v>43329.319444444445</v>
      </c>
      <c r="S176" t="s">
        <v>36</v>
      </c>
      <c r="T176" t="s">
        <v>36</v>
      </c>
      <c r="U176" t="s">
        <v>36</v>
      </c>
      <c r="V176" t="s">
        <v>36</v>
      </c>
      <c r="W176" t="s">
        <v>36</v>
      </c>
      <c r="X176" t="s">
        <v>36</v>
      </c>
      <c r="Y176" t="s">
        <v>36</v>
      </c>
      <c r="Z176" t="s">
        <v>36</v>
      </c>
      <c r="AA176" t="s">
        <v>36</v>
      </c>
      <c r="AB176" t="s">
        <v>36</v>
      </c>
      <c r="AC176" t="s">
        <v>36</v>
      </c>
      <c r="AD176" t="s">
        <v>36</v>
      </c>
      <c r="AE176" t="s">
        <v>36</v>
      </c>
      <c r="AF176" t="s">
        <v>36</v>
      </c>
      <c r="AG176" t="s">
        <v>36</v>
      </c>
      <c r="AH176" t="s">
        <v>36</v>
      </c>
      <c r="AI176" t="s">
        <v>36</v>
      </c>
      <c r="AJ176" t="s">
        <v>36</v>
      </c>
    </row>
    <row r="177" spans="1:36" x14ac:dyDescent="0.35">
      <c r="A177">
        <v>956</v>
      </c>
      <c r="B177" t="s">
        <v>889</v>
      </c>
      <c r="C177" t="s">
        <v>36</v>
      </c>
      <c r="D177" t="s">
        <v>36</v>
      </c>
      <c r="E177" t="s">
        <v>36</v>
      </c>
      <c r="F177" t="s">
        <v>36</v>
      </c>
      <c r="G177" t="s">
        <v>36</v>
      </c>
      <c r="H177" t="s">
        <v>36</v>
      </c>
      <c r="I177" t="s">
        <v>36</v>
      </c>
      <c r="J177" t="s">
        <v>36</v>
      </c>
      <c r="K177" t="s">
        <v>36</v>
      </c>
      <c r="L177" t="s">
        <v>36</v>
      </c>
      <c r="M177" t="s">
        <v>36</v>
      </c>
      <c r="N177" t="s">
        <v>36</v>
      </c>
      <c r="O177" t="s">
        <v>36</v>
      </c>
      <c r="P177" t="s">
        <v>36</v>
      </c>
      <c r="Q177" t="s">
        <v>36</v>
      </c>
      <c r="R177" s="1">
        <v>43329.319444444445</v>
      </c>
      <c r="S177" t="s">
        <v>36</v>
      </c>
      <c r="T177" t="s">
        <v>36</v>
      </c>
      <c r="U177" t="s">
        <v>36</v>
      </c>
      <c r="V177" t="s">
        <v>36</v>
      </c>
      <c r="W177" t="s">
        <v>36</v>
      </c>
      <c r="X177" t="s">
        <v>36</v>
      </c>
      <c r="Y177" t="s">
        <v>36</v>
      </c>
      <c r="Z177" t="s">
        <v>36</v>
      </c>
      <c r="AA177" t="s">
        <v>36</v>
      </c>
      <c r="AB177" t="s">
        <v>36</v>
      </c>
      <c r="AC177" t="s">
        <v>36</v>
      </c>
      <c r="AD177" t="s">
        <v>36</v>
      </c>
      <c r="AE177" t="s">
        <v>36</v>
      </c>
      <c r="AF177" t="s">
        <v>36</v>
      </c>
      <c r="AG177" t="s">
        <v>36</v>
      </c>
      <c r="AH177" t="s">
        <v>36</v>
      </c>
      <c r="AI177" t="s">
        <v>36</v>
      </c>
      <c r="AJ177" t="s">
        <v>36</v>
      </c>
    </row>
    <row r="178" spans="1:36" x14ac:dyDescent="0.35">
      <c r="A178">
        <v>114</v>
      </c>
      <c r="B178" t="s">
        <v>112</v>
      </c>
      <c r="C178" t="s">
        <v>36</v>
      </c>
      <c r="D178" t="s">
        <v>36</v>
      </c>
      <c r="E178" t="s">
        <v>36</v>
      </c>
      <c r="F178" t="s">
        <v>36</v>
      </c>
      <c r="G178" s="1">
        <v>41426</v>
      </c>
      <c r="H178" t="s">
        <v>36</v>
      </c>
      <c r="I178" t="s">
        <v>36</v>
      </c>
      <c r="J178" t="s">
        <v>36</v>
      </c>
      <c r="K178" t="s">
        <v>36</v>
      </c>
      <c r="L178" t="s">
        <v>36</v>
      </c>
      <c r="M178" t="s">
        <v>36</v>
      </c>
      <c r="N178" t="s">
        <v>36</v>
      </c>
      <c r="O178" t="s">
        <v>36</v>
      </c>
      <c r="P178" s="1">
        <v>43059.576388888891</v>
      </c>
      <c r="Q178" t="s">
        <v>36</v>
      </c>
      <c r="R178" t="s">
        <v>36</v>
      </c>
      <c r="S178" t="s">
        <v>36</v>
      </c>
      <c r="T178" s="1">
        <v>42528.291666666664</v>
      </c>
      <c r="U178" t="s">
        <v>36</v>
      </c>
      <c r="V178" t="s">
        <v>36</v>
      </c>
      <c r="W178" t="s">
        <v>36</v>
      </c>
      <c r="X178" t="s">
        <v>36</v>
      </c>
      <c r="Y178" t="s">
        <v>36</v>
      </c>
      <c r="Z178" t="s">
        <v>36</v>
      </c>
      <c r="AA178" t="s">
        <v>36</v>
      </c>
      <c r="AB178" t="s">
        <v>36</v>
      </c>
      <c r="AC178" t="s">
        <v>36</v>
      </c>
      <c r="AD178" t="s">
        <v>36</v>
      </c>
      <c r="AE178" t="s">
        <v>36</v>
      </c>
      <c r="AF178" s="1">
        <v>42058.680555555555</v>
      </c>
      <c r="AG178" t="s">
        <v>36</v>
      </c>
      <c r="AH178" t="s">
        <v>36</v>
      </c>
      <c r="AI178" s="1">
        <v>41426</v>
      </c>
      <c r="AJ178" s="1">
        <v>43059.576388888891</v>
      </c>
    </row>
    <row r="179" spans="1:36" x14ac:dyDescent="0.35">
      <c r="A179">
        <v>4139</v>
      </c>
      <c r="B179" t="s">
        <v>1023</v>
      </c>
      <c r="C179" t="s">
        <v>36</v>
      </c>
      <c r="D179" t="s">
        <v>36</v>
      </c>
      <c r="E179" t="s">
        <v>36</v>
      </c>
      <c r="F179" t="s">
        <v>36</v>
      </c>
      <c r="G179" s="1">
        <v>43530</v>
      </c>
      <c r="H179" t="s">
        <v>36</v>
      </c>
      <c r="I179" t="s">
        <v>36</v>
      </c>
      <c r="J179" t="s">
        <v>36</v>
      </c>
      <c r="K179" t="s">
        <v>36</v>
      </c>
      <c r="L179" t="s">
        <v>36</v>
      </c>
      <c r="M179" t="s">
        <v>36</v>
      </c>
      <c r="N179" t="s">
        <v>36</v>
      </c>
      <c r="O179" t="s">
        <v>36</v>
      </c>
      <c r="P179" s="1">
        <v>43559</v>
      </c>
      <c r="Q179" t="s">
        <v>36</v>
      </c>
      <c r="R179" t="s">
        <v>36</v>
      </c>
      <c r="S179" t="s">
        <v>36</v>
      </c>
      <c r="T179" s="1">
        <v>43557</v>
      </c>
      <c r="U179" t="s">
        <v>36</v>
      </c>
      <c r="V179" t="s">
        <v>36</v>
      </c>
      <c r="W179" t="s">
        <v>36</v>
      </c>
      <c r="X179" t="s">
        <v>36</v>
      </c>
      <c r="Y179" t="s">
        <v>36</v>
      </c>
      <c r="Z179" t="s">
        <v>36</v>
      </c>
      <c r="AA179" t="s">
        <v>36</v>
      </c>
      <c r="AB179" t="s">
        <v>36</v>
      </c>
      <c r="AC179" t="s">
        <v>36</v>
      </c>
      <c r="AD179" t="s">
        <v>36</v>
      </c>
      <c r="AE179" t="s">
        <v>36</v>
      </c>
      <c r="AF179" s="1">
        <v>43529</v>
      </c>
      <c r="AG179" t="s">
        <v>36</v>
      </c>
      <c r="AH179" t="s">
        <v>36</v>
      </c>
      <c r="AI179" s="1">
        <v>43530</v>
      </c>
      <c r="AJ179" s="1">
        <v>43528</v>
      </c>
    </row>
    <row r="180" spans="1:36" x14ac:dyDescent="0.35">
      <c r="A180">
        <v>4140</v>
      </c>
      <c r="B180" t="s">
        <v>1024</v>
      </c>
      <c r="C180" t="s">
        <v>36</v>
      </c>
      <c r="D180" t="s">
        <v>36</v>
      </c>
      <c r="E180" t="s">
        <v>36</v>
      </c>
      <c r="F180" t="s">
        <v>36</v>
      </c>
      <c r="G180" s="1">
        <v>43530</v>
      </c>
      <c r="H180" t="s">
        <v>36</v>
      </c>
      <c r="I180" t="s">
        <v>36</v>
      </c>
      <c r="J180" t="s">
        <v>36</v>
      </c>
      <c r="K180" t="s">
        <v>36</v>
      </c>
      <c r="L180" t="s">
        <v>36</v>
      </c>
      <c r="M180" t="s">
        <v>36</v>
      </c>
      <c r="N180" t="s">
        <v>36</v>
      </c>
      <c r="O180" t="s">
        <v>36</v>
      </c>
      <c r="P180" s="1">
        <v>43557</v>
      </c>
      <c r="Q180" t="s">
        <v>36</v>
      </c>
      <c r="R180" t="s">
        <v>36</v>
      </c>
      <c r="S180" t="s">
        <v>36</v>
      </c>
      <c r="T180" s="1">
        <v>43557</v>
      </c>
      <c r="U180" t="s">
        <v>36</v>
      </c>
      <c r="V180" t="s">
        <v>36</v>
      </c>
      <c r="W180" t="s">
        <v>36</v>
      </c>
      <c r="X180" t="s">
        <v>36</v>
      </c>
      <c r="Y180" t="s">
        <v>36</v>
      </c>
      <c r="Z180" t="s">
        <v>36</v>
      </c>
      <c r="AA180" t="s">
        <v>36</v>
      </c>
      <c r="AB180" t="s">
        <v>36</v>
      </c>
      <c r="AC180" t="s">
        <v>36</v>
      </c>
      <c r="AD180" t="s">
        <v>36</v>
      </c>
      <c r="AE180" t="s">
        <v>36</v>
      </c>
      <c r="AF180" s="1">
        <v>43529</v>
      </c>
      <c r="AG180" t="s">
        <v>36</v>
      </c>
      <c r="AH180" t="s">
        <v>36</v>
      </c>
      <c r="AI180" s="1">
        <v>43530</v>
      </c>
      <c r="AJ180" s="1">
        <v>43528</v>
      </c>
    </row>
    <row r="181" spans="1:36" x14ac:dyDescent="0.35">
      <c r="A181">
        <v>4141</v>
      </c>
      <c r="B181" t="s">
        <v>1025</v>
      </c>
      <c r="C181" t="s">
        <v>36</v>
      </c>
      <c r="D181" t="s">
        <v>36</v>
      </c>
      <c r="E181" t="s">
        <v>36</v>
      </c>
      <c r="F181" t="s">
        <v>36</v>
      </c>
      <c r="G181" s="1">
        <v>43530</v>
      </c>
      <c r="H181" t="s">
        <v>36</v>
      </c>
      <c r="I181" t="s">
        <v>36</v>
      </c>
      <c r="J181" t="s">
        <v>36</v>
      </c>
      <c r="K181" t="s">
        <v>36</v>
      </c>
      <c r="L181" t="s">
        <v>36</v>
      </c>
      <c r="M181" t="s">
        <v>36</v>
      </c>
      <c r="N181" t="s">
        <v>36</v>
      </c>
      <c r="O181" t="s">
        <v>36</v>
      </c>
      <c r="P181" s="1">
        <v>43557</v>
      </c>
      <c r="Q181" t="s">
        <v>36</v>
      </c>
      <c r="R181" t="s">
        <v>36</v>
      </c>
      <c r="S181" t="s">
        <v>36</v>
      </c>
      <c r="T181" s="1">
        <v>43557</v>
      </c>
      <c r="U181" t="s">
        <v>36</v>
      </c>
      <c r="V181" t="s">
        <v>36</v>
      </c>
      <c r="W181" t="s">
        <v>36</v>
      </c>
      <c r="X181" t="s">
        <v>36</v>
      </c>
      <c r="Y181" t="s">
        <v>36</v>
      </c>
      <c r="Z181" t="s">
        <v>36</v>
      </c>
      <c r="AA181" t="s">
        <v>36</v>
      </c>
      <c r="AB181" t="s">
        <v>36</v>
      </c>
      <c r="AC181" t="s">
        <v>36</v>
      </c>
      <c r="AD181" t="s">
        <v>36</v>
      </c>
      <c r="AE181" t="s">
        <v>36</v>
      </c>
      <c r="AF181" s="1">
        <v>43529</v>
      </c>
      <c r="AG181" t="s">
        <v>36</v>
      </c>
      <c r="AH181" t="s">
        <v>36</v>
      </c>
      <c r="AI181" s="1">
        <v>43530</v>
      </c>
      <c r="AJ181" s="1">
        <v>43528</v>
      </c>
    </row>
    <row r="182" spans="1:36" x14ac:dyDescent="0.35">
      <c r="A182">
        <v>317</v>
      </c>
      <c r="B182" t="s">
        <v>187</v>
      </c>
      <c r="C182" t="s">
        <v>36</v>
      </c>
      <c r="D182" t="s">
        <v>36</v>
      </c>
      <c r="E182" t="s">
        <v>36</v>
      </c>
      <c r="F182" t="s">
        <v>36</v>
      </c>
      <c r="G182" s="1">
        <v>41426</v>
      </c>
      <c r="H182" t="s">
        <v>36</v>
      </c>
      <c r="I182" t="s">
        <v>36</v>
      </c>
      <c r="J182" t="s">
        <v>36</v>
      </c>
      <c r="K182" t="s">
        <v>36</v>
      </c>
      <c r="L182" t="s">
        <v>36</v>
      </c>
      <c r="M182" t="s">
        <v>36</v>
      </c>
      <c r="N182" t="s">
        <v>36</v>
      </c>
      <c r="O182" t="s">
        <v>36</v>
      </c>
      <c r="P182" s="1">
        <v>43059.576388888891</v>
      </c>
      <c r="Q182" t="s">
        <v>36</v>
      </c>
      <c r="R182" t="s">
        <v>36</v>
      </c>
      <c r="S182" t="s">
        <v>36</v>
      </c>
      <c r="T182" s="1">
        <v>42528.291666666664</v>
      </c>
      <c r="U182" t="s">
        <v>36</v>
      </c>
      <c r="V182" t="s">
        <v>36</v>
      </c>
      <c r="W182" t="s">
        <v>36</v>
      </c>
      <c r="X182" t="s">
        <v>36</v>
      </c>
      <c r="Y182" t="s">
        <v>36</v>
      </c>
      <c r="Z182" t="s">
        <v>36</v>
      </c>
      <c r="AA182" t="s">
        <v>36</v>
      </c>
      <c r="AB182" t="s">
        <v>36</v>
      </c>
      <c r="AC182" t="s">
        <v>36</v>
      </c>
      <c r="AD182" t="s">
        <v>36</v>
      </c>
      <c r="AE182" t="s">
        <v>36</v>
      </c>
      <c r="AF182" s="1">
        <v>42058.680555555555</v>
      </c>
      <c r="AG182" s="32">
        <v>43040</v>
      </c>
      <c r="AH182" t="s">
        <v>36</v>
      </c>
      <c r="AI182" s="1">
        <v>41426</v>
      </c>
      <c r="AJ182" s="1">
        <v>43059.576388888891</v>
      </c>
    </row>
    <row r="183" spans="1:36" x14ac:dyDescent="0.35">
      <c r="A183">
        <v>4142</v>
      </c>
      <c r="B183" t="s">
        <v>1026</v>
      </c>
      <c r="C183" t="s">
        <v>36</v>
      </c>
      <c r="D183" t="s">
        <v>36</v>
      </c>
      <c r="E183" t="s">
        <v>36</v>
      </c>
      <c r="F183" t="s">
        <v>36</v>
      </c>
      <c r="G183" s="1">
        <v>43530</v>
      </c>
      <c r="H183" t="s">
        <v>36</v>
      </c>
      <c r="I183" t="s">
        <v>36</v>
      </c>
      <c r="J183" t="s">
        <v>36</v>
      </c>
      <c r="K183" t="s">
        <v>36</v>
      </c>
      <c r="L183" t="s">
        <v>36</v>
      </c>
      <c r="M183" t="s">
        <v>36</v>
      </c>
      <c r="N183" t="s">
        <v>36</v>
      </c>
      <c r="O183" t="s">
        <v>36</v>
      </c>
      <c r="P183" s="1">
        <v>43559</v>
      </c>
      <c r="Q183" t="s">
        <v>36</v>
      </c>
      <c r="R183" t="s">
        <v>36</v>
      </c>
      <c r="S183" t="s">
        <v>36</v>
      </c>
      <c r="T183" s="1">
        <v>43557</v>
      </c>
      <c r="U183" t="s">
        <v>36</v>
      </c>
      <c r="V183" t="s">
        <v>36</v>
      </c>
      <c r="W183" t="s">
        <v>36</v>
      </c>
      <c r="X183" t="s">
        <v>36</v>
      </c>
      <c r="Y183" t="s">
        <v>36</v>
      </c>
      <c r="Z183" t="s">
        <v>36</v>
      </c>
      <c r="AA183" t="s">
        <v>36</v>
      </c>
      <c r="AB183" t="s">
        <v>36</v>
      </c>
      <c r="AC183" t="s">
        <v>36</v>
      </c>
      <c r="AD183" t="s">
        <v>36</v>
      </c>
      <c r="AE183" t="s">
        <v>36</v>
      </c>
      <c r="AF183" s="1">
        <v>43529</v>
      </c>
      <c r="AG183" t="s">
        <v>36</v>
      </c>
      <c r="AH183" t="s">
        <v>36</v>
      </c>
      <c r="AI183" s="1">
        <v>43530</v>
      </c>
      <c r="AJ183" s="1">
        <v>43528</v>
      </c>
    </row>
    <row r="184" spans="1:36" x14ac:dyDescent="0.35">
      <c r="A184">
        <v>4143</v>
      </c>
      <c r="B184" t="s">
        <v>1027</v>
      </c>
      <c r="C184" t="s">
        <v>36</v>
      </c>
      <c r="D184" t="s">
        <v>36</v>
      </c>
      <c r="E184" t="s">
        <v>36</v>
      </c>
      <c r="F184" t="s">
        <v>36</v>
      </c>
      <c r="G184" s="1">
        <v>43530</v>
      </c>
      <c r="H184" t="s">
        <v>36</v>
      </c>
      <c r="I184" t="s">
        <v>36</v>
      </c>
      <c r="J184" t="s">
        <v>36</v>
      </c>
      <c r="K184" t="s">
        <v>36</v>
      </c>
      <c r="L184" t="s">
        <v>36</v>
      </c>
      <c r="M184" t="s">
        <v>36</v>
      </c>
      <c r="N184" t="s">
        <v>36</v>
      </c>
      <c r="O184" t="s">
        <v>36</v>
      </c>
      <c r="P184" s="1">
        <v>43557</v>
      </c>
      <c r="Q184" t="s">
        <v>36</v>
      </c>
      <c r="R184" t="s">
        <v>36</v>
      </c>
      <c r="S184" t="s">
        <v>36</v>
      </c>
      <c r="T184" s="1">
        <v>43557</v>
      </c>
      <c r="U184" t="s">
        <v>36</v>
      </c>
      <c r="V184" t="s">
        <v>36</v>
      </c>
      <c r="W184" t="s">
        <v>36</v>
      </c>
      <c r="X184" t="s">
        <v>36</v>
      </c>
      <c r="Y184" t="s">
        <v>36</v>
      </c>
      <c r="Z184" t="s">
        <v>36</v>
      </c>
      <c r="AA184" t="s">
        <v>36</v>
      </c>
      <c r="AB184" t="s">
        <v>36</v>
      </c>
      <c r="AC184" t="s">
        <v>36</v>
      </c>
      <c r="AD184" t="s">
        <v>36</v>
      </c>
      <c r="AE184" t="s">
        <v>36</v>
      </c>
      <c r="AF184" s="1">
        <v>43529</v>
      </c>
      <c r="AG184" t="s">
        <v>36</v>
      </c>
      <c r="AH184" t="s">
        <v>36</v>
      </c>
      <c r="AI184" s="1">
        <v>43530</v>
      </c>
      <c r="AJ184" s="1">
        <v>43528</v>
      </c>
    </row>
    <row r="185" spans="1:36" x14ac:dyDescent="0.35">
      <c r="A185">
        <v>4144</v>
      </c>
      <c r="B185" t="s">
        <v>1028</v>
      </c>
      <c r="C185" t="s">
        <v>36</v>
      </c>
      <c r="D185" t="s">
        <v>36</v>
      </c>
      <c r="E185" t="s">
        <v>36</v>
      </c>
      <c r="F185" t="s">
        <v>36</v>
      </c>
      <c r="G185" s="1">
        <v>43530</v>
      </c>
      <c r="H185" t="s">
        <v>36</v>
      </c>
      <c r="I185" t="s">
        <v>36</v>
      </c>
      <c r="J185" t="s">
        <v>36</v>
      </c>
      <c r="K185" t="s">
        <v>36</v>
      </c>
      <c r="L185" t="s">
        <v>36</v>
      </c>
      <c r="M185" t="s">
        <v>36</v>
      </c>
      <c r="N185" t="s">
        <v>36</v>
      </c>
      <c r="O185" t="s">
        <v>36</v>
      </c>
      <c r="P185" s="1">
        <v>43557</v>
      </c>
      <c r="Q185" t="s">
        <v>36</v>
      </c>
      <c r="R185" t="s">
        <v>36</v>
      </c>
      <c r="S185" t="s">
        <v>36</v>
      </c>
      <c r="T185" s="1">
        <v>43557</v>
      </c>
      <c r="U185" t="s">
        <v>36</v>
      </c>
      <c r="V185" t="s">
        <v>36</v>
      </c>
      <c r="W185" t="s">
        <v>36</v>
      </c>
      <c r="X185" t="s">
        <v>36</v>
      </c>
      <c r="Y185" t="s">
        <v>36</v>
      </c>
      <c r="Z185" t="s">
        <v>36</v>
      </c>
      <c r="AA185" t="s">
        <v>36</v>
      </c>
      <c r="AB185" t="s">
        <v>36</v>
      </c>
      <c r="AC185" t="s">
        <v>36</v>
      </c>
      <c r="AD185" t="s">
        <v>36</v>
      </c>
      <c r="AE185" t="s">
        <v>36</v>
      </c>
      <c r="AF185" s="1">
        <v>43529</v>
      </c>
      <c r="AG185" t="s">
        <v>36</v>
      </c>
      <c r="AH185" t="s">
        <v>36</v>
      </c>
      <c r="AI185" s="1">
        <v>43530</v>
      </c>
      <c r="AJ185" s="1">
        <v>43528</v>
      </c>
    </row>
    <row r="186" spans="1:36" x14ac:dyDescent="0.35">
      <c r="A186">
        <v>117</v>
      </c>
      <c r="B186" t="s">
        <v>113</v>
      </c>
      <c r="C186" t="s">
        <v>36</v>
      </c>
      <c r="D186" t="s">
        <v>36</v>
      </c>
      <c r="E186" t="s">
        <v>36</v>
      </c>
      <c r="F186" t="s">
        <v>36</v>
      </c>
      <c r="G186" s="1">
        <v>41426</v>
      </c>
      <c r="H186" t="s">
        <v>36</v>
      </c>
      <c r="I186" t="s">
        <v>36</v>
      </c>
      <c r="J186" t="s">
        <v>36</v>
      </c>
      <c r="K186" t="s">
        <v>36</v>
      </c>
      <c r="L186" t="s">
        <v>36</v>
      </c>
      <c r="M186" s="1">
        <v>43348.625</v>
      </c>
      <c r="N186" t="s">
        <v>36</v>
      </c>
      <c r="O186" t="s">
        <v>36</v>
      </c>
      <c r="P186" s="1">
        <v>43059.576388888891</v>
      </c>
      <c r="Q186" t="s">
        <v>36</v>
      </c>
      <c r="R186" t="s">
        <v>36</v>
      </c>
      <c r="S186" t="s">
        <v>36</v>
      </c>
      <c r="T186" s="1">
        <v>42528.291666666664</v>
      </c>
      <c r="U186" t="s">
        <v>36</v>
      </c>
      <c r="V186" t="s">
        <v>36</v>
      </c>
      <c r="W186" t="s">
        <v>36</v>
      </c>
      <c r="X186" t="s">
        <v>36</v>
      </c>
      <c r="Y186" t="s">
        <v>36</v>
      </c>
      <c r="Z186" t="s">
        <v>36</v>
      </c>
      <c r="AA186" t="s">
        <v>36</v>
      </c>
      <c r="AB186" t="s">
        <v>36</v>
      </c>
      <c r="AC186" t="s">
        <v>36</v>
      </c>
      <c r="AD186" t="s">
        <v>36</v>
      </c>
      <c r="AE186" t="s">
        <v>36</v>
      </c>
      <c r="AF186" s="1">
        <v>42058.680555555555</v>
      </c>
      <c r="AG186" t="s">
        <v>36</v>
      </c>
      <c r="AH186" t="s">
        <v>36</v>
      </c>
      <c r="AI186" s="1">
        <v>41426</v>
      </c>
      <c r="AJ186" s="1">
        <v>43059.576388888891</v>
      </c>
    </row>
    <row r="187" spans="1:36" x14ac:dyDescent="0.35">
      <c r="A187">
        <v>4145</v>
      </c>
      <c r="B187" t="s">
        <v>1029</v>
      </c>
      <c r="C187" t="s">
        <v>36</v>
      </c>
      <c r="D187" t="s">
        <v>36</v>
      </c>
      <c r="E187" t="s">
        <v>36</v>
      </c>
      <c r="F187" t="s">
        <v>36</v>
      </c>
      <c r="G187" s="1">
        <v>43530</v>
      </c>
      <c r="H187" t="s">
        <v>36</v>
      </c>
      <c r="I187" t="s">
        <v>36</v>
      </c>
      <c r="J187" t="s">
        <v>36</v>
      </c>
      <c r="K187" t="s">
        <v>36</v>
      </c>
      <c r="L187" t="s">
        <v>36</v>
      </c>
      <c r="M187" s="1">
        <v>43856.451388888891</v>
      </c>
      <c r="N187" t="s">
        <v>36</v>
      </c>
      <c r="O187" t="s">
        <v>36</v>
      </c>
      <c r="P187" s="1">
        <v>43559</v>
      </c>
      <c r="Q187" t="s">
        <v>36</v>
      </c>
      <c r="R187" t="s">
        <v>36</v>
      </c>
      <c r="S187" t="s">
        <v>36</v>
      </c>
      <c r="T187" s="1">
        <v>43557</v>
      </c>
      <c r="U187" t="s">
        <v>36</v>
      </c>
      <c r="V187" t="s">
        <v>36</v>
      </c>
      <c r="W187" t="s">
        <v>36</v>
      </c>
      <c r="X187" t="s">
        <v>36</v>
      </c>
      <c r="Y187" t="s">
        <v>36</v>
      </c>
      <c r="Z187" t="s">
        <v>36</v>
      </c>
      <c r="AA187" t="s">
        <v>36</v>
      </c>
      <c r="AB187" t="s">
        <v>36</v>
      </c>
      <c r="AC187" t="s">
        <v>36</v>
      </c>
      <c r="AD187" t="s">
        <v>36</v>
      </c>
      <c r="AE187" t="s">
        <v>36</v>
      </c>
      <c r="AF187" s="1">
        <v>43529</v>
      </c>
      <c r="AG187" t="s">
        <v>36</v>
      </c>
      <c r="AH187" t="s">
        <v>36</v>
      </c>
      <c r="AI187" s="1">
        <v>43530</v>
      </c>
      <c r="AJ187" s="1">
        <v>43528</v>
      </c>
    </row>
    <row r="188" spans="1:36" x14ac:dyDescent="0.35">
      <c r="A188">
        <v>4146</v>
      </c>
      <c r="B188" t="s">
        <v>1030</v>
      </c>
      <c r="C188" t="s">
        <v>36</v>
      </c>
      <c r="D188" t="s">
        <v>36</v>
      </c>
      <c r="E188" t="s">
        <v>36</v>
      </c>
      <c r="F188" t="s">
        <v>36</v>
      </c>
      <c r="G188" s="1">
        <v>43530</v>
      </c>
      <c r="H188" t="s">
        <v>36</v>
      </c>
      <c r="I188" t="s">
        <v>36</v>
      </c>
      <c r="J188" t="s">
        <v>36</v>
      </c>
      <c r="K188" t="s">
        <v>36</v>
      </c>
      <c r="L188" t="s">
        <v>36</v>
      </c>
      <c r="M188" s="1">
        <v>43856.451388888891</v>
      </c>
      <c r="N188" t="s">
        <v>36</v>
      </c>
      <c r="O188" t="s">
        <v>36</v>
      </c>
      <c r="P188" s="1">
        <v>43557</v>
      </c>
      <c r="Q188" t="s">
        <v>36</v>
      </c>
      <c r="R188" t="s">
        <v>36</v>
      </c>
      <c r="S188" t="s">
        <v>36</v>
      </c>
      <c r="T188" s="1">
        <v>43557</v>
      </c>
      <c r="U188" t="s">
        <v>36</v>
      </c>
      <c r="V188" t="s">
        <v>36</v>
      </c>
      <c r="W188" t="s">
        <v>36</v>
      </c>
      <c r="X188" t="s">
        <v>36</v>
      </c>
      <c r="Y188" t="s">
        <v>36</v>
      </c>
      <c r="Z188" t="s">
        <v>36</v>
      </c>
      <c r="AA188" t="s">
        <v>36</v>
      </c>
      <c r="AB188" t="s">
        <v>36</v>
      </c>
      <c r="AC188" t="s">
        <v>36</v>
      </c>
      <c r="AD188" t="s">
        <v>36</v>
      </c>
      <c r="AE188" t="s">
        <v>36</v>
      </c>
      <c r="AF188" s="1">
        <v>43529</v>
      </c>
      <c r="AG188" t="s">
        <v>36</v>
      </c>
      <c r="AH188" t="s">
        <v>36</v>
      </c>
      <c r="AI188" s="1">
        <v>43530</v>
      </c>
      <c r="AJ188" s="1">
        <v>43528</v>
      </c>
    </row>
    <row r="189" spans="1:36" x14ac:dyDescent="0.35">
      <c r="A189">
        <v>4147</v>
      </c>
      <c r="B189" t="s">
        <v>1031</v>
      </c>
      <c r="C189" t="s">
        <v>36</v>
      </c>
      <c r="D189" t="s">
        <v>36</v>
      </c>
      <c r="E189" t="s">
        <v>36</v>
      </c>
      <c r="F189" t="s">
        <v>36</v>
      </c>
      <c r="G189" s="1">
        <v>43530</v>
      </c>
      <c r="H189" t="s">
        <v>36</v>
      </c>
      <c r="I189" t="s">
        <v>36</v>
      </c>
      <c r="J189" t="s">
        <v>36</v>
      </c>
      <c r="K189" t="s">
        <v>36</v>
      </c>
      <c r="L189" t="s">
        <v>36</v>
      </c>
      <c r="M189" s="1">
        <v>43856.451388888891</v>
      </c>
      <c r="N189" t="s">
        <v>36</v>
      </c>
      <c r="O189" t="s">
        <v>36</v>
      </c>
      <c r="P189" s="1">
        <v>43557</v>
      </c>
      <c r="Q189" t="s">
        <v>36</v>
      </c>
      <c r="R189" t="s">
        <v>36</v>
      </c>
      <c r="S189" t="s">
        <v>36</v>
      </c>
      <c r="T189" s="1">
        <v>43557</v>
      </c>
      <c r="U189" t="s">
        <v>36</v>
      </c>
      <c r="V189" t="s">
        <v>36</v>
      </c>
      <c r="W189" t="s">
        <v>36</v>
      </c>
      <c r="X189" t="s">
        <v>36</v>
      </c>
      <c r="Y189" t="s">
        <v>36</v>
      </c>
      <c r="Z189" t="s">
        <v>36</v>
      </c>
      <c r="AA189" t="s">
        <v>36</v>
      </c>
      <c r="AB189" t="s">
        <v>36</v>
      </c>
      <c r="AC189" t="s">
        <v>36</v>
      </c>
      <c r="AD189" t="s">
        <v>36</v>
      </c>
      <c r="AE189" t="s">
        <v>36</v>
      </c>
      <c r="AF189" s="1">
        <v>43529</v>
      </c>
      <c r="AG189" t="s">
        <v>36</v>
      </c>
      <c r="AH189" t="s">
        <v>36</v>
      </c>
      <c r="AI189" s="1">
        <v>43530</v>
      </c>
      <c r="AJ189" s="1">
        <v>43528</v>
      </c>
    </row>
    <row r="190" spans="1:36" x14ac:dyDescent="0.35">
      <c r="A190">
        <v>197</v>
      </c>
      <c r="B190" t="s">
        <v>146</v>
      </c>
      <c r="C190" t="s">
        <v>36</v>
      </c>
      <c r="D190" t="s">
        <v>36</v>
      </c>
      <c r="E190" t="s">
        <v>36</v>
      </c>
      <c r="F190" t="s">
        <v>36</v>
      </c>
      <c r="G190" t="s">
        <v>36</v>
      </c>
      <c r="H190" t="s">
        <v>36</v>
      </c>
      <c r="I190" t="s">
        <v>36</v>
      </c>
      <c r="J190" t="s">
        <v>36</v>
      </c>
      <c r="K190" t="s">
        <v>36</v>
      </c>
      <c r="L190" t="s">
        <v>36</v>
      </c>
      <c r="M190" t="s">
        <v>36</v>
      </c>
      <c r="N190" t="s">
        <v>36</v>
      </c>
      <c r="O190" t="s">
        <v>36</v>
      </c>
      <c r="P190" t="s">
        <v>36</v>
      </c>
      <c r="Q190" t="s">
        <v>36</v>
      </c>
      <c r="R190" t="s">
        <v>36</v>
      </c>
      <c r="S190" t="s">
        <v>36</v>
      </c>
      <c r="T190" t="s">
        <v>36</v>
      </c>
      <c r="U190" t="s">
        <v>36</v>
      </c>
      <c r="V190" t="s">
        <v>36</v>
      </c>
      <c r="W190" t="s">
        <v>36</v>
      </c>
      <c r="X190" t="s">
        <v>36</v>
      </c>
      <c r="Y190" t="s">
        <v>36</v>
      </c>
      <c r="Z190" t="s">
        <v>36</v>
      </c>
      <c r="AA190" t="s">
        <v>36</v>
      </c>
      <c r="AB190" t="s">
        <v>36</v>
      </c>
      <c r="AC190" t="s">
        <v>36</v>
      </c>
      <c r="AD190" t="s">
        <v>36</v>
      </c>
      <c r="AE190" t="s">
        <v>36</v>
      </c>
      <c r="AF190" t="s">
        <v>36</v>
      </c>
      <c r="AG190" t="s">
        <v>36</v>
      </c>
      <c r="AH190" t="s">
        <v>36</v>
      </c>
      <c r="AI190" t="s">
        <v>36</v>
      </c>
      <c r="AJ190" t="s">
        <v>36</v>
      </c>
    </row>
    <row r="191" spans="1:36" x14ac:dyDescent="0.35">
      <c r="A191">
        <v>198</v>
      </c>
      <c r="B191" t="s">
        <v>147</v>
      </c>
      <c r="C191" t="s">
        <v>36</v>
      </c>
      <c r="D191" t="s">
        <v>36</v>
      </c>
      <c r="E191" t="s">
        <v>36</v>
      </c>
      <c r="F191" t="s">
        <v>36</v>
      </c>
      <c r="G191" t="s">
        <v>36</v>
      </c>
      <c r="H191" t="s">
        <v>36</v>
      </c>
      <c r="I191" t="s">
        <v>36</v>
      </c>
      <c r="J191" t="s">
        <v>36</v>
      </c>
      <c r="K191" t="s">
        <v>36</v>
      </c>
      <c r="L191" t="s">
        <v>36</v>
      </c>
      <c r="M191" t="s">
        <v>36</v>
      </c>
      <c r="N191" t="s">
        <v>36</v>
      </c>
      <c r="O191" t="s">
        <v>36</v>
      </c>
      <c r="P191" t="s">
        <v>36</v>
      </c>
      <c r="Q191" t="s">
        <v>36</v>
      </c>
      <c r="R191" t="s">
        <v>36</v>
      </c>
      <c r="S191" t="s">
        <v>36</v>
      </c>
      <c r="T191" t="s">
        <v>36</v>
      </c>
      <c r="U191" t="s">
        <v>36</v>
      </c>
      <c r="V191" t="s">
        <v>36</v>
      </c>
      <c r="W191" t="s">
        <v>36</v>
      </c>
      <c r="X191" t="s">
        <v>36</v>
      </c>
      <c r="Y191" t="s">
        <v>36</v>
      </c>
      <c r="Z191" t="s">
        <v>36</v>
      </c>
      <c r="AA191" t="s">
        <v>36</v>
      </c>
      <c r="AB191" t="s">
        <v>36</v>
      </c>
      <c r="AC191" t="s">
        <v>36</v>
      </c>
      <c r="AD191" t="s">
        <v>36</v>
      </c>
      <c r="AE191" t="s">
        <v>36</v>
      </c>
      <c r="AF191" t="s">
        <v>36</v>
      </c>
      <c r="AG191" t="s">
        <v>36</v>
      </c>
      <c r="AH191" t="s">
        <v>36</v>
      </c>
      <c r="AI191" t="s">
        <v>36</v>
      </c>
      <c r="AJ191" t="s">
        <v>36</v>
      </c>
    </row>
    <row r="192" spans="1:36" x14ac:dyDescent="0.35">
      <c r="A192">
        <v>455</v>
      </c>
      <c r="B192" t="s">
        <v>252</v>
      </c>
      <c r="C192" t="s">
        <v>36</v>
      </c>
      <c r="D192" t="s">
        <v>36</v>
      </c>
      <c r="E192" t="s">
        <v>36</v>
      </c>
      <c r="F192" t="s">
        <v>36</v>
      </c>
      <c r="G192" s="1">
        <v>41426</v>
      </c>
      <c r="H192" t="s">
        <v>36</v>
      </c>
      <c r="I192" t="s">
        <v>36</v>
      </c>
      <c r="J192" t="s">
        <v>36</v>
      </c>
      <c r="K192" t="s">
        <v>36</v>
      </c>
      <c r="L192" t="s">
        <v>36</v>
      </c>
      <c r="M192" t="s">
        <v>36</v>
      </c>
      <c r="N192" t="s">
        <v>36</v>
      </c>
      <c r="O192" t="s">
        <v>36</v>
      </c>
      <c r="P192" s="1">
        <v>43059.576388888891</v>
      </c>
      <c r="Q192" t="s">
        <v>36</v>
      </c>
      <c r="R192" t="s">
        <v>36</v>
      </c>
      <c r="S192" t="s">
        <v>36</v>
      </c>
      <c r="T192" s="1">
        <v>42528.291666666664</v>
      </c>
      <c r="U192" t="s">
        <v>36</v>
      </c>
      <c r="V192" t="s">
        <v>36</v>
      </c>
      <c r="W192" t="s">
        <v>36</v>
      </c>
      <c r="X192" t="s">
        <v>36</v>
      </c>
      <c r="Y192" t="s">
        <v>36</v>
      </c>
      <c r="Z192" t="s">
        <v>36</v>
      </c>
      <c r="AA192" t="s">
        <v>36</v>
      </c>
      <c r="AB192" t="s">
        <v>36</v>
      </c>
      <c r="AC192" t="s">
        <v>36</v>
      </c>
      <c r="AD192" t="s">
        <v>36</v>
      </c>
      <c r="AE192" t="s">
        <v>36</v>
      </c>
      <c r="AF192" s="1">
        <v>42058.680555555555</v>
      </c>
      <c r="AG192" t="s">
        <v>36</v>
      </c>
      <c r="AH192" t="s">
        <v>36</v>
      </c>
      <c r="AI192" s="1">
        <v>41426</v>
      </c>
      <c r="AJ192" s="1">
        <v>43059.576388888891</v>
      </c>
    </row>
    <row r="193" spans="1:36" x14ac:dyDescent="0.35">
      <c r="A193">
        <v>4148</v>
      </c>
      <c r="B193" t="s">
        <v>1032</v>
      </c>
      <c r="C193" t="s">
        <v>36</v>
      </c>
      <c r="D193" t="s">
        <v>36</v>
      </c>
      <c r="E193" t="s">
        <v>36</v>
      </c>
      <c r="F193" t="s">
        <v>36</v>
      </c>
      <c r="G193" s="1">
        <v>43530</v>
      </c>
      <c r="H193" t="s">
        <v>36</v>
      </c>
      <c r="I193" t="s">
        <v>36</v>
      </c>
      <c r="J193" t="s">
        <v>36</v>
      </c>
      <c r="K193" t="s">
        <v>36</v>
      </c>
      <c r="L193" t="s">
        <v>36</v>
      </c>
      <c r="M193" t="s">
        <v>36</v>
      </c>
      <c r="N193" t="s">
        <v>36</v>
      </c>
      <c r="O193" t="s">
        <v>36</v>
      </c>
      <c r="P193" s="1">
        <v>43559</v>
      </c>
      <c r="Q193" t="s">
        <v>36</v>
      </c>
      <c r="R193" t="s">
        <v>36</v>
      </c>
      <c r="S193" t="s">
        <v>36</v>
      </c>
      <c r="T193" s="1">
        <v>43557</v>
      </c>
      <c r="U193" t="s">
        <v>36</v>
      </c>
      <c r="V193" t="s">
        <v>36</v>
      </c>
      <c r="W193" t="s">
        <v>36</v>
      </c>
      <c r="X193" t="s">
        <v>36</v>
      </c>
      <c r="Y193" t="s">
        <v>36</v>
      </c>
      <c r="Z193" t="s">
        <v>36</v>
      </c>
      <c r="AA193" t="s">
        <v>36</v>
      </c>
      <c r="AB193" t="s">
        <v>36</v>
      </c>
      <c r="AC193" t="s">
        <v>36</v>
      </c>
      <c r="AD193" t="s">
        <v>36</v>
      </c>
      <c r="AE193" t="s">
        <v>36</v>
      </c>
      <c r="AF193" s="1">
        <v>43529</v>
      </c>
      <c r="AG193" t="s">
        <v>36</v>
      </c>
      <c r="AH193" t="s">
        <v>36</v>
      </c>
      <c r="AI193" s="1">
        <v>43530</v>
      </c>
      <c r="AJ193" s="1">
        <v>43528</v>
      </c>
    </row>
    <row r="194" spans="1:36" x14ac:dyDescent="0.35">
      <c r="A194">
        <v>4149</v>
      </c>
      <c r="B194" t="s">
        <v>1033</v>
      </c>
      <c r="C194" t="s">
        <v>36</v>
      </c>
      <c r="D194" t="s">
        <v>36</v>
      </c>
      <c r="E194" t="s">
        <v>36</v>
      </c>
      <c r="F194" t="s">
        <v>36</v>
      </c>
      <c r="G194" s="1">
        <v>43530</v>
      </c>
      <c r="H194" t="s">
        <v>36</v>
      </c>
      <c r="I194" t="s">
        <v>36</v>
      </c>
      <c r="J194" t="s">
        <v>36</v>
      </c>
      <c r="K194" t="s">
        <v>36</v>
      </c>
      <c r="L194" t="s">
        <v>36</v>
      </c>
      <c r="M194" t="s">
        <v>36</v>
      </c>
      <c r="N194" t="s">
        <v>36</v>
      </c>
      <c r="O194" t="s">
        <v>36</v>
      </c>
      <c r="P194" s="1">
        <v>43557</v>
      </c>
      <c r="Q194" t="s">
        <v>36</v>
      </c>
      <c r="R194" t="s">
        <v>36</v>
      </c>
      <c r="S194" t="s">
        <v>36</v>
      </c>
      <c r="T194" s="1">
        <v>43557</v>
      </c>
      <c r="U194" t="s">
        <v>36</v>
      </c>
      <c r="V194" t="s">
        <v>36</v>
      </c>
      <c r="W194" t="s">
        <v>36</v>
      </c>
      <c r="X194" t="s">
        <v>36</v>
      </c>
      <c r="Y194" t="s">
        <v>36</v>
      </c>
      <c r="Z194" t="s">
        <v>36</v>
      </c>
      <c r="AA194" t="s">
        <v>36</v>
      </c>
      <c r="AB194" t="s">
        <v>36</v>
      </c>
      <c r="AC194" t="s">
        <v>36</v>
      </c>
      <c r="AD194" t="s">
        <v>36</v>
      </c>
      <c r="AE194" t="s">
        <v>36</v>
      </c>
      <c r="AF194" s="1">
        <v>43529</v>
      </c>
      <c r="AG194" t="s">
        <v>36</v>
      </c>
      <c r="AH194" t="s">
        <v>36</v>
      </c>
      <c r="AI194" s="1">
        <v>43530</v>
      </c>
      <c r="AJ194" s="1">
        <v>43528</v>
      </c>
    </row>
    <row r="195" spans="1:36" x14ac:dyDescent="0.35">
      <c r="A195">
        <v>4150</v>
      </c>
      <c r="B195" t="s">
        <v>1034</v>
      </c>
      <c r="C195" t="s">
        <v>36</v>
      </c>
      <c r="D195" t="s">
        <v>36</v>
      </c>
      <c r="E195" t="s">
        <v>36</v>
      </c>
      <c r="F195" t="s">
        <v>36</v>
      </c>
      <c r="G195" s="1">
        <v>43530</v>
      </c>
      <c r="H195" t="s">
        <v>36</v>
      </c>
      <c r="I195" t="s">
        <v>36</v>
      </c>
      <c r="J195" t="s">
        <v>36</v>
      </c>
      <c r="K195" t="s">
        <v>36</v>
      </c>
      <c r="L195" t="s">
        <v>36</v>
      </c>
      <c r="M195" t="s">
        <v>36</v>
      </c>
      <c r="N195" t="s">
        <v>36</v>
      </c>
      <c r="O195" t="s">
        <v>36</v>
      </c>
      <c r="P195" s="1">
        <v>43557</v>
      </c>
      <c r="Q195" t="s">
        <v>36</v>
      </c>
      <c r="R195" t="s">
        <v>36</v>
      </c>
      <c r="S195" t="s">
        <v>36</v>
      </c>
      <c r="T195" s="1">
        <v>43557</v>
      </c>
      <c r="U195" t="s">
        <v>36</v>
      </c>
      <c r="V195" t="s">
        <v>36</v>
      </c>
      <c r="W195" t="s">
        <v>36</v>
      </c>
      <c r="X195" t="s">
        <v>36</v>
      </c>
      <c r="Y195" t="s">
        <v>36</v>
      </c>
      <c r="Z195" t="s">
        <v>36</v>
      </c>
      <c r="AA195" t="s">
        <v>36</v>
      </c>
      <c r="AB195" t="s">
        <v>36</v>
      </c>
      <c r="AC195" t="s">
        <v>36</v>
      </c>
      <c r="AD195" t="s">
        <v>36</v>
      </c>
      <c r="AE195" t="s">
        <v>36</v>
      </c>
      <c r="AF195" s="1">
        <v>43529</v>
      </c>
      <c r="AG195" t="s">
        <v>36</v>
      </c>
      <c r="AH195" t="s">
        <v>36</v>
      </c>
      <c r="AI195" s="1">
        <v>43530</v>
      </c>
      <c r="AJ195" s="1">
        <v>43528</v>
      </c>
    </row>
    <row r="196" spans="1:36" x14ac:dyDescent="0.35">
      <c r="A196">
        <v>178</v>
      </c>
      <c r="B196" t="s">
        <v>134</v>
      </c>
      <c r="C196" s="1">
        <v>42528.291666666664</v>
      </c>
      <c r="D196" s="1">
        <v>42058.680555555555</v>
      </c>
      <c r="E196" s="1">
        <v>39245.465277777781</v>
      </c>
      <c r="F196" s="1">
        <v>43008.993055555555</v>
      </c>
      <c r="G196" t="s">
        <v>36</v>
      </c>
      <c r="H196" s="1">
        <v>43059.576388888891</v>
      </c>
      <c r="I196" s="1">
        <v>38757.354166666664</v>
      </c>
      <c r="J196" t="s">
        <v>36</v>
      </c>
      <c r="K196" s="1">
        <v>42528.291666666664</v>
      </c>
      <c r="L196" t="s">
        <v>36</v>
      </c>
      <c r="M196" t="s">
        <v>36</v>
      </c>
      <c r="N196" t="s">
        <v>36</v>
      </c>
      <c r="O196" s="1">
        <v>42206.583333333336</v>
      </c>
      <c r="P196" t="s">
        <v>36</v>
      </c>
      <c r="Q196" t="s">
        <v>36</v>
      </c>
      <c r="R196" t="s">
        <v>36</v>
      </c>
      <c r="S196" s="1">
        <v>42735.993055555555</v>
      </c>
      <c r="T196" t="s">
        <v>36</v>
      </c>
      <c r="U196" s="1">
        <v>43054.631944444445</v>
      </c>
      <c r="V196" s="1">
        <v>42473.520833333336</v>
      </c>
      <c r="W196" t="s">
        <v>36</v>
      </c>
      <c r="X196" s="1">
        <v>42193.652777777781</v>
      </c>
      <c r="Y196" s="1">
        <v>43394</v>
      </c>
      <c r="Z196" s="1">
        <v>42648.465277777781</v>
      </c>
      <c r="AA196" s="1">
        <v>43054.611111111109</v>
      </c>
      <c r="AB196" s="1">
        <v>41225.597222222219</v>
      </c>
      <c r="AC196" s="1">
        <v>42485.743055555555</v>
      </c>
      <c r="AD196" s="1">
        <v>43009</v>
      </c>
      <c r="AE196" t="s">
        <v>36</v>
      </c>
      <c r="AF196" t="s">
        <v>36</v>
      </c>
      <c r="AG196" t="s">
        <v>36</v>
      </c>
      <c r="AH196" s="1">
        <v>42735.993055555555</v>
      </c>
      <c r="AI196" t="s">
        <v>36</v>
      </c>
      <c r="AJ196" t="s">
        <v>36</v>
      </c>
    </row>
    <row r="197" spans="1:36" x14ac:dyDescent="0.35">
      <c r="A197">
        <v>196</v>
      </c>
      <c r="B197" t="s">
        <v>145</v>
      </c>
      <c r="C197" t="s">
        <v>36</v>
      </c>
      <c r="D197" t="s">
        <v>36</v>
      </c>
      <c r="E197" t="s">
        <v>36</v>
      </c>
      <c r="F197" t="s">
        <v>36</v>
      </c>
      <c r="G197" t="s">
        <v>36</v>
      </c>
      <c r="H197" t="s">
        <v>36</v>
      </c>
      <c r="I197" t="s">
        <v>36</v>
      </c>
      <c r="J197" t="s">
        <v>36</v>
      </c>
      <c r="K197" t="s">
        <v>36</v>
      </c>
      <c r="L197" t="s">
        <v>36</v>
      </c>
      <c r="M197" t="s">
        <v>36</v>
      </c>
      <c r="N197" t="s">
        <v>36</v>
      </c>
      <c r="O197" t="s">
        <v>36</v>
      </c>
      <c r="P197" t="s">
        <v>36</v>
      </c>
      <c r="Q197" t="s">
        <v>36</v>
      </c>
      <c r="R197" t="s">
        <v>36</v>
      </c>
      <c r="S197" t="s">
        <v>36</v>
      </c>
      <c r="T197" t="s">
        <v>36</v>
      </c>
      <c r="U197" t="s">
        <v>36</v>
      </c>
      <c r="V197" t="s">
        <v>36</v>
      </c>
      <c r="W197" t="s">
        <v>36</v>
      </c>
      <c r="X197" t="s">
        <v>36</v>
      </c>
      <c r="Y197" t="s">
        <v>36</v>
      </c>
      <c r="Z197" t="s">
        <v>36</v>
      </c>
      <c r="AA197" t="s">
        <v>36</v>
      </c>
      <c r="AB197" t="s">
        <v>36</v>
      </c>
      <c r="AC197" t="s">
        <v>36</v>
      </c>
      <c r="AD197" t="s">
        <v>36</v>
      </c>
      <c r="AE197" t="s">
        <v>36</v>
      </c>
      <c r="AF197" t="s">
        <v>36</v>
      </c>
      <c r="AG197" t="s">
        <v>36</v>
      </c>
      <c r="AH197" t="s">
        <v>36</v>
      </c>
      <c r="AI197" t="s">
        <v>36</v>
      </c>
      <c r="AJ197" t="s">
        <v>36</v>
      </c>
    </row>
    <row r="198" spans="1:36" x14ac:dyDescent="0.35">
      <c r="A198">
        <v>3766</v>
      </c>
      <c r="B198" t="s">
        <v>966</v>
      </c>
      <c r="C198" s="1">
        <v>43648.270833333336</v>
      </c>
      <c r="D198" t="s">
        <v>36</v>
      </c>
      <c r="E198" t="s">
        <v>36</v>
      </c>
      <c r="F198" t="s">
        <v>36</v>
      </c>
      <c r="G198" t="s">
        <v>36</v>
      </c>
      <c r="H198" t="s">
        <v>36</v>
      </c>
      <c r="I198" t="s">
        <v>36</v>
      </c>
      <c r="J198" t="s">
        <v>36</v>
      </c>
      <c r="K198" s="1">
        <v>43648.270833333336</v>
      </c>
      <c r="L198" t="s">
        <v>36</v>
      </c>
      <c r="M198" t="s">
        <v>36</v>
      </c>
      <c r="N198" t="s">
        <v>36</v>
      </c>
      <c r="O198" s="1">
        <v>42206.583333333336</v>
      </c>
      <c r="P198" t="s">
        <v>36</v>
      </c>
      <c r="Q198" t="s">
        <v>36</v>
      </c>
      <c r="R198" t="s">
        <v>36</v>
      </c>
      <c r="S198" t="s">
        <v>36</v>
      </c>
      <c r="T198" t="s">
        <v>36</v>
      </c>
      <c r="U198" t="s">
        <v>36</v>
      </c>
      <c r="V198" s="1">
        <v>43648.270833333336</v>
      </c>
      <c r="W198" t="s">
        <v>36</v>
      </c>
      <c r="X198" t="s">
        <v>36</v>
      </c>
      <c r="Y198" t="s">
        <v>36</v>
      </c>
      <c r="Z198" s="1">
        <v>43648.270833333336</v>
      </c>
      <c r="AA198" t="s">
        <v>36</v>
      </c>
      <c r="AB198" s="1">
        <v>43648.270833333336</v>
      </c>
      <c r="AC198" s="1">
        <v>43648.270833333336</v>
      </c>
      <c r="AD198" s="1">
        <v>43648.270833333336</v>
      </c>
      <c r="AE198" t="s">
        <v>36</v>
      </c>
      <c r="AF198" t="s">
        <v>36</v>
      </c>
      <c r="AG198" t="s">
        <v>36</v>
      </c>
      <c r="AH198" t="s">
        <v>36</v>
      </c>
      <c r="AI198" t="s">
        <v>36</v>
      </c>
      <c r="AJ198" t="s">
        <v>36</v>
      </c>
    </row>
    <row r="199" spans="1:36" x14ac:dyDescent="0.35">
      <c r="A199">
        <v>3767</v>
      </c>
      <c r="B199" t="s">
        <v>967</v>
      </c>
      <c r="C199" s="1">
        <v>43648.270833333336</v>
      </c>
      <c r="D199" t="s">
        <v>36</v>
      </c>
      <c r="E199" t="s">
        <v>36</v>
      </c>
      <c r="F199" t="s">
        <v>36</v>
      </c>
      <c r="G199" t="s">
        <v>36</v>
      </c>
      <c r="H199" t="s">
        <v>36</v>
      </c>
      <c r="I199" t="s">
        <v>36</v>
      </c>
      <c r="J199" t="s">
        <v>36</v>
      </c>
      <c r="K199" s="1">
        <v>43648.270833333336</v>
      </c>
      <c r="L199" t="s">
        <v>36</v>
      </c>
      <c r="M199" t="s">
        <v>36</v>
      </c>
      <c r="N199" t="s">
        <v>36</v>
      </c>
      <c r="O199" s="1">
        <v>42206.583333333336</v>
      </c>
      <c r="P199" t="s">
        <v>36</v>
      </c>
      <c r="Q199" t="s">
        <v>36</v>
      </c>
      <c r="R199" t="s">
        <v>36</v>
      </c>
      <c r="S199" t="s">
        <v>36</v>
      </c>
      <c r="T199" t="s">
        <v>36</v>
      </c>
      <c r="U199" t="s">
        <v>36</v>
      </c>
      <c r="V199" s="1">
        <v>43648.270833333336</v>
      </c>
      <c r="W199" t="s">
        <v>36</v>
      </c>
      <c r="X199" t="s">
        <v>36</v>
      </c>
      <c r="Y199" t="s">
        <v>36</v>
      </c>
      <c r="Z199" s="1">
        <v>43648.270833333336</v>
      </c>
      <c r="AA199" t="s">
        <v>36</v>
      </c>
      <c r="AB199" s="1">
        <v>43648.270833333336</v>
      </c>
      <c r="AC199" s="1">
        <v>43648.270833333336</v>
      </c>
      <c r="AD199" s="1">
        <v>43648.270833333336</v>
      </c>
      <c r="AE199" t="s">
        <v>36</v>
      </c>
      <c r="AF199" t="s">
        <v>36</v>
      </c>
      <c r="AG199" t="s">
        <v>36</v>
      </c>
      <c r="AH199" t="s">
        <v>36</v>
      </c>
      <c r="AI199" t="s">
        <v>36</v>
      </c>
      <c r="AJ199" t="s">
        <v>36</v>
      </c>
    </row>
    <row r="200" spans="1:36" x14ac:dyDescent="0.35">
      <c r="A200">
        <v>3768</v>
      </c>
      <c r="B200" t="s">
        <v>968</v>
      </c>
      <c r="C200" s="1">
        <v>43648.270833333336</v>
      </c>
      <c r="D200" t="s">
        <v>36</v>
      </c>
      <c r="E200" t="s">
        <v>36</v>
      </c>
      <c r="F200" t="s">
        <v>36</v>
      </c>
      <c r="G200" t="s">
        <v>36</v>
      </c>
      <c r="H200" t="s">
        <v>36</v>
      </c>
      <c r="I200" t="s">
        <v>36</v>
      </c>
      <c r="J200" t="s">
        <v>36</v>
      </c>
      <c r="K200" s="1">
        <v>43648.270833333336</v>
      </c>
      <c r="L200" t="s">
        <v>36</v>
      </c>
      <c r="M200" t="s">
        <v>36</v>
      </c>
      <c r="N200" t="s">
        <v>36</v>
      </c>
      <c r="O200" t="s">
        <v>36</v>
      </c>
      <c r="P200" t="s">
        <v>36</v>
      </c>
      <c r="Q200" t="s">
        <v>36</v>
      </c>
      <c r="R200" t="s">
        <v>36</v>
      </c>
      <c r="S200" t="s">
        <v>36</v>
      </c>
      <c r="T200" t="s">
        <v>36</v>
      </c>
      <c r="U200" t="s">
        <v>36</v>
      </c>
      <c r="V200" s="1">
        <v>43648.270833333336</v>
      </c>
      <c r="W200" t="s">
        <v>36</v>
      </c>
      <c r="X200" t="s">
        <v>36</v>
      </c>
      <c r="Y200" t="s">
        <v>36</v>
      </c>
      <c r="Z200" s="1">
        <v>43648.270833333336</v>
      </c>
      <c r="AA200" t="s">
        <v>36</v>
      </c>
      <c r="AB200" s="1">
        <v>43648.270833333336</v>
      </c>
      <c r="AC200" s="1">
        <v>43648.270833333336</v>
      </c>
      <c r="AD200" s="1">
        <v>43648.270833333336</v>
      </c>
      <c r="AE200" t="s">
        <v>36</v>
      </c>
      <c r="AF200" t="s">
        <v>36</v>
      </c>
      <c r="AG200" t="s">
        <v>36</v>
      </c>
      <c r="AH200" t="s">
        <v>36</v>
      </c>
      <c r="AI200" t="s">
        <v>36</v>
      </c>
      <c r="AJ200" t="s">
        <v>36</v>
      </c>
    </row>
    <row r="201" spans="1:36" x14ac:dyDescent="0.35">
      <c r="A201">
        <v>422</v>
      </c>
      <c r="B201" t="s">
        <v>245</v>
      </c>
      <c r="C201" t="s">
        <v>36</v>
      </c>
      <c r="D201" t="s">
        <v>36</v>
      </c>
      <c r="E201" t="s">
        <v>36</v>
      </c>
      <c r="F201" t="s">
        <v>36</v>
      </c>
      <c r="G201" s="1">
        <v>41426</v>
      </c>
      <c r="H201" t="s">
        <v>36</v>
      </c>
      <c r="I201" t="s">
        <v>36</v>
      </c>
      <c r="J201" t="s">
        <v>36</v>
      </c>
      <c r="K201" t="s">
        <v>36</v>
      </c>
      <c r="L201" t="s">
        <v>36</v>
      </c>
      <c r="M201" t="s">
        <v>36</v>
      </c>
      <c r="N201" t="s">
        <v>36</v>
      </c>
      <c r="O201" t="s">
        <v>36</v>
      </c>
      <c r="P201" s="1">
        <v>43059.576388888891</v>
      </c>
      <c r="Q201" t="s">
        <v>36</v>
      </c>
      <c r="R201" t="s">
        <v>36</v>
      </c>
      <c r="S201" t="s">
        <v>36</v>
      </c>
      <c r="T201" s="1">
        <v>42528.291666666664</v>
      </c>
      <c r="U201" t="s">
        <v>36</v>
      </c>
      <c r="V201" t="s">
        <v>36</v>
      </c>
      <c r="W201" t="s">
        <v>36</v>
      </c>
      <c r="X201" t="s">
        <v>36</v>
      </c>
      <c r="Y201" t="s">
        <v>36</v>
      </c>
      <c r="Z201" t="s">
        <v>36</v>
      </c>
      <c r="AA201" t="s">
        <v>36</v>
      </c>
      <c r="AB201" t="s">
        <v>36</v>
      </c>
      <c r="AC201" t="s">
        <v>36</v>
      </c>
      <c r="AD201" t="s">
        <v>36</v>
      </c>
      <c r="AE201" t="s">
        <v>36</v>
      </c>
      <c r="AF201" s="1">
        <v>42058.680555555555</v>
      </c>
      <c r="AG201" t="s">
        <v>36</v>
      </c>
      <c r="AH201" t="s">
        <v>36</v>
      </c>
      <c r="AI201" s="1">
        <v>41426</v>
      </c>
      <c r="AJ201" s="1">
        <v>43059.576388888891</v>
      </c>
    </row>
    <row r="202" spans="1:36" x14ac:dyDescent="0.35">
      <c r="A202">
        <v>2899</v>
      </c>
      <c r="B202" t="s">
        <v>912</v>
      </c>
      <c r="C202" t="s">
        <v>36</v>
      </c>
      <c r="D202" t="s">
        <v>36</v>
      </c>
      <c r="E202" t="s">
        <v>36</v>
      </c>
      <c r="F202" t="s">
        <v>36</v>
      </c>
      <c r="G202" s="1">
        <v>43530</v>
      </c>
      <c r="H202" t="s">
        <v>36</v>
      </c>
      <c r="I202" t="s">
        <v>36</v>
      </c>
      <c r="J202" t="s">
        <v>36</v>
      </c>
      <c r="K202" t="s">
        <v>36</v>
      </c>
      <c r="L202" t="s">
        <v>36</v>
      </c>
      <c r="M202" t="s">
        <v>36</v>
      </c>
      <c r="N202" t="s">
        <v>36</v>
      </c>
      <c r="O202" t="s">
        <v>36</v>
      </c>
      <c r="P202" s="1">
        <v>43559</v>
      </c>
      <c r="Q202" t="s">
        <v>36</v>
      </c>
      <c r="R202" t="s">
        <v>36</v>
      </c>
      <c r="S202" t="s">
        <v>36</v>
      </c>
      <c r="T202" s="1">
        <v>43557</v>
      </c>
      <c r="U202" t="s">
        <v>36</v>
      </c>
      <c r="V202" t="s">
        <v>36</v>
      </c>
      <c r="W202" t="s">
        <v>36</v>
      </c>
      <c r="X202" t="s">
        <v>36</v>
      </c>
      <c r="Y202" t="s">
        <v>36</v>
      </c>
      <c r="Z202" t="s">
        <v>36</v>
      </c>
      <c r="AA202" t="s">
        <v>36</v>
      </c>
      <c r="AB202" t="s">
        <v>36</v>
      </c>
      <c r="AC202" t="s">
        <v>36</v>
      </c>
      <c r="AD202" t="s">
        <v>36</v>
      </c>
      <c r="AE202" t="s">
        <v>36</v>
      </c>
      <c r="AF202" s="1">
        <v>43529</v>
      </c>
      <c r="AG202" t="s">
        <v>36</v>
      </c>
      <c r="AH202" t="s">
        <v>36</v>
      </c>
      <c r="AI202" s="1">
        <v>43530</v>
      </c>
      <c r="AJ202" s="1">
        <v>43528</v>
      </c>
    </row>
    <row r="203" spans="1:36" x14ac:dyDescent="0.35">
      <c r="A203">
        <v>2898</v>
      </c>
      <c r="B203" t="s">
        <v>911</v>
      </c>
      <c r="C203" t="s">
        <v>36</v>
      </c>
      <c r="D203" t="s">
        <v>36</v>
      </c>
      <c r="E203" t="s">
        <v>36</v>
      </c>
      <c r="F203" t="s">
        <v>36</v>
      </c>
      <c r="G203" s="1">
        <v>43530</v>
      </c>
      <c r="H203" t="s">
        <v>36</v>
      </c>
      <c r="I203" t="s">
        <v>36</v>
      </c>
      <c r="J203" t="s">
        <v>36</v>
      </c>
      <c r="K203" t="s">
        <v>36</v>
      </c>
      <c r="L203" t="s">
        <v>36</v>
      </c>
      <c r="M203" t="s">
        <v>36</v>
      </c>
      <c r="N203" t="s">
        <v>36</v>
      </c>
      <c r="O203" t="s">
        <v>36</v>
      </c>
      <c r="P203" s="1">
        <v>43557</v>
      </c>
      <c r="Q203" t="s">
        <v>36</v>
      </c>
      <c r="R203" t="s">
        <v>36</v>
      </c>
      <c r="S203" t="s">
        <v>36</v>
      </c>
      <c r="T203" s="1">
        <v>43557</v>
      </c>
      <c r="U203" t="s">
        <v>36</v>
      </c>
      <c r="V203" t="s">
        <v>36</v>
      </c>
      <c r="W203" t="s">
        <v>36</v>
      </c>
      <c r="X203" t="s">
        <v>36</v>
      </c>
      <c r="Y203" t="s">
        <v>36</v>
      </c>
      <c r="Z203" t="s">
        <v>36</v>
      </c>
      <c r="AA203" t="s">
        <v>36</v>
      </c>
      <c r="AB203" t="s">
        <v>36</v>
      </c>
      <c r="AC203" t="s">
        <v>36</v>
      </c>
      <c r="AD203" t="s">
        <v>36</v>
      </c>
      <c r="AE203" t="s">
        <v>36</v>
      </c>
      <c r="AF203" s="1">
        <v>43529</v>
      </c>
      <c r="AG203" t="s">
        <v>36</v>
      </c>
      <c r="AH203" t="s">
        <v>36</v>
      </c>
      <c r="AI203" s="1">
        <v>43530</v>
      </c>
      <c r="AJ203" s="1">
        <v>43528</v>
      </c>
    </row>
    <row r="204" spans="1:36" x14ac:dyDescent="0.35">
      <c r="A204">
        <v>2900</v>
      </c>
      <c r="B204" t="s">
        <v>913</v>
      </c>
      <c r="C204" t="s">
        <v>36</v>
      </c>
      <c r="D204" t="s">
        <v>36</v>
      </c>
      <c r="E204" t="s">
        <v>36</v>
      </c>
      <c r="F204" t="s">
        <v>36</v>
      </c>
      <c r="G204" s="1">
        <v>43530</v>
      </c>
      <c r="H204" t="s">
        <v>36</v>
      </c>
      <c r="I204" t="s">
        <v>36</v>
      </c>
      <c r="J204" t="s">
        <v>36</v>
      </c>
      <c r="K204" t="s">
        <v>36</v>
      </c>
      <c r="L204" t="s">
        <v>36</v>
      </c>
      <c r="M204" t="s">
        <v>36</v>
      </c>
      <c r="N204" t="s">
        <v>36</v>
      </c>
      <c r="O204" t="s">
        <v>36</v>
      </c>
      <c r="P204" s="1">
        <v>43557</v>
      </c>
      <c r="Q204" t="s">
        <v>36</v>
      </c>
      <c r="R204" t="s">
        <v>36</v>
      </c>
      <c r="S204" t="s">
        <v>36</v>
      </c>
      <c r="T204" s="1">
        <v>43557</v>
      </c>
      <c r="U204" t="s">
        <v>36</v>
      </c>
      <c r="V204" t="s">
        <v>36</v>
      </c>
      <c r="W204" t="s">
        <v>36</v>
      </c>
      <c r="X204" t="s">
        <v>36</v>
      </c>
      <c r="Y204" t="s">
        <v>36</v>
      </c>
      <c r="Z204" t="s">
        <v>36</v>
      </c>
      <c r="AA204" t="s">
        <v>36</v>
      </c>
      <c r="AB204" t="s">
        <v>36</v>
      </c>
      <c r="AC204" t="s">
        <v>36</v>
      </c>
      <c r="AD204" t="s">
        <v>36</v>
      </c>
      <c r="AE204" t="s">
        <v>36</v>
      </c>
      <c r="AF204" s="1">
        <v>43529</v>
      </c>
      <c r="AG204" t="s">
        <v>36</v>
      </c>
      <c r="AH204" t="s">
        <v>36</v>
      </c>
      <c r="AI204" s="1">
        <v>43530</v>
      </c>
      <c r="AJ204" s="1">
        <v>43528</v>
      </c>
    </row>
    <row r="205" spans="1:36" x14ac:dyDescent="0.35">
      <c r="A205">
        <v>203</v>
      </c>
      <c r="B205" t="s">
        <v>149</v>
      </c>
      <c r="C205" t="s">
        <v>36</v>
      </c>
      <c r="D205" s="1">
        <v>42058.680555555555</v>
      </c>
      <c r="E205" t="s">
        <v>36</v>
      </c>
      <c r="F205" t="s">
        <v>36</v>
      </c>
      <c r="G205" t="s">
        <v>36</v>
      </c>
      <c r="H205" t="s">
        <v>36</v>
      </c>
      <c r="I205" t="s">
        <v>36</v>
      </c>
      <c r="J205" t="s">
        <v>36</v>
      </c>
      <c r="K205" t="s">
        <v>36</v>
      </c>
      <c r="L205" t="s">
        <v>36</v>
      </c>
      <c r="M205" t="s">
        <v>36</v>
      </c>
      <c r="N205" s="1">
        <v>42735.993055555555</v>
      </c>
      <c r="O205" s="1">
        <v>42206.590277777781</v>
      </c>
      <c r="P205" t="s">
        <v>36</v>
      </c>
      <c r="Q205" t="s">
        <v>36</v>
      </c>
      <c r="R205" t="s">
        <v>36</v>
      </c>
      <c r="S205" t="s">
        <v>36</v>
      </c>
      <c r="T205" t="s">
        <v>36</v>
      </c>
      <c r="U205" t="s">
        <v>36</v>
      </c>
      <c r="V205" t="s">
        <v>36</v>
      </c>
      <c r="W205" t="s">
        <v>36</v>
      </c>
      <c r="X205" s="1">
        <v>42193.659722222219</v>
      </c>
      <c r="Y205" t="s">
        <v>36</v>
      </c>
      <c r="Z205" t="s">
        <v>36</v>
      </c>
      <c r="AA205" t="s">
        <v>36</v>
      </c>
      <c r="AB205" t="s">
        <v>36</v>
      </c>
      <c r="AC205" t="s">
        <v>36</v>
      </c>
      <c r="AD205" t="s">
        <v>36</v>
      </c>
      <c r="AE205" t="s">
        <v>36</v>
      </c>
      <c r="AF205" t="s">
        <v>36</v>
      </c>
      <c r="AG205" t="s">
        <v>36</v>
      </c>
      <c r="AH205" t="s">
        <v>36</v>
      </c>
      <c r="AI205" t="s">
        <v>36</v>
      </c>
      <c r="AJ205" t="s">
        <v>36</v>
      </c>
    </row>
    <row r="206" spans="1:36" x14ac:dyDescent="0.35">
      <c r="A206">
        <v>204</v>
      </c>
      <c r="B206" t="s">
        <v>150</v>
      </c>
      <c r="C206" t="s">
        <v>36</v>
      </c>
      <c r="D206" s="1">
        <v>42058.680555555555</v>
      </c>
      <c r="E206" t="s">
        <v>36</v>
      </c>
      <c r="F206" t="s">
        <v>36</v>
      </c>
      <c r="G206" t="s">
        <v>36</v>
      </c>
      <c r="H206" t="s">
        <v>36</v>
      </c>
      <c r="I206" t="s">
        <v>36</v>
      </c>
      <c r="J206" t="s">
        <v>36</v>
      </c>
      <c r="K206" t="s">
        <v>36</v>
      </c>
      <c r="L206" t="s">
        <v>36</v>
      </c>
      <c r="M206" t="s">
        <v>36</v>
      </c>
      <c r="N206" s="1">
        <v>42735.993055555555</v>
      </c>
      <c r="O206" s="1">
        <v>42206.590277777781</v>
      </c>
      <c r="P206" t="s">
        <v>36</v>
      </c>
      <c r="Q206" t="s">
        <v>36</v>
      </c>
      <c r="R206" t="s">
        <v>36</v>
      </c>
      <c r="S206" t="s">
        <v>36</v>
      </c>
      <c r="T206" t="s">
        <v>36</v>
      </c>
      <c r="U206" t="s">
        <v>36</v>
      </c>
      <c r="V206" t="s">
        <v>36</v>
      </c>
      <c r="W206" t="s">
        <v>36</v>
      </c>
      <c r="X206" s="1">
        <v>42193.659722222219</v>
      </c>
      <c r="Y206" t="s">
        <v>36</v>
      </c>
      <c r="Z206" t="s">
        <v>36</v>
      </c>
      <c r="AA206" t="s">
        <v>36</v>
      </c>
      <c r="AB206" t="s">
        <v>36</v>
      </c>
      <c r="AC206" t="s">
        <v>36</v>
      </c>
      <c r="AD206" t="s">
        <v>36</v>
      </c>
      <c r="AE206" t="s">
        <v>36</v>
      </c>
      <c r="AF206" t="s">
        <v>36</v>
      </c>
      <c r="AG206" t="s">
        <v>36</v>
      </c>
      <c r="AH206" t="s">
        <v>36</v>
      </c>
      <c r="AI206" t="s">
        <v>36</v>
      </c>
      <c r="AJ206" t="s">
        <v>36</v>
      </c>
    </row>
    <row r="207" spans="1:36" x14ac:dyDescent="0.35">
      <c r="A207">
        <v>122</v>
      </c>
      <c r="B207" t="s">
        <v>116</v>
      </c>
      <c r="C207" t="s">
        <v>36</v>
      </c>
      <c r="D207" t="s">
        <v>36</v>
      </c>
      <c r="E207" t="s">
        <v>36</v>
      </c>
      <c r="F207" t="s">
        <v>36</v>
      </c>
      <c r="G207" t="s">
        <v>36</v>
      </c>
      <c r="H207" t="s">
        <v>36</v>
      </c>
      <c r="I207" t="s">
        <v>36</v>
      </c>
      <c r="J207" t="s">
        <v>36</v>
      </c>
      <c r="K207" t="s">
        <v>36</v>
      </c>
      <c r="L207" t="s">
        <v>36</v>
      </c>
      <c r="M207" t="s">
        <v>36</v>
      </c>
      <c r="N207" t="s">
        <v>36</v>
      </c>
      <c r="O207" t="s">
        <v>36</v>
      </c>
      <c r="P207" t="s">
        <v>36</v>
      </c>
      <c r="Q207" t="s">
        <v>36</v>
      </c>
      <c r="R207" t="s">
        <v>36</v>
      </c>
      <c r="S207" t="s">
        <v>36</v>
      </c>
      <c r="T207" t="s">
        <v>36</v>
      </c>
      <c r="U207" t="s">
        <v>36</v>
      </c>
      <c r="V207" t="s">
        <v>36</v>
      </c>
      <c r="W207" t="s">
        <v>36</v>
      </c>
      <c r="X207" t="s">
        <v>36</v>
      </c>
      <c r="Y207" t="s">
        <v>36</v>
      </c>
      <c r="Z207" t="s">
        <v>36</v>
      </c>
      <c r="AA207" t="s">
        <v>36</v>
      </c>
      <c r="AB207" t="s">
        <v>36</v>
      </c>
      <c r="AC207" t="s">
        <v>36</v>
      </c>
      <c r="AD207" t="s">
        <v>36</v>
      </c>
      <c r="AE207" t="s">
        <v>36</v>
      </c>
      <c r="AF207" t="s">
        <v>36</v>
      </c>
      <c r="AG207" t="s">
        <v>36</v>
      </c>
      <c r="AH207" t="s">
        <v>36</v>
      </c>
      <c r="AI207" t="s">
        <v>36</v>
      </c>
      <c r="AJ207" t="s">
        <v>36</v>
      </c>
    </row>
    <row r="208" spans="1:36" x14ac:dyDescent="0.35">
      <c r="A208">
        <v>4476</v>
      </c>
      <c r="B208" t="s">
        <v>1209</v>
      </c>
      <c r="C208" t="s">
        <v>36</v>
      </c>
      <c r="D208" t="s">
        <v>36</v>
      </c>
      <c r="E208" t="s">
        <v>36</v>
      </c>
      <c r="F208" t="s">
        <v>36</v>
      </c>
      <c r="G208" t="s">
        <v>36</v>
      </c>
      <c r="H208" t="s">
        <v>36</v>
      </c>
      <c r="I208" t="s">
        <v>36</v>
      </c>
      <c r="J208" t="s">
        <v>36</v>
      </c>
      <c r="K208" t="s">
        <v>36</v>
      </c>
      <c r="L208" t="s">
        <v>36</v>
      </c>
      <c r="M208" t="s">
        <v>36</v>
      </c>
      <c r="N208" t="s">
        <v>36</v>
      </c>
      <c r="O208" t="s">
        <v>36</v>
      </c>
      <c r="P208" t="s">
        <v>36</v>
      </c>
      <c r="Q208" t="s">
        <v>36</v>
      </c>
      <c r="R208" t="s">
        <v>36</v>
      </c>
      <c r="S208" t="s">
        <v>36</v>
      </c>
      <c r="T208" t="s">
        <v>36</v>
      </c>
      <c r="U208" t="s">
        <v>36</v>
      </c>
      <c r="V208" t="s">
        <v>36</v>
      </c>
      <c r="W208" t="s">
        <v>36</v>
      </c>
      <c r="X208" t="s">
        <v>36</v>
      </c>
      <c r="Y208" t="s">
        <v>36</v>
      </c>
      <c r="Z208" t="s">
        <v>36</v>
      </c>
      <c r="AA208" t="s">
        <v>36</v>
      </c>
      <c r="AB208" t="s">
        <v>36</v>
      </c>
      <c r="AC208" t="s">
        <v>36</v>
      </c>
      <c r="AD208" t="s">
        <v>36</v>
      </c>
      <c r="AE208" t="s">
        <v>36</v>
      </c>
      <c r="AF208" t="s">
        <v>36</v>
      </c>
      <c r="AG208" t="s">
        <v>36</v>
      </c>
      <c r="AH208" t="s">
        <v>36</v>
      </c>
      <c r="AI208" t="s">
        <v>36</v>
      </c>
      <c r="AJ208" t="s">
        <v>36</v>
      </c>
    </row>
    <row r="209" spans="1:36" x14ac:dyDescent="0.35">
      <c r="A209">
        <v>4477</v>
      </c>
      <c r="B209" t="s">
        <v>1210</v>
      </c>
      <c r="C209" t="s">
        <v>36</v>
      </c>
      <c r="D209" t="s">
        <v>36</v>
      </c>
      <c r="E209" t="s">
        <v>36</v>
      </c>
      <c r="F209" t="s">
        <v>36</v>
      </c>
      <c r="G209" t="s">
        <v>36</v>
      </c>
      <c r="H209" t="s">
        <v>36</v>
      </c>
      <c r="I209" t="s">
        <v>36</v>
      </c>
      <c r="J209" t="s">
        <v>36</v>
      </c>
      <c r="K209" t="s">
        <v>36</v>
      </c>
      <c r="L209" t="s">
        <v>36</v>
      </c>
      <c r="M209" t="s">
        <v>36</v>
      </c>
      <c r="N209" t="s">
        <v>36</v>
      </c>
      <c r="O209" t="s">
        <v>36</v>
      </c>
      <c r="P209" t="s">
        <v>36</v>
      </c>
      <c r="Q209" t="s">
        <v>36</v>
      </c>
      <c r="R209" t="s">
        <v>36</v>
      </c>
      <c r="S209" t="s">
        <v>36</v>
      </c>
      <c r="T209" t="s">
        <v>36</v>
      </c>
      <c r="U209" t="s">
        <v>36</v>
      </c>
      <c r="V209" t="s">
        <v>36</v>
      </c>
      <c r="W209" t="s">
        <v>36</v>
      </c>
      <c r="X209" t="s">
        <v>36</v>
      </c>
      <c r="Y209" t="s">
        <v>36</v>
      </c>
      <c r="Z209" t="s">
        <v>36</v>
      </c>
      <c r="AA209" t="s">
        <v>36</v>
      </c>
      <c r="AB209" t="s">
        <v>36</v>
      </c>
      <c r="AC209" t="s">
        <v>36</v>
      </c>
      <c r="AD209" t="s">
        <v>36</v>
      </c>
      <c r="AE209" t="s">
        <v>36</v>
      </c>
      <c r="AF209" t="s">
        <v>36</v>
      </c>
      <c r="AG209" t="s">
        <v>36</v>
      </c>
      <c r="AH209" t="s">
        <v>36</v>
      </c>
      <c r="AI209" t="s">
        <v>36</v>
      </c>
      <c r="AJ209" t="s">
        <v>36</v>
      </c>
    </row>
    <row r="210" spans="1:36" x14ac:dyDescent="0.35">
      <c r="A210">
        <v>4478</v>
      </c>
      <c r="B210" t="s">
        <v>1211</v>
      </c>
      <c r="C210" t="s">
        <v>36</v>
      </c>
      <c r="D210" t="s">
        <v>36</v>
      </c>
      <c r="E210" t="s">
        <v>36</v>
      </c>
      <c r="F210" t="s">
        <v>36</v>
      </c>
      <c r="G210" t="s">
        <v>36</v>
      </c>
      <c r="H210" t="s">
        <v>36</v>
      </c>
      <c r="I210" t="s">
        <v>36</v>
      </c>
      <c r="J210" t="s">
        <v>36</v>
      </c>
      <c r="K210" t="s">
        <v>36</v>
      </c>
      <c r="L210" t="s">
        <v>36</v>
      </c>
      <c r="M210" t="s">
        <v>36</v>
      </c>
      <c r="N210" t="s">
        <v>36</v>
      </c>
      <c r="O210" t="s">
        <v>36</v>
      </c>
      <c r="P210" t="s">
        <v>36</v>
      </c>
      <c r="Q210" t="s">
        <v>36</v>
      </c>
      <c r="R210" t="s">
        <v>36</v>
      </c>
      <c r="S210" t="s">
        <v>36</v>
      </c>
      <c r="T210" t="s">
        <v>36</v>
      </c>
      <c r="U210" t="s">
        <v>36</v>
      </c>
      <c r="V210" t="s">
        <v>36</v>
      </c>
      <c r="W210" t="s">
        <v>36</v>
      </c>
      <c r="X210" t="s">
        <v>36</v>
      </c>
      <c r="Y210" t="s">
        <v>36</v>
      </c>
      <c r="Z210" t="s">
        <v>36</v>
      </c>
      <c r="AA210" t="s">
        <v>36</v>
      </c>
      <c r="AB210" t="s">
        <v>36</v>
      </c>
      <c r="AC210" t="s">
        <v>36</v>
      </c>
      <c r="AD210" t="s">
        <v>36</v>
      </c>
      <c r="AE210" t="s">
        <v>36</v>
      </c>
      <c r="AF210" t="s">
        <v>36</v>
      </c>
      <c r="AG210" t="s">
        <v>36</v>
      </c>
      <c r="AH210" t="s">
        <v>36</v>
      </c>
      <c r="AI210" t="s">
        <v>36</v>
      </c>
      <c r="AJ210" t="s">
        <v>36</v>
      </c>
    </row>
    <row r="211" spans="1:36" x14ac:dyDescent="0.35">
      <c r="A211">
        <v>119</v>
      </c>
      <c r="B211" t="s">
        <v>115</v>
      </c>
      <c r="C211" s="1">
        <v>42528.291666666664</v>
      </c>
      <c r="D211" s="1">
        <v>42058.680555555555</v>
      </c>
      <c r="E211" t="s">
        <v>36</v>
      </c>
      <c r="F211" t="s">
        <v>36</v>
      </c>
      <c r="G211" s="1">
        <v>41426</v>
      </c>
      <c r="H211" t="s">
        <v>36</v>
      </c>
      <c r="I211" t="s">
        <v>36</v>
      </c>
      <c r="J211" s="1">
        <v>39631.4375</v>
      </c>
      <c r="K211" s="1">
        <v>42528.291666666664</v>
      </c>
      <c r="L211" s="1">
        <v>42058.680555555555</v>
      </c>
      <c r="M211" t="s">
        <v>36</v>
      </c>
      <c r="N211" s="1">
        <v>42735.993055555555</v>
      </c>
      <c r="O211" s="1">
        <v>42206.583333333336</v>
      </c>
      <c r="P211" s="1">
        <v>43059.576388888891</v>
      </c>
      <c r="Q211" t="s">
        <v>36</v>
      </c>
      <c r="R211" t="s">
        <v>36</v>
      </c>
      <c r="S211" t="s">
        <v>36</v>
      </c>
      <c r="T211" s="1">
        <v>42528.291666666664</v>
      </c>
      <c r="U211" t="s">
        <v>36</v>
      </c>
      <c r="V211" s="1">
        <v>42473.513888888891</v>
      </c>
      <c r="W211" t="s">
        <v>36</v>
      </c>
      <c r="X211" s="1">
        <v>42193.652777777781</v>
      </c>
      <c r="Y211" t="s">
        <v>36</v>
      </c>
      <c r="Z211" s="1">
        <v>42648.465277777781</v>
      </c>
      <c r="AA211" t="s">
        <v>36</v>
      </c>
      <c r="AB211" t="s">
        <v>36</v>
      </c>
      <c r="AC211" s="1">
        <v>42485.743055555555</v>
      </c>
      <c r="AD211" s="1">
        <v>43009</v>
      </c>
      <c r="AE211" t="s">
        <v>36</v>
      </c>
      <c r="AF211" s="1">
        <v>42058.680555555555</v>
      </c>
      <c r="AG211" s="32">
        <v>43040</v>
      </c>
      <c r="AH211" t="s">
        <v>36</v>
      </c>
      <c r="AI211" s="1">
        <v>41426</v>
      </c>
      <c r="AJ211" s="1">
        <v>43059.576388888891</v>
      </c>
    </row>
    <row r="212" spans="1:36" x14ac:dyDescent="0.35">
      <c r="A212">
        <v>2835</v>
      </c>
      <c r="B212" t="s">
        <v>896</v>
      </c>
      <c r="C212" s="1">
        <v>43167.590277777781</v>
      </c>
      <c r="D212" t="s">
        <v>36</v>
      </c>
      <c r="E212" t="s">
        <v>36</v>
      </c>
      <c r="F212" t="s">
        <v>36</v>
      </c>
      <c r="G212" s="1">
        <v>43530</v>
      </c>
      <c r="H212" t="s">
        <v>36</v>
      </c>
      <c r="I212" t="s">
        <v>36</v>
      </c>
      <c r="J212" t="s">
        <v>36</v>
      </c>
      <c r="K212" s="1">
        <v>43167.590277777781</v>
      </c>
      <c r="L212" t="s">
        <v>36</v>
      </c>
      <c r="M212" t="s">
        <v>36</v>
      </c>
      <c r="N212" s="1">
        <v>43948.465277777781</v>
      </c>
      <c r="O212" s="1">
        <v>42206.583333333336</v>
      </c>
      <c r="P212" s="1">
        <v>43559</v>
      </c>
      <c r="Q212" t="s">
        <v>36</v>
      </c>
      <c r="R212" t="s">
        <v>36</v>
      </c>
      <c r="S212" t="s">
        <v>36</v>
      </c>
      <c r="T212" s="1">
        <v>43557</v>
      </c>
      <c r="U212" t="s">
        <v>36</v>
      </c>
      <c r="V212" s="1">
        <v>43167.590277777781</v>
      </c>
      <c r="W212" t="s">
        <v>36</v>
      </c>
      <c r="X212" t="s">
        <v>36</v>
      </c>
      <c r="Y212" t="s">
        <v>36</v>
      </c>
      <c r="Z212" s="1">
        <v>43167.590277777781</v>
      </c>
      <c r="AA212" t="s">
        <v>36</v>
      </c>
      <c r="AB212" t="s">
        <v>36</v>
      </c>
      <c r="AC212" s="1">
        <v>43167.590277777781</v>
      </c>
      <c r="AD212" s="1">
        <v>43167.590277777781</v>
      </c>
      <c r="AE212" t="s">
        <v>36</v>
      </c>
      <c r="AF212" s="1">
        <v>43529</v>
      </c>
      <c r="AG212" t="s">
        <v>36</v>
      </c>
      <c r="AH212" t="s">
        <v>36</v>
      </c>
      <c r="AI212" s="1">
        <v>43530</v>
      </c>
      <c r="AJ212" s="1">
        <v>43528</v>
      </c>
    </row>
    <row r="213" spans="1:36" x14ac:dyDescent="0.35">
      <c r="A213">
        <v>2836</v>
      </c>
      <c r="B213" t="s">
        <v>897</v>
      </c>
      <c r="C213" s="1">
        <v>43167.590277777781</v>
      </c>
      <c r="D213" t="s">
        <v>36</v>
      </c>
      <c r="E213" t="s">
        <v>36</v>
      </c>
      <c r="F213" t="s">
        <v>36</v>
      </c>
      <c r="G213" s="1">
        <v>43530</v>
      </c>
      <c r="H213" t="s">
        <v>36</v>
      </c>
      <c r="I213" t="s">
        <v>36</v>
      </c>
      <c r="J213" t="s">
        <v>36</v>
      </c>
      <c r="K213" s="1">
        <v>43167.590277777781</v>
      </c>
      <c r="L213" t="s">
        <v>36</v>
      </c>
      <c r="M213" t="s">
        <v>36</v>
      </c>
      <c r="N213" s="1">
        <v>43948.465277777781</v>
      </c>
      <c r="O213" s="1">
        <v>42206.583333333336</v>
      </c>
      <c r="P213" s="1">
        <v>43557</v>
      </c>
      <c r="Q213" t="s">
        <v>36</v>
      </c>
      <c r="R213" t="s">
        <v>36</v>
      </c>
      <c r="S213" t="s">
        <v>36</v>
      </c>
      <c r="T213" s="1">
        <v>43557</v>
      </c>
      <c r="U213" t="s">
        <v>36</v>
      </c>
      <c r="V213" s="1">
        <v>43167.590277777781</v>
      </c>
      <c r="W213" t="s">
        <v>36</v>
      </c>
      <c r="X213" t="s">
        <v>36</v>
      </c>
      <c r="Y213" t="s">
        <v>36</v>
      </c>
      <c r="Z213" s="1">
        <v>43167.590277777781</v>
      </c>
      <c r="AA213" t="s">
        <v>36</v>
      </c>
      <c r="AB213" t="s">
        <v>36</v>
      </c>
      <c r="AC213" s="1">
        <v>43167.590277777781</v>
      </c>
      <c r="AD213" s="1">
        <v>43167.590277777781</v>
      </c>
      <c r="AE213" t="s">
        <v>36</v>
      </c>
      <c r="AF213" s="1">
        <v>43529</v>
      </c>
      <c r="AG213" t="s">
        <v>36</v>
      </c>
      <c r="AH213" t="s">
        <v>36</v>
      </c>
      <c r="AI213" s="1">
        <v>43530</v>
      </c>
      <c r="AJ213" s="1">
        <v>43528</v>
      </c>
    </row>
    <row r="214" spans="1:36" x14ac:dyDescent="0.35">
      <c r="A214">
        <v>3539</v>
      </c>
      <c r="B214" t="s">
        <v>931</v>
      </c>
      <c r="C214" s="1">
        <v>43538.416666666664</v>
      </c>
      <c r="D214" t="s">
        <v>36</v>
      </c>
      <c r="E214" t="s">
        <v>36</v>
      </c>
      <c r="F214" t="s">
        <v>36</v>
      </c>
      <c r="G214" s="1">
        <v>43530</v>
      </c>
      <c r="H214" t="s">
        <v>36</v>
      </c>
      <c r="I214" t="s">
        <v>36</v>
      </c>
      <c r="J214" t="s">
        <v>36</v>
      </c>
      <c r="K214" s="1">
        <v>43538.416666666664</v>
      </c>
      <c r="L214" t="s">
        <v>36</v>
      </c>
      <c r="M214" t="s">
        <v>36</v>
      </c>
      <c r="N214" t="s">
        <v>36</v>
      </c>
      <c r="O214" t="s">
        <v>36</v>
      </c>
      <c r="P214" s="1">
        <v>43557</v>
      </c>
      <c r="Q214" t="s">
        <v>36</v>
      </c>
      <c r="R214" t="s">
        <v>36</v>
      </c>
      <c r="S214" t="s">
        <v>36</v>
      </c>
      <c r="T214" s="1">
        <v>43557</v>
      </c>
      <c r="U214" t="s">
        <v>36</v>
      </c>
      <c r="V214" s="1">
        <v>43538.416666666664</v>
      </c>
      <c r="W214" t="s">
        <v>36</v>
      </c>
      <c r="X214" t="s">
        <v>36</v>
      </c>
      <c r="Y214" t="s">
        <v>36</v>
      </c>
      <c r="Z214" s="1">
        <v>43538.416666666664</v>
      </c>
      <c r="AA214" t="s">
        <v>36</v>
      </c>
      <c r="AB214" t="s">
        <v>36</v>
      </c>
      <c r="AC214" s="1">
        <v>43538.416666666664</v>
      </c>
      <c r="AD214" s="1">
        <v>43538.416666666664</v>
      </c>
      <c r="AE214" t="s">
        <v>36</v>
      </c>
      <c r="AF214" s="1">
        <v>43529</v>
      </c>
      <c r="AG214" t="s">
        <v>36</v>
      </c>
      <c r="AH214" t="s">
        <v>36</v>
      </c>
      <c r="AI214" s="1">
        <v>43530</v>
      </c>
      <c r="AJ214" s="1">
        <v>43528</v>
      </c>
    </row>
    <row r="215" spans="1:36" x14ac:dyDescent="0.35">
      <c r="A215">
        <v>287</v>
      </c>
      <c r="B215" t="s">
        <v>167</v>
      </c>
      <c r="C215" t="s">
        <v>36</v>
      </c>
      <c r="D215" t="s">
        <v>36</v>
      </c>
      <c r="E215" t="s">
        <v>36</v>
      </c>
      <c r="F215" t="s">
        <v>36</v>
      </c>
      <c r="G215" t="s">
        <v>36</v>
      </c>
      <c r="H215" t="s">
        <v>36</v>
      </c>
      <c r="I215" t="s">
        <v>36</v>
      </c>
      <c r="J215" t="s">
        <v>36</v>
      </c>
      <c r="K215" t="s">
        <v>36</v>
      </c>
      <c r="L215" t="s">
        <v>36</v>
      </c>
      <c r="M215" t="s">
        <v>36</v>
      </c>
      <c r="N215" t="s">
        <v>36</v>
      </c>
      <c r="O215" t="s">
        <v>36</v>
      </c>
      <c r="P215" t="s">
        <v>36</v>
      </c>
      <c r="Q215" t="s">
        <v>36</v>
      </c>
      <c r="R215" t="s">
        <v>36</v>
      </c>
      <c r="S215" t="s">
        <v>36</v>
      </c>
      <c r="T215" t="s">
        <v>36</v>
      </c>
      <c r="U215" t="s">
        <v>36</v>
      </c>
      <c r="V215" t="s">
        <v>36</v>
      </c>
      <c r="W215" t="s">
        <v>36</v>
      </c>
      <c r="X215" t="s">
        <v>36</v>
      </c>
      <c r="Y215" t="s">
        <v>36</v>
      </c>
      <c r="Z215" t="s">
        <v>36</v>
      </c>
      <c r="AA215" t="s">
        <v>36</v>
      </c>
      <c r="AB215" t="s">
        <v>36</v>
      </c>
      <c r="AC215" t="s">
        <v>36</v>
      </c>
      <c r="AD215" t="s">
        <v>36</v>
      </c>
      <c r="AE215" t="s">
        <v>36</v>
      </c>
      <c r="AF215" t="s">
        <v>36</v>
      </c>
      <c r="AG215" t="s">
        <v>36</v>
      </c>
      <c r="AH215" t="s">
        <v>36</v>
      </c>
      <c r="AI215" t="s">
        <v>36</v>
      </c>
      <c r="AJ215" t="s">
        <v>36</v>
      </c>
    </row>
    <row r="216" spans="1:36" x14ac:dyDescent="0.35">
      <c r="A216">
        <v>288</v>
      </c>
      <c r="B216" t="s">
        <v>168</v>
      </c>
      <c r="C216" t="s">
        <v>36</v>
      </c>
      <c r="D216" t="s">
        <v>36</v>
      </c>
      <c r="E216" t="s">
        <v>36</v>
      </c>
      <c r="F216" t="s">
        <v>36</v>
      </c>
      <c r="G216" t="s">
        <v>36</v>
      </c>
      <c r="H216" t="s">
        <v>36</v>
      </c>
      <c r="I216" t="s">
        <v>36</v>
      </c>
      <c r="J216" t="s">
        <v>36</v>
      </c>
      <c r="K216" t="s">
        <v>36</v>
      </c>
      <c r="L216" t="s">
        <v>36</v>
      </c>
      <c r="M216" t="s">
        <v>36</v>
      </c>
      <c r="N216" t="s">
        <v>36</v>
      </c>
      <c r="O216" t="s">
        <v>36</v>
      </c>
      <c r="P216" t="s">
        <v>36</v>
      </c>
      <c r="Q216" t="s">
        <v>36</v>
      </c>
      <c r="R216" t="s">
        <v>36</v>
      </c>
      <c r="S216" t="s">
        <v>36</v>
      </c>
      <c r="T216" t="s">
        <v>36</v>
      </c>
      <c r="U216" t="s">
        <v>36</v>
      </c>
      <c r="V216" t="s">
        <v>36</v>
      </c>
      <c r="W216" t="s">
        <v>36</v>
      </c>
      <c r="X216" t="s">
        <v>36</v>
      </c>
      <c r="Y216" t="s">
        <v>36</v>
      </c>
      <c r="Z216" t="s">
        <v>36</v>
      </c>
      <c r="AA216" t="s">
        <v>36</v>
      </c>
      <c r="AB216" t="s">
        <v>36</v>
      </c>
      <c r="AC216" t="s">
        <v>36</v>
      </c>
      <c r="AD216" t="s">
        <v>36</v>
      </c>
      <c r="AE216" t="s">
        <v>36</v>
      </c>
      <c r="AF216" t="s">
        <v>36</v>
      </c>
      <c r="AG216" t="s">
        <v>36</v>
      </c>
      <c r="AH216" t="s">
        <v>36</v>
      </c>
      <c r="AI216" t="s">
        <v>36</v>
      </c>
      <c r="AJ216" t="s">
        <v>36</v>
      </c>
    </row>
    <row r="217" spans="1:36" x14ac:dyDescent="0.35">
      <c r="A217">
        <v>118</v>
      </c>
      <c r="B217" t="s">
        <v>114</v>
      </c>
      <c r="C217" s="1">
        <v>42528.291666666664</v>
      </c>
      <c r="D217" s="1">
        <v>42087.777777777781</v>
      </c>
      <c r="E217" t="s">
        <v>36</v>
      </c>
      <c r="F217" t="s">
        <v>36</v>
      </c>
      <c r="G217" s="1">
        <v>41426</v>
      </c>
      <c r="H217" t="s">
        <v>36</v>
      </c>
      <c r="I217" t="s">
        <v>36</v>
      </c>
      <c r="J217" s="1">
        <v>39631.4375</v>
      </c>
      <c r="K217" s="1">
        <v>42528.291666666664</v>
      </c>
      <c r="L217" s="1">
        <v>42058.680555555555</v>
      </c>
      <c r="M217" t="s">
        <v>36</v>
      </c>
      <c r="N217" s="1">
        <v>42735.993055555555</v>
      </c>
      <c r="O217" s="1">
        <v>42206.583333333336</v>
      </c>
      <c r="P217" s="1">
        <v>43059.576388888891</v>
      </c>
      <c r="Q217" t="s">
        <v>36</v>
      </c>
      <c r="R217" t="s">
        <v>36</v>
      </c>
      <c r="S217" t="s">
        <v>36</v>
      </c>
      <c r="T217" s="1">
        <v>42528.291666666664</v>
      </c>
      <c r="U217" t="s">
        <v>36</v>
      </c>
      <c r="V217" s="1">
        <v>42473.520833333336</v>
      </c>
      <c r="W217" t="s">
        <v>36</v>
      </c>
      <c r="X217" s="1">
        <v>42193.652777777781</v>
      </c>
      <c r="Y217" t="s">
        <v>36</v>
      </c>
      <c r="Z217" s="1">
        <v>42648.465277777781</v>
      </c>
      <c r="AA217" t="s">
        <v>36</v>
      </c>
      <c r="AB217" t="s">
        <v>36</v>
      </c>
      <c r="AC217" s="1">
        <v>42485.743055555555</v>
      </c>
      <c r="AD217" s="1">
        <v>43009</v>
      </c>
      <c r="AE217" t="s">
        <v>36</v>
      </c>
      <c r="AF217" s="1">
        <v>42058.680555555555</v>
      </c>
      <c r="AG217" s="32">
        <v>43040</v>
      </c>
      <c r="AH217" t="s">
        <v>36</v>
      </c>
      <c r="AI217" s="1">
        <v>41426</v>
      </c>
      <c r="AJ217" s="1">
        <v>43059.576388888891</v>
      </c>
    </row>
    <row r="218" spans="1:36" x14ac:dyDescent="0.35">
      <c r="A218">
        <v>2837</v>
      </c>
      <c r="B218" t="s">
        <v>898</v>
      </c>
      <c r="C218" s="1">
        <v>43167.590277777781</v>
      </c>
      <c r="D218" t="s">
        <v>36</v>
      </c>
      <c r="E218" t="s">
        <v>36</v>
      </c>
      <c r="F218" t="s">
        <v>36</v>
      </c>
      <c r="G218" s="1">
        <v>43530</v>
      </c>
      <c r="H218" t="s">
        <v>36</v>
      </c>
      <c r="I218" t="s">
        <v>36</v>
      </c>
      <c r="J218" t="s">
        <v>36</v>
      </c>
      <c r="K218" s="1">
        <v>43167.590277777781</v>
      </c>
      <c r="L218" t="s">
        <v>36</v>
      </c>
      <c r="M218" t="s">
        <v>36</v>
      </c>
      <c r="N218" s="1">
        <v>43948.465277777781</v>
      </c>
      <c r="O218" s="1">
        <v>42206.583333333336</v>
      </c>
      <c r="P218" s="1">
        <v>43559</v>
      </c>
      <c r="Q218" t="s">
        <v>36</v>
      </c>
      <c r="R218" t="s">
        <v>36</v>
      </c>
      <c r="S218" t="s">
        <v>36</v>
      </c>
      <c r="T218" s="1">
        <v>43557</v>
      </c>
      <c r="U218" t="s">
        <v>36</v>
      </c>
      <c r="V218" s="1">
        <v>43167.590277777781</v>
      </c>
      <c r="W218" t="s">
        <v>36</v>
      </c>
      <c r="X218" t="s">
        <v>36</v>
      </c>
      <c r="Y218" t="s">
        <v>36</v>
      </c>
      <c r="Z218" s="1">
        <v>43167.590277777781</v>
      </c>
      <c r="AA218" t="s">
        <v>36</v>
      </c>
      <c r="AB218" t="s">
        <v>36</v>
      </c>
      <c r="AC218" s="1">
        <v>43167.590277777781</v>
      </c>
      <c r="AD218" s="1">
        <v>43167.590277777781</v>
      </c>
      <c r="AE218" t="s">
        <v>36</v>
      </c>
      <c r="AF218" s="1">
        <v>43529</v>
      </c>
      <c r="AG218" t="s">
        <v>36</v>
      </c>
      <c r="AH218" t="s">
        <v>36</v>
      </c>
      <c r="AI218" s="1">
        <v>43530</v>
      </c>
      <c r="AJ218" s="1">
        <v>43528</v>
      </c>
    </row>
    <row r="219" spans="1:36" x14ac:dyDescent="0.35">
      <c r="A219">
        <v>2838</v>
      </c>
      <c r="B219" t="s">
        <v>899</v>
      </c>
      <c r="C219" s="1">
        <v>43167.590277777781</v>
      </c>
      <c r="D219" t="s">
        <v>36</v>
      </c>
      <c r="E219" t="s">
        <v>36</v>
      </c>
      <c r="F219" t="s">
        <v>36</v>
      </c>
      <c r="G219" s="1">
        <v>43530</v>
      </c>
      <c r="H219" t="s">
        <v>36</v>
      </c>
      <c r="I219" t="s">
        <v>36</v>
      </c>
      <c r="J219" t="s">
        <v>36</v>
      </c>
      <c r="K219" s="1">
        <v>43167.590277777781</v>
      </c>
      <c r="L219" t="s">
        <v>36</v>
      </c>
      <c r="M219" t="s">
        <v>36</v>
      </c>
      <c r="N219" s="1">
        <v>43948.465277777781</v>
      </c>
      <c r="O219" s="1">
        <v>42206.583333333336</v>
      </c>
      <c r="P219" s="1">
        <v>43557</v>
      </c>
      <c r="Q219" t="s">
        <v>36</v>
      </c>
      <c r="R219" t="s">
        <v>36</v>
      </c>
      <c r="S219" t="s">
        <v>36</v>
      </c>
      <c r="T219" s="1">
        <v>43557</v>
      </c>
      <c r="U219" t="s">
        <v>36</v>
      </c>
      <c r="V219" s="1">
        <v>43167.590277777781</v>
      </c>
      <c r="W219" t="s">
        <v>36</v>
      </c>
      <c r="X219" t="s">
        <v>36</v>
      </c>
      <c r="Y219" t="s">
        <v>36</v>
      </c>
      <c r="Z219" s="1">
        <v>43167.590277777781</v>
      </c>
      <c r="AA219" t="s">
        <v>36</v>
      </c>
      <c r="AB219" t="s">
        <v>36</v>
      </c>
      <c r="AC219" s="1">
        <v>43167.590277777781</v>
      </c>
      <c r="AD219" s="1">
        <v>43167.590277777781</v>
      </c>
      <c r="AE219" t="s">
        <v>36</v>
      </c>
      <c r="AF219" s="1">
        <v>43529</v>
      </c>
      <c r="AG219" t="s">
        <v>36</v>
      </c>
      <c r="AH219" t="s">
        <v>36</v>
      </c>
      <c r="AI219" s="1">
        <v>43530</v>
      </c>
      <c r="AJ219" s="1">
        <v>43528</v>
      </c>
    </row>
    <row r="220" spans="1:36" x14ac:dyDescent="0.35">
      <c r="A220">
        <v>3540</v>
      </c>
      <c r="B220" t="s">
        <v>932</v>
      </c>
      <c r="C220" s="1">
        <v>43538.416666666664</v>
      </c>
      <c r="D220" t="s">
        <v>36</v>
      </c>
      <c r="E220" t="s">
        <v>36</v>
      </c>
      <c r="F220" t="s">
        <v>36</v>
      </c>
      <c r="G220" s="1">
        <v>43530</v>
      </c>
      <c r="H220" t="s">
        <v>36</v>
      </c>
      <c r="I220" t="s">
        <v>36</v>
      </c>
      <c r="J220" t="s">
        <v>36</v>
      </c>
      <c r="K220" s="1">
        <v>43538.416666666664</v>
      </c>
      <c r="L220" t="s">
        <v>36</v>
      </c>
      <c r="M220" t="s">
        <v>36</v>
      </c>
      <c r="N220" t="s">
        <v>36</v>
      </c>
      <c r="O220" t="s">
        <v>36</v>
      </c>
      <c r="P220" s="1">
        <v>43557</v>
      </c>
      <c r="Q220" t="s">
        <v>36</v>
      </c>
      <c r="R220" t="s">
        <v>36</v>
      </c>
      <c r="S220" t="s">
        <v>36</v>
      </c>
      <c r="T220" s="1">
        <v>43557</v>
      </c>
      <c r="U220" t="s">
        <v>36</v>
      </c>
      <c r="V220" s="1">
        <v>43538.416666666664</v>
      </c>
      <c r="W220" t="s">
        <v>36</v>
      </c>
      <c r="X220" t="s">
        <v>36</v>
      </c>
      <c r="Y220" t="s">
        <v>36</v>
      </c>
      <c r="Z220" s="1">
        <v>43538.416666666664</v>
      </c>
      <c r="AA220" t="s">
        <v>36</v>
      </c>
      <c r="AB220" t="s">
        <v>36</v>
      </c>
      <c r="AC220" s="1">
        <v>43538.416666666664</v>
      </c>
      <c r="AD220" s="1">
        <v>43538.416666666664</v>
      </c>
      <c r="AE220" t="s">
        <v>36</v>
      </c>
      <c r="AF220" s="1">
        <v>43529</v>
      </c>
      <c r="AG220" t="s">
        <v>36</v>
      </c>
      <c r="AH220" t="s">
        <v>36</v>
      </c>
      <c r="AI220" s="1">
        <v>43530</v>
      </c>
      <c r="AJ220" s="1">
        <v>43528</v>
      </c>
    </row>
    <row r="221" spans="1:36" x14ac:dyDescent="0.35">
      <c r="A221">
        <v>289</v>
      </c>
      <c r="B221" t="s">
        <v>169</v>
      </c>
      <c r="C221" t="s">
        <v>36</v>
      </c>
      <c r="D221" t="s">
        <v>36</v>
      </c>
      <c r="E221" t="s">
        <v>36</v>
      </c>
      <c r="F221" t="s">
        <v>36</v>
      </c>
      <c r="G221" s="1">
        <v>42482.388888888891</v>
      </c>
      <c r="H221" t="s">
        <v>36</v>
      </c>
      <c r="I221" t="s">
        <v>36</v>
      </c>
      <c r="J221" t="s">
        <v>36</v>
      </c>
      <c r="K221" t="s">
        <v>36</v>
      </c>
      <c r="L221" t="s">
        <v>36</v>
      </c>
      <c r="M221" t="s">
        <v>36</v>
      </c>
      <c r="N221" t="s">
        <v>36</v>
      </c>
      <c r="O221" t="s">
        <v>36</v>
      </c>
      <c r="P221" s="1">
        <v>43059.576388888891</v>
      </c>
      <c r="Q221" t="s">
        <v>36</v>
      </c>
      <c r="R221" t="s">
        <v>36</v>
      </c>
      <c r="S221" t="s">
        <v>36</v>
      </c>
      <c r="T221" s="1">
        <v>42555.659722222219</v>
      </c>
      <c r="U221" t="s">
        <v>36</v>
      </c>
      <c r="V221" t="s">
        <v>36</v>
      </c>
      <c r="W221" t="s">
        <v>36</v>
      </c>
      <c r="X221" t="s">
        <v>36</v>
      </c>
      <c r="Y221" t="s">
        <v>36</v>
      </c>
      <c r="Z221" t="s">
        <v>36</v>
      </c>
      <c r="AA221" t="s">
        <v>36</v>
      </c>
      <c r="AB221" t="s">
        <v>36</v>
      </c>
      <c r="AC221" t="s">
        <v>36</v>
      </c>
      <c r="AD221" t="s">
        <v>36</v>
      </c>
      <c r="AE221" t="s">
        <v>36</v>
      </c>
      <c r="AF221" s="1">
        <v>42492.493055555555</v>
      </c>
      <c r="AG221" t="s">
        <v>36</v>
      </c>
      <c r="AH221" t="s">
        <v>36</v>
      </c>
      <c r="AI221" s="1">
        <v>42492.895833333336</v>
      </c>
      <c r="AJ221" s="1">
        <v>43059.576388888891</v>
      </c>
    </row>
    <row r="222" spans="1:36" x14ac:dyDescent="0.35">
      <c r="A222">
        <v>4410</v>
      </c>
      <c r="B222" t="s">
        <v>1191</v>
      </c>
      <c r="C222" t="s">
        <v>36</v>
      </c>
      <c r="D222" t="s">
        <v>36</v>
      </c>
      <c r="E222" t="s">
        <v>36</v>
      </c>
      <c r="F222" t="s">
        <v>36</v>
      </c>
      <c r="G222" s="1">
        <v>43857.791666666664</v>
      </c>
      <c r="H222" t="s">
        <v>36</v>
      </c>
      <c r="I222" t="s">
        <v>36</v>
      </c>
      <c r="J222" t="s">
        <v>36</v>
      </c>
      <c r="K222" t="s">
        <v>36</v>
      </c>
      <c r="L222" t="s">
        <v>36</v>
      </c>
      <c r="M222" t="s">
        <v>36</v>
      </c>
      <c r="N222" t="s">
        <v>36</v>
      </c>
      <c r="O222" t="s">
        <v>36</v>
      </c>
      <c r="P222" s="1">
        <v>43857.791666666664</v>
      </c>
      <c r="Q222" t="s">
        <v>36</v>
      </c>
      <c r="R222" t="s">
        <v>36</v>
      </c>
      <c r="S222" t="s">
        <v>36</v>
      </c>
      <c r="T222" s="1">
        <v>43857.791666666664</v>
      </c>
      <c r="U222" t="s">
        <v>36</v>
      </c>
      <c r="V222" t="s">
        <v>36</v>
      </c>
      <c r="W222" t="s">
        <v>36</v>
      </c>
      <c r="X222" t="s">
        <v>36</v>
      </c>
      <c r="Y222" t="s">
        <v>36</v>
      </c>
      <c r="Z222" t="s">
        <v>36</v>
      </c>
      <c r="AA222" t="s">
        <v>36</v>
      </c>
      <c r="AB222" t="s">
        <v>36</v>
      </c>
      <c r="AC222" t="s">
        <v>36</v>
      </c>
      <c r="AD222" t="s">
        <v>36</v>
      </c>
      <c r="AE222" t="s">
        <v>36</v>
      </c>
      <c r="AF222" s="1">
        <v>43857.791666666664</v>
      </c>
      <c r="AG222" t="s">
        <v>36</v>
      </c>
      <c r="AH222" t="s">
        <v>36</v>
      </c>
      <c r="AI222" s="1">
        <v>43857.791666666664</v>
      </c>
      <c r="AJ222" s="1">
        <v>43857.791666666664</v>
      </c>
    </row>
    <row r="223" spans="1:36" x14ac:dyDescent="0.35">
      <c r="A223">
        <v>4411</v>
      </c>
      <c r="B223" t="s">
        <v>1192</v>
      </c>
      <c r="C223" t="s">
        <v>36</v>
      </c>
      <c r="D223" t="s">
        <v>36</v>
      </c>
      <c r="E223" t="s">
        <v>36</v>
      </c>
      <c r="F223" t="s">
        <v>36</v>
      </c>
      <c r="G223" s="1">
        <v>43857.791666666664</v>
      </c>
      <c r="H223" t="s">
        <v>36</v>
      </c>
      <c r="I223" t="s">
        <v>36</v>
      </c>
      <c r="J223" t="s">
        <v>36</v>
      </c>
      <c r="K223" t="s">
        <v>36</v>
      </c>
      <c r="L223" t="s">
        <v>36</v>
      </c>
      <c r="M223" t="s">
        <v>36</v>
      </c>
      <c r="N223" t="s">
        <v>36</v>
      </c>
      <c r="O223" t="s">
        <v>36</v>
      </c>
      <c r="P223" s="1">
        <v>43857.791666666664</v>
      </c>
      <c r="Q223" t="s">
        <v>36</v>
      </c>
      <c r="R223" t="s">
        <v>36</v>
      </c>
      <c r="S223" t="s">
        <v>36</v>
      </c>
      <c r="T223" s="1">
        <v>43857.791666666664</v>
      </c>
      <c r="U223" t="s">
        <v>36</v>
      </c>
      <c r="V223" t="s">
        <v>36</v>
      </c>
      <c r="W223" t="s">
        <v>36</v>
      </c>
      <c r="X223" t="s">
        <v>36</v>
      </c>
      <c r="Y223" t="s">
        <v>36</v>
      </c>
      <c r="Z223" t="s">
        <v>36</v>
      </c>
      <c r="AA223" t="s">
        <v>36</v>
      </c>
      <c r="AB223" t="s">
        <v>36</v>
      </c>
      <c r="AC223" t="s">
        <v>36</v>
      </c>
      <c r="AD223" t="s">
        <v>36</v>
      </c>
      <c r="AE223" t="s">
        <v>36</v>
      </c>
      <c r="AF223" s="1">
        <v>43857.791666666664</v>
      </c>
      <c r="AG223" t="s">
        <v>36</v>
      </c>
      <c r="AH223" t="s">
        <v>36</v>
      </c>
      <c r="AI223" s="1">
        <v>43857.791666666664</v>
      </c>
      <c r="AJ223" s="1">
        <v>43857.791666666664</v>
      </c>
    </row>
    <row r="224" spans="1:36" x14ac:dyDescent="0.35">
      <c r="A224">
        <v>4412</v>
      </c>
      <c r="B224" t="s">
        <v>1193</v>
      </c>
      <c r="C224" t="s">
        <v>36</v>
      </c>
      <c r="D224" t="s">
        <v>36</v>
      </c>
      <c r="E224" t="s">
        <v>36</v>
      </c>
      <c r="F224" t="s">
        <v>36</v>
      </c>
      <c r="G224" s="1">
        <v>43857.791666666664</v>
      </c>
      <c r="H224" t="s">
        <v>36</v>
      </c>
      <c r="I224" t="s">
        <v>36</v>
      </c>
      <c r="J224" t="s">
        <v>36</v>
      </c>
      <c r="K224" t="s">
        <v>36</v>
      </c>
      <c r="L224" t="s">
        <v>36</v>
      </c>
      <c r="M224" t="s">
        <v>36</v>
      </c>
      <c r="N224" t="s">
        <v>36</v>
      </c>
      <c r="O224" t="s">
        <v>36</v>
      </c>
      <c r="P224" s="1">
        <v>43857.791666666664</v>
      </c>
      <c r="Q224" t="s">
        <v>36</v>
      </c>
      <c r="R224" t="s">
        <v>36</v>
      </c>
      <c r="S224" t="s">
        <v>36</v>
      </c>
      <c r="T224" s="1">
        <v>43857.791666666664</v>
      </c>
      <c r="U224" t="s">
        <v>36</v>
      </c>
      <c r="V224" t="s">
        <v>36</v>
      </c>
      <c r="W224" t="s">
        <v>36</v>
      </c>
      <c r="X224" t="s">
        <v>36</v>
      </c>
      <c r="Y224" t="s">
        <v>36</v>
      </c>
      <c r="Z224" t="s">
        <v>36</v>
      </c>
      <c r="AA224" t="s">
        <v>36</v>
      </c>
      <c r="AB224" t="s">
        <v>36</v>
      </c>
      <c r="AC224" t="s">
        <v>36</v>
      </c>
      <c r="AD224" t="s">
        <v>36</v>
      </c>
      <c r="AE224" t="s">
        <v>36</v>
      </c>
      <c r="AF224" s="1">
        <v>43857.791666666664</v>
      </c>
      <c r="AG224" t="s">
        <v>36</v>
      </c>
      <c r="AH224" t="s">
        <v>36</v>
      </c>
      <c r="AI224" s="1">
        <v>43857.791666666664</v>
      </c>
      <c r="AJ224" s="1">
        <v>43857.791666666664</v>
      </c>
    </row>
    <row r="225" spans="1:36" x14ac:dyDescent="0.35">
      <c r="A225">
        <v>290</v>
      </c>
      <c r="B225" t="s">
        <v>170</v>
      </c>
      <c r="C225" t="s">
        <v>36</v>
      </c>
      <c r="D225" t="s">
        <v>36</v>
      </c>
      <c r="E225" t="s">
        <v>36</v>
      </c>
      <c r="F225" t="s">
        <v>36</v>
      </c>
      <c r="G225" s="1">
        <v>42482.388888888891</v>
      </c>
      <c r="H225" t="s">
        <v>36</v>
      </c>
      <c r="I225" t="s">
        <v>36</v>
      </c>
      <c r="J225" t="s">
        <v>36</v>
      </c>
      <c r="K225" t="s">
        <v>36</v>
      </c>
      <c r="L225" t="s">
        <v>36</v>
      </c>
      <c r="M225" t="s">
        <v>36</v>
      </c>
      <c r="N225" t="s">
        <v>36</v>
      </c>
      <c r="O225" t="s">
        <v>36</v>
      </c>
      <c r="P225" s="1">
        <v>43059.576388888891</v>
      </c>
      <c r="Q225" t="s">
        <v>36</v>
      </c>
      <c r="R225" t="s">
        <v>36</v>
      </c>
      <c r="S225" t="s">
        <v>36</v>
      </c>
      <c r="T225" s="1">
        <v>42555.659722222219</v>
      </c>
      <c r="U225" t="s">
        <v>36</v>
      </c>
      <c r="V225" t="s">
        <v>36</v>
      </c>
      <c r="W225" t="s">
        <v>36</v>
      </c>
      <c r="X225" t="s">
        <v>36</v>
      </c>
      <c r="Y225" t="s">
        <v>36</v>
      </c>
      <c r="Z225" t="s">
        <v>36</v>
      </c>
      <c r="AA225" t="s">
        <v>36</v>
      </c>
      <c r="AB225" t="s">
        <v>36</v>
      </c>
      <c r="AC225" t="s">
        <v>36</v>
      </c>
      <c r="AD225" t="s">
        <v>36</v>
      </c>
      <c r="AE225" t="s">
        <v>36</v>
      </c>
      <c r="AF225" s="1">
        <v>42492.493055555555</v>
      </c>
      <c r="AG225" t="s">
        <v>36</v>
      </c>
      <c r="AH225" t="s">
        <v>36</v>
      </c>
      <c r="AI225" s="1">
        <v>42492.895833333336</v>
      </c>
      <c r="AJ225" s="1">
        <v>43059.576388888891</v>
      </c>
    </row>
    <row r="226" spans="1:36" x14ac:dyDescent="0.35">
      <c r="A226">
        <v>4413</v>
      </c>
      <c r="B226" t="s">
        <v>1194</v>
      </c>
      <c r="C226" t="s">
        <v>36</v>
      </c>
      <c r="D226" t="s">
        <v>36</v>
      </c>
      <c r="E226" t="s">
        <v>36</v>
      </c>
      <c r="F226" t="s">
        <v>36</v>
      </c>
      <c r="G226" s="1">
        <v>43857.791666666664</v>
      </c>
      <c r="H226" t="s">
        <v>36</v>
      </c>
      <c r="I226" t="s">
        <v>36</v>
      </c>
      <c r="J226" t="s">
        <v>36</v>
      </c>
      <c r="K226" t="s">
        <v>36</v>
      </c>
      <c r="L226" t="s">
        <v>36</v>
      </c>
      <c r="M226" t="s">
        <v>36</v>
      </c>
      <c r="N226" t="s">
        <v>36</v>
      </c>
      <c r="O226" t="s">
        <v>36</v>
      </c>
      <c r="P226" s="1">
        <v>43857.791666666664</v>
      </c>
      <c r="Q226" t="s">
        <v>36</v>
      </c>
      <c r="R226" t="s">
        <v>36</v>
      </c>
      <c r="S226" t="s">
        <v>36</v>
      </c>
      <c r="T226" s="1">
        <v>43857.791666666664</v>
      </c>
      <c r="U226" t="s">
        <v>36</v>
      </c>
      <c r="V226" t="s">
        <v>36</v>
      </c>
      <c r="W226" t="s">
        <v>36</v>
      </c>
      <c r="X226" t="s">
        <v>36</v>
      </c>
      <c r="Y226" t="s">
        <v>36</v>
      </c>
      <c r="Z226" t="s">
        <v>36</v>
      </c>
      <c r="AA226" t="s">
        <v>36</v>
      </c>
      <c r="AB226" t="s">
        <v>36</v>
      </c>
      <c r="AC226" t="s">
        <v>36</v>
      </c>
      <c r="AD226" t="s">
        <v>36</v>
      </c>
      <c r="AE226" t="s">
        <v>36</v>
      </c>
      <c r="AF226" s="1">
        <v>43857.791666666664</v>
      </c>
      <c r="AG226" t="s">
        <v>36</v>
      </c>
      <c r="AH226" t="s">
        <v>36</v>
      </c>
      <c r="AI226" s="1">
        <v>43857.791666666664</v>
      </c>
      <c r="AJ226" s="1">
        <v>43857.791666666664</v>
      </c>
    </row>
    <row r="227" spans="1:36" x14ac:dyDescent="0.35">
      <c r="A227">
        <v>4414</v>
      </c>
      <c r="B227" t="s">
        <v>1195</v>
      </c>
      <c r="C227" t="s">
        <v>36</v>
      </c>
      <c r="D227" t="s">
        <v>36</v>
      </c>
      <c r="E227" t="s">
        <v>36</v>
      </c>
      <c r="F227" t="s">
        <v>36</v>
      </c>
      <c r="G227" s="1">
        <v>43857.791666666664</v>
      </c>
      <c r="H227" t="s">
        <v>36</v>
      </c>
      <c r="I227" t="s">
        <v>36</v>
      </c>
      <c r="J227" t="s">
        <v>36</v>
      </c>
      <c r="K227" t="s">
        <v>36</v>
      </c>
      <c r="L227" t="s">
        <v>36</v>
      </c>
      <c r="M227" t="s">
        <v>36</v>
      </c>
      <c r="N227" t="s">
        <v>36</v>
      </c>
      <c r="O227" t="s">
        <v>36</v>
      </c>
      <c r="P227" s="1">
        <v>43857.791666666664</v>
      </c>
      <c r="Q227" t="s">
        <v>36</v>
      </c>
      <c r="R227" t="s">
        <v>36</v>
      </c>
      <c r="S227" t="s">
        <v>36</v>
      </c>
      <c r="T227" s="1">
        <v>43857.791666666664</v>
      </c>
      <c r="U227" t="s">
        <v>36</v>
      </c>
      <c r="V227" t="s">
        <v>36</v>
      </c>
      <c r="W227" t="s">
        <v>36</v>
      </c>
      <c r="X227" t="s">
        <v>36</v>
      </c>
      <c r="Y227" t="s">
        <v>36</v>
      </c>
      <c r="Z227" t="s">
        <v>36</v>
      </c>
      <c r="AA227" t="s">
        <v>36</v>
      </c>
      <c r="AB227" t="s">
        <v>36</v>
      </c>
      <c r="AC227" t="s">
        <v>36</v>
      </c>
      <c r="AD227" t="s">
        <v>36</v>
      </c>
      <c r="AE227" t="s">
        <v>36</v>
      </c>
      <c r="AF227" s="1">
        <v>43857.791666666664</v>
      </c>
      <c r="AG227" t="s">
        <v>36</v>
      </c>
      <c r="AH227" t="s">
        <v>36</v>
      </c>
      <c r="AI227" s="1">
        <v>43857.791666666664</v>
      </c>
      <c r="AJ227" s="1">
        <v>43857.791666666664</v>
      </c>
    </row>
    <row r="228" spans="1:36" x14ac:dyDescent="0.35">
      <c r="A228">
        <v>4415</v>
      </c>
      <c r="B228" t="s">
        <v>1196</v>
      </c>
      <c r="C228" t="s">
        <v>36</v>
      </c>
      <c r="D228" t="s">
        <v>36</v>
      </c>
      <c r="E228" t="s">
        <v>36</v>
      </c>
      <c r="F228" t="s">
        <v>36</v>
      </c>
      <c r="G228" s="1">
        <v>43857.791666666664</v>
      </c>
      <c r="H228" t="s">
        <v>36</v>
      </c>
      <c r="I228" t="s">
        <v>36</v>
      </c>
      <c r="J228" t="s">
        <v>36</v>
      </c>
      <c r="K228" t="s">
        <v>36</v>
      </c>
      <c r="L228" t="s">
        <v>36</v>
      </c>
      <c r="M228" t="s">
        <v>36</v>
      </c>
      <c r="N228" t="s">
        <v>36</v>
      </c>
      <c r="O228" t="s">
        <v>36</v>
      </c>
      <c r="P228" s="1">
        <v>43857.791666666664</v>
      </c>
      <c r="Q228" t="s">
        <v>36</v>
      </c>
      <c r="R228" t="s">
        <v>36</v>
      </c>
      <c r="S228" t="s">
        <v>36</v>
      </c>
      <c r="T228" s="1">
        <v>43857.791666666664</v>
      </c>
      <c r="U228" t="s">
        <v>36</v>
      </c>
      <c r="V228" t="s">
        <v>36</v>
      </c>
      <c r="W228" t="s">
        <v>36</v>
      </c>
      <c r="X228" t="s">
        <v>36</v>
      </c>
      <c r="Y228" t="s">
        <v>36</v>
      </c>
      <c r="Z228" t="s">
        <v>36</v>
      </c>
      <c r="AA228" t="s">
        <v>36</v>
      </c>
      <c r="AB228" t="s">
        <v>36</v>
      </c>
      <c r="AC228" t="s">
        <v>36</v>
      </c>
      <c r="AD228" t="s">
        <v>36</v>
      </c>
      <c r="AE228" t="s">
        <v>36</v>
      </c>
      <c r="AF228" s="1">
        <v>43857.791666666664</v>
      </c>
      <c r="AG228" t="s">
        <v>36</v>
      </c>
      <c r="AH228" t="s">
        <v>36</v>
      </c>
      <c r="AI228" s="1">
        <v>43857.791666666664</v>
      </c>
      <c r="AJ228" s="1">
        <v>43857.791666666664</v>
      </c>
    </row>
    <row r="229" spans="1:36" x14ac:dyDescent="0.35">
      <c r="A229">
        <v>102</v>
      </c>
      <c r="B229" t="s">
        <v>110</v>
      </c>
      <c r="C229" t="s">
        <v>36</v>
      </c>
      <c r="D229" t="s">
        <v>36</v>
      </c>
      <c r="E229" t="s">
        <v>36</v>
      </c>
      <c r="F229" t="s">
        <v>36</v>
      </c>
      <c r="G229" t="s">
        <v>36</v>
      </c>
      <c r="H229" t="s">
        <v>36</v>
      </c>
      <c r="I229" t="s">
        <v>36</v>
      </c>
      <c r="J229" t="s">
        <v>36</v>
      </c>
      <c r="K229" t="s">
        <v>36</v>
      </c>
      <c r="L229" t="s">
        <v>36</v>
      </c>
      <c r="M229" t="s">
        <v>36</v>
      </c>
      <c r="N229" s="1">
        <v>42735.993055555555</v>
      </c>
      <c r="O229" t="s">
        <v>36</v>
      </c>
      <c r="P229" t="s">
        <v>36</v>
      </c>
      <c r="Q229" t="s">
        <v>36</v>
      </c>
      <c r="R229" t="s">
        <v>36</v>
      </c>
      <c r="S229" t="s">
        <v>36</v>
      </c>
      <c r="T229" t="s">
        <v>36</v>
      </c>
      <c r="U229" t="s">
        <v>36</v>
      </c>
      <c r="V229" t="s">
        <v>36</v>
      </c>
      <c r="W229" t="s">
        <v>36</v>
      </c>
      <c r="X229" t="s">
        <v>36</v>
      </c>
      <c r="Y229" t="s">
        <v>36</v>
      </c>
      <c r="Z229" t="s">
        <v>36</v>
      </c>
      <c r="AA229" t="s">
        <v>36</v>
      </c>
      <c r="AB229" t="s">
        <v>36</v>
      </c>
      <c r="AC229" t="s">
        <v>36</v>
      </c>
      <c r="AD229" t="s">
        <v>36</v>
      </c>
      <c r="AE229" t="s">
        <v>36</v>
      </c>
      <c r="AF229" t="s">
        <v>36</v>
      </c>
      <c r="AG229" t="s">
        <v>36</v>
      </c>
      <c r="AH229" t="s">
        <v>36</v>
      </c>
      <c r="AI229" t="s">
        <v>36</v>
      </c>
      <c r="AJ229" t="s">
        <v>36</v>
      </c>
    </row>
    <row r="230" spans="1:36" x14ac:dyDescent="0.35">
      <c r="A230">
        <v>3744</v>
      </c>
      <c r="B230" t="s">
        <v>948</v>
      </c>
      <c r="C230" t="s">
        <v>36</v>
      </c>
      <c r="D230" t="s">
        <v>36</v>
      </c>
      <c r="E230" t="s">
        <v>36</v>
      </c>
      <c r="F230" t="s">
        <v>36</v>
      </c>
      <c r="G230" t="s">
        <v>36</v>
      </c>
      <c r="H230" t="s">
        <v>36</v>
      </c>
      <c r="I230" t="s">
        <v>36</v>
      </c>
      <c r="J230" t="s">
        <v>36</v>
      </c>
      <c r="K230" t="s">
        <v>36</v>
      </c>
      <c r="L230" t="s">
        <v>36</v>
      </c>
      <c r="M230" t="s">
        <v>36</v>
      </c>
      <c r="N230" s="1">
        <v>43948.465277777781</v>
      </c>
      <c r="O230" t="s">
        <v>36</v>
      </c>
      <c r="P230" t="s">
        <v>36</v>
      </c>
      <c r="Q230" t="s">
        <v>36</v>
      </c>
      <c r="R230" t="s">
        <v>36</v>
      </c>
      <c r="S230" t="s">
        <v>36</v>
      </c>
      <c r="T230" t="s">
        <v>36</v>
      </c>
      <c r="U230" t="s">
        <v>36</v>
      </c>
      <c r="V230" t="s">
        <v>36</v>
      </c>
      <c r="W230" t="s">
        <v>36</v>
      </c>
      <c r="X230" t="s">
        <v>36</v>
      </c>
      <c r="Y230" t="s">
        <v>36</v>
      </c>
      <c r="Z230" t="s">
        <v>36</v>
      </c>
      <c r="AA230" t="s">
        <v>36</v>
      </c>
      <c r="AB230" t="s">
        <v>36</v>
      </c>
      <c r="AC230" t="s">
        <v>36</v>
      </c>
      <c r="AD230" t="s">
        <v>36</v>
      </c>
      <c r="AE230" t="s">
        <v>36</v>
      </c>
      <c r="AF230" t="s">
        <v>36</v>
      </c>
      <c r="AG230" t="s">
        <v>36</v>
      </c>
      <c r="AH230" t="s">
        <v>36</v>
      </c>
      <c r="AI230" t="s">
        <v>36</v>
      </c>
      <c r="AJ230" t="s">
        <v>36</v>
      </c>
    </row>
    <row r="231" spans="1:36" x14ac:dyDescent="0.35">
      <c r="A231">
        <v>3745</v>
      </c>
      <c r="B231" t="s">
        <v>949</v>
      </c>
      <c r="C231" t="s">
        <v>36</v>
      </c>
      <c r="D231" t="s">
        <v>36</v>
      </c>
      <c r="E231" t="s">
        <v>36</v>
      </c>
      <c r="F231" t="s">
        <v>36</v>
      </c>
      <c r="G231" t="s">
        <v>36</v>
      </c>
      <c r="H231" t="s">
        <v>36</v>
      </c>
      <c r="I231" t="s">
        <v>36</v>
      </c>
      <c r="J231" t="s">
        <v>36</v>
      </c>
      <c r="K231" t="s">
        <v>36</v>
      </c>
      <c r="L231" t="s">
        <v>36</v>
      </c>
      <c r="M231" t="s">
        <v>36</v>
      </c>
      <c r="N231" s="1">
        <v>43948.465277777781</v>
      </c>
      <c r="O231" t="s">
        <v>36</v>
      </c>
      <c r="P231" t="s">
        <v>36</v>
      </c>
      <c r="Q231" t="s">
        <v>36</v>
      </c>
      <c r="R231" t="s">
        <v>36</v>
      </c>
      <c r="S231" t="s">
        <v>36</v>
      </c>
      <c r="T231" t="s">
        <v>36</v>
      </c>
      <c r="U231" t="s">
        <v>36</v>
      </c>
      <c r="V231" t="s">
        <v>36</v>
      </c>
      <c r="W231" t="s">
        <v>36</v>
      </c>
      <c r="X231" t="s">
        <v>36</v>
      </c>
      <c r="Y231" t="s">
        <v>36</v>
      </c>
      <c r="Z231" t="s">
        <v>36</v>
      </c>
      <c r="AA231" t="s">
        <v>36</v>
      </c>
      <c r="AB231" t="s">
        <v>36</v>
      </c>
      <c r="AC231" t="s">
        <v>36</v>
      </c>
      <c r="AD231" t="s">
        <v>36</v>
      </c>
      <c r="AE231" t="s">
        <v>36</v>
      </c>
      <c r="AF231" t="s">
        <v>36</v>
      </c>
      <c r="AG231" t="s">
        <v>36</v>
      </c>
      <c r="AH231" t="s">
        <v>36</v>
      </c>
      <c r="AI231" t="s">
        <v>36</v>
      </c>
      <c r="AJ231" t="s">
        <v>36</v>
      </c>
    </row>
    <row r="232" spans="1:36" x14ac:dyDescent="0.35">
      <c r="A232">
        <v>3746</v>
      </c>
      <c r="B232" t="s">
        <v>950</v>
      </c>
      <c r="C232" t="s">
        <v>36</v>
      </c>
      <c r="D232" t="s">
        <v>36</v>
      </c>
      <c r="E232" t="s">
        <v>36</v>
      </c>
      <c r="F232" t="s">
        <v>36</v>
      </c>
      <c r="G232" t="s">
        <v>36</v>
      </c>
      <c r="H232" t="s">
        <v>36</v>
      </c>
      <c r="I232" t="s">
        <v>36</v>
      </c>
      <c r="J232" t="s">
        <v>36</v>
      </c>
      <c r="K232" t="s">
        <v>36</v>
      </c>
      <c r="L232" t="s">
        <v>36</v>
      </c>
      <c r="M232" t="s">
        <v>36</v>
      </c>
      <c r="N232" t="s">
        <v>36</v>
      </c>
      <c r="O232" t="s">
        <v>36</v>
      </c>
      <c r="P232" t="s">
        <v>36</v>
      </c>
      <c r="Q232" t="s">
        <v>36</v>
      </c>
      <c r="R232" t="s">
        <v>36</v>
      </c>
      <c r="S232" t="s">
        <v>36</v>
      </c>
      <c r="T232" t="s">
        <v>36</v>
      </c>
      <c r="U232" t="s">
        <v>36</v>
      </c>
      <c r="V232" t="s">
        <v>36</v>
      </c>
      <c r="W232" t="s">
        <v>36</v>
      </c>
      <c r="X232" t="s">
        <v>36</v>
      </c>
      <c r="Y232" t="s">
        <v>36</v>
      </c>
      <c r="Z232" t="s">
        <v>36</v>
      </c>
      <c r="AA232" t="s">
        <v>36</v>
      </c>
      <c r="AB232" t="s">
        <v>36</v>
      </c>
      <c r="AC232" t="s">
        <v>36</v>
      </c>
      <c r="AD232" t="s">
        <v>36</v>
      </c>
      <c r="AE232" t="s">
        <v>36</v>
      </c>
      <c r="AF232" t="s">
        <v>36</v>
      </c>
      <c r="AG232" t="s">
        <v>36</v>
      </c>
      <c r="AH232" t="s">
        <v>36</v>
      </c>
      <c r="AI232" t="s">
        <v>36</v>
      </c>
      <c r="AJ232" t="s">
        <v>36</v>
      </c>
    </row>
    <row r="233" spans="1:36" x14ac:dyDescent="0.35">
      <c r="A233">
        <v>180</v>
      </c>
      <c r="B233" t="s">
        <v>135</v>
      </c>
      <c r="C233" t="s">
        <v>36</v>
      </c>
      <c r="D233" s="1">
        <v>42058.680555555555</v>
      </c>
      <c r="E233" t="s">
        <v>36</v>
      </c>
      <c r="F233" t="s">
        <v>36</v>
      </c>
      <c r="G233" t="s">
        <v>36</v>
      </c>
      <c r="H233" t="s">
        <v>36</v>
      </c>
      <c r="I233" t="s">
        <v>36</v>
      </c>
      <c r="J233" t="s">
        <v>36</v>
      </c>
      <c r="K233" t="s">
        <v>36</v>
      </c>
      <c r="L233" t="s">
        <v>36</v>
      </c>
      <c r="M233" t="s">
        <v>36</v>
      </c>
      <c r="N233" s="1">
        <v>42735.993055555555</v>
      </c>
      <c r="O233" s="1">
        <v>42206.583333333336</v>
      </c>
      <c r="P233" t="s">
        <v>36</v>
      </c>
      <c r="Q233" t="s">
        <v>36</v>
      </c>
      <c r="R233" t="s">
        <v>36</v>
      </c>
      <c r="S233" t="s">
        <v>36</v>
      </c>
      <c r="T233" t="s">
        <v>36</v>
      </c>
      <c r="U233" t="s">
        <v>36</v>
      </c>
      <c r="V233" t="s">
        <v>36</v>
      </c>
      <c r="W233" t="s">
        <v>36</v>
      </c>
      <c r="X233" s="1">
        <v>42193.652777777781</v>
      </c>
      <c r="Y233" t="s">
        <v>36</v>
      </c>
      <c r="Z233" t="s">
        <v>36</v>
      </c>
      <c r="AA233" t="s">
        <v>36</v>
      </c>
      <c r="AB233" t="s">
        <v>36</v>
      </c>
      <c r="AC233" t="s">
        <v>36</v>
      </c>
      <c r="AD233" t="s">
        <v>36</v>
      </c>
      <c r="AE233" t="s">
        <v>36</v>
      </c>
      <c r="AF233" t="s">
        <v>36</v>
      </c>
      <c r="AG233" t="s">
        <v>36</v>
      </c>
      <c r="AH233" t="s">
        <v>36</v>
      </c>
      <c r="AI233" t="s">
        <v>36</v>
      </c>
      <c r="AJ233" t="s">
        <v>36</v>
      </c>
    </row>
    <row r="234" spans="1:36" x14ac:dyDescent="0.35">
      <c r="A234">
        <v>3769</v>
      </c>
      <c r="B234" t="s">
        <v>969</v>
      </c>
      <c r="C234" t="s">
        <v>36</v>
      </c>
      <c r="D234" t="s">
        <v>36</v>
      </c>
      <c r="E234" t="s">
        <v>36</v>
      </c>
      <c r="F234" t="s">
        <v>36</v>
      </c>
      <c r="G234" t="s">
        <v>36</v>
      </c>
      <c r="H234" t="s">
        <v>36</v>
      </c>
      <c r="I234" t="s">
        <v>36</v>
      </c>
      <c r="J234" t="s">
        <v>36</v>
      </c>
      <c r="K234" t="s">
        <v>36</v>
      </c>
      <c r="L234" t="s">
        <v>36</v>
      </c>
      <c r="M234" t="s">
        <v>36</v>
      </c>
      <c r="N234" s="1">
        <v>43948.465277777781</v>
      </c>
      <c r="O234" s="1">
        <v>42206.583333333336</v>
      </c>
      <c r="P234" t="s">
        <v>36</v>
      </c>
      <c r="Q234" t="s">
        <v>36</v>
      </c>
      <c r="R234" t="s">
        <v>36</v>
      </c>
      <c r="S234" t="s">
        <v>36</v>
      </c>
      <c r="T234" t="s">
        <v>36</v>
      </c>
      <c r="U234" t="s">
        <v>36</v>
      </c>
      <c r="V234" t="s">
        <v>36</v>
      </c>
      <c r="W234" t="s">
        <v>36</v>
      </c>
      <c r="X234" t="s">
        <v>36</v>
      </c>
      <c r="Y234" t="s">
        <v>36</v>
      </c>
      <c r="Z234" t="s">
        <v>36</v>
      </c>
      <c r="AA234" t="s">
        <v>36</v>
      </c>
      <c r="AB234" t="s">
        <v>36</v>
      </c>
      <c r="AC234" t="s">
        <v>36</v>
      </c>
      <c r="AD234" t="s">
        <v>36</v>
      </c>
      <c r="AE234" t="s">
        <v>36</v>
      </c>
      <c r="AF234" t="s">
        <v>36</v>
      </c>
      <c r="AG234" t="s">
        <v>36</v>
      </c>
      <c r="AH234" t="s">
        <v>36</v>
      </c>
      <c r="AI234" t="s">
        <v>36</v>
      </c>
      <c r="AJ234" t="s">
        <v>36</v>
      </c>
    </row>
    <row r="235" spans="1:36" x14ac:dyDescent="0.35">
      <c r="A235">
        <v>3770</v>
      </c>
      <c r="B235" t="s">
        <v>970</v>
      </c>
      <c r="C235" t="s">
        <v>36</v>
      </c>
      <c r="D235" t="s">
        <v>36</v>
      </c>
      <c r="E235" t="s">
        <v>36</v>
      </c>
      <c r="F235" t="s">
        <v>36</v>
      </c>
      <c r="G235" t="s">
        <v>36</v>
      </c>
      <c r="H235" t="s">
        <v>36</v>
      </c>
      <c r="I235" t="s">
        <v>36</v>
      </c>
      <c r="J235" t="s">
        <v>36</v>
      </c>
      <c r="K235" t="s">
        <v>36</v>
      </c>
      <c r="L235" t="s">
        <v>36</v>
      </c>
      <c r="M235" t="s">
        <v>36</v>
      </c>
      <c r="N235" s="1">
        <v>43948.465277777781</v>
      </c>
      <c r="O235" s="1">
        <v>42206.583333333336</v>
      </c>
      <c r="P235" t="s">
        <v>36</v>
      </c>
      <c r="Q235" t="s">
        <v>36</v>
      </c>
      <c r="R235" t="s">
        <v>36</v>
      </c>
      <c r="S235" t="s">
        <v>36</v>
      </c>
      <c r="T235" t="s">
        <v>36</v>
      </c>
      <c r="U235" t="s">
        <v>36</v>
      </c>
      <c r="V235" t="s">
        <v>36</v>
      </c>
      <c r="W235" t="s">
        <v>36</v>
      </c>
      <c r="X235" t="s">
        <v>36</v>
      </c>
      <c r="Y235" t="s">
        <v>36</v>
      </c>
      <c r="Z235" t="s">
        <v>36</v>
      </c>
      <c r="AA235" t="s">
        <v>36</v>
      </c>
      <c r="AB235" t="s">
        <v>36</v>
      </c>
      <c r="AC235" t="s">
        <v>36</v>
      </c>
      <c r="AD235" t="s">
        <v>36</v>
      </c>
      <c r="AE235" t="s">
        <v>36</v>
      </c>
      <c r="AF235" t="s">
        <v>36</v>
      </c>
      <c r="AG235" t="s">
        <v>36</v>
      </c>
      <c r="AH235" t="s">
        <v>36</v>
      </c>
      <c r="AI235" t="s">
        <v>36</v>
      </c>
      <c r="AJ235" t="s">
        <v>36</v>
      </c>
    </row>
    <row r="236" spans="1:36" x14ac:dyDescent="0.35">
      <c r="A236">
        <v>3771</v>
      </c>
      <c r="B236" t="s">
        <v>971</v>
      </c>
      <c r="C236" t="s">
        <v>36</v>
      </c>
      <c r="D236" t="s">
        <v>36</v>
      </c>
      <c r="E236" t="s">
        <v>36</v>
      </c>
      <c r="F236" t="s">
        <v>36</v>
      </c>
      <c r="G236" t="s">
        <v>36</v>
      </c>
      <c r="H236" t="s">
        <v>36</v>
      </c>
      <c r="I236" t="s">
        <v>36</v>
      </c>
      <c r="J236" t="s">
        <v>36</v>
      </c>
      <c r="K236" t="s">
        <v>36</v>
      </c>
      <c r="L236" t="s">
        <v>36</v>
      </c>
      <c r="M236" t="s">
        <v>36</v>
      </c>
      <c r="N236" t="s">
        <v>36</v>
      </c>
      <c r="O236" t="s">
        <v>36</v>
      </c>
      <c r="P236" t="s">
        <v>36</v>
      </c>
      <c r="Q236" t="s">
        <v>36</v>
      </c>
      <c r="R236" t="s">
        <v>36</v>
      </c>
      <c r="S236" t="s">
        <v>36</v>
      </c>
      <c r="T236" t="s">
        <v>36</v>
      </c>
      <c r="U236" t="s">
        <v>36</v>
      </c>
      <c r="V236" t="s">
        <v>36</v>
      </c>
      <c r="W236" t="s">
        <v>36</v>
      </c>
      <c r="X236" t="s">
        <v>36</v>
      </c>
      <c r="Y236" t="s">
        <v>36</v>
      </c>
      <c r="Z236" t="s">
        <v>36</v>
      </c>
      <c r="AA236" t="s">
        <v>36</v>
      </c>
      <c r="AB236" t="s">
        <v>36</v>
      </c>
      <c r="AC236" t="s">
        <v>36</v>
      </c>
      <c r="AD236" t="s">
        <v>36</v>
      </c>
      <c r="AE236" t="s">
        <v>36</v>
      </c>
      <c r="AF236" t="s">
        <v>36</v>
      </c>
      <c r="AG236" t="s">
        <v>36</v>
      </c>
      <c r="AH236" t="s">
        <v>36</v>
      </c>
      <c r="AI236" t="s">
        <v>36</v>
      </c>
      <c r="AJ236" t="s">
        <v>36</v>
      </c>
    </row>
    <row r="237" spans="1:36" x14ac:dyDescent="0.35">
      <c r="A237">
        <v>181</v>
      </c>
      <c r="B237" t="s">
        <v>136</v>
      </c>
      <c r="C237" t="s">
        <v>36</v>
      </c>
      <c r="D237" s="1">
        <v>42058.680555555555</v>
      </c>
      <c r="E237" t="s">
        <v>36</v>
      </c>
      <c r="F237" t="s">
        <v>36</v>
      </c>
      <c r="G237" t="s">
        <v>36</v>
      </c>
      <c r="H237" t="s">
        <v>36</v>
      </c>
      <c r="I237" t="s">
        <v>36</v>
      </c>
      <c r="J237" t="s">
        <v>36</v>
      </c>
      <c r="K237" t="s">
        <v>36</v>
      </c>
      <c r="L237" t="s">
        <v>36</v>
      </c>
      <c r="M237" t="s">
        <v>36</v>
      </c>
      <c r="N237" s="1">
        <v>42735.993055555555</v>
      </c>
      <c r="O237" s="1">
        <v>42206.583333333336</v>
      </c>
      <c r="P237" t="s">
        <v>36</v>
      </c>
      <c r="Q237" t="s">
        <v>36</v>
      </c>
      <c r="R237" t="s">
        <v>36</v>
      </c>
      <c r="S237" t="s">
        <v>36</v>
      </c>
      <c r="T237" t="s">
        <v>36</v>
      </c>
      <c r="U237" t="s">
        <v>36</v>
      </c>
      <c r="V237" t="s">
        <v>36</v>
      </c>
      <c r="W237" t="s">
        <v>36</v>
      </c>
      <c r="X237" s="1">
        <v>42193.652777777781</v>
      </c>
      <c r="Y237" t="s">
        <v>36</v>
      </c>
      <c r="Z237" t="s">
        <v>36</v>
      </c>
      <c r="AA237" t="s">
        <v>36</v>
      </c>
      <c r="AB237" t="s">
        <v>36</v>
      </c>
      <c r="AC237" t="s">
        <v>36</v>
      </c>
      <c r="AD237" t="s">
        <v>36</v>
      </c>
      <c r="AE237" t="s">
        <v>36</v>
      </c>
      <c r="AF237" t="s">
        <v>36</v>
      </c>
      <c r="AG237" t="s">
        <v>36</v>
      </c>
      <c r="AH237" t="s">
        <v>36</v>
      </c>
      <c r="AI237" t="s">
        <v>36</v>
      </c>
      <c r="AJ237" t="s">
        <v>36</v>
      </c>
    </row>
    <row r="238" spans="1:36" x14ac:dyDescent="0.35">
      <c r="A238">
        <v>3772</v>
      </c>
      <c r="B238" t="s">
        <v>972</v>
      </c>
      <c r="C238" t="s">
        <v>36</v>
      </c>
      <c r="D238" t="s">
        <v>36</v>
      </c>
      <c r="E238" t="s">
        <v>36</v>
      </c>
      <c r="F238" t="s">
        <v>36</v>
      </c>
      <c r="G238" t="s">
        <v>36</v>
      </c>
      <c r="H238" t="s">
        <v>36</v>
      </c>
      <c r="I238" t="s">
        <v>36</v>
      </c>
      <c r="J238" t="s">
        <v>36</v>
      </c>
      <c r="K238" t="s">
        <v>36</v>
      </c>
      <c r="L238" t="s">
        <v>36</v>
      </c>
      <c r="M238" t="s">
        <v>36</v>
      </c>
      <c r="N238" s="1">
        <v>43948.465277777781</v>
      </c>
      <c r="O238" s="1">
        <v>42206.583333333336</v>
      </c>
      <c r="P238" t="s">
        <v>36</v>
      </c>
      <c r="Q238" t="s">
        <v>36</v>
      </c>
      <c r="R238" t="s">
        <v>36</v>
      </c>
      <c r="S238" t="s">
        <v>36</v>
      </c>
      <c r="T238" t="s">
        <v>36</v>
      </c>
      <c r="U238" t="s">
        <v>36</v>
      </c>
      <c r="V238" t="s">
        <v>36</v>
      </c>
      <c r="W238" t="s">
        <v>36</v>
      </c>
      <c r="X238" t="s">
        <v>36</v>
      </c>
      <c r="Y238" t="s">
        <v>36</v>
      </c>
      <c r="Z238" t="s">
        <v>36</v>
      </c>
      <c r="AA238" t="s">
        <v>36</v>
      </c>
      <c r="AB238" t="s">
        <v>36</v>
      </c>
      <c r="AC238" t="s">
        <v>36</v>
      </c>
      <c r="AD238" t="s">
        <v>36</v>
      </c>
      <c r="AE238" t="s">
        <v>36</v>
      </c>
      <c r="AF238" t="s">
        <v>36</v>
      </c>
      <c r="AG238" t="s">
        <v>36</v>
      </c>
      <c r="AH238" t="s">
        <v>36</v>
      </c>
      <c r="AI238" t="s">
        <v>36</v>
      </c>
      <c r="AJ238" t="s">
        <v>36</v>
      </c>
    </row>
    <row r="239" spans="1:36" x14ac:dyDescent="0.35">
      <c r="A239">
        <v>3773</v>
      </c>
      <c r="B239" t="s">
        <v>973</v>
      </c>
      <c r="C239" t="s">
        <v>36</v>
      </c>
      <c r="D239" t="s">
        <v>36</v>
      </c>
      <c r="E239" t="s">
        <v>36</v>
      </c>
      <c r="F239" t="s">
        <v>36</v>
      </c>
      <c r="G239" t="s">
        <v>36</v>
      </c>
      <c r="H239" t="s">
        <v>36</v>
      </c>
      <c r="I239" t="s">
        <v>36</v>
      </c>
      <c r="J239" t="s">
        <v>36</v>
      </c>
      <c r="K239" t="s">
        <v>36</v>
      </c>
      <c r="L239" t="s">
        <v>36</v>
      </c>
      <c r="M239" t="s">
        <v>36</v>
      </c>
      <c r="N239" s="1">
        <v>43948.465277777781</v>
      </c>
      <c r="O239" s="1">
        <v>42206.583333333336</v>
      </c>
      <c r="P239" t="s">
        <v>36</v>
      </c>
      <c r="Q239" t="s">
        <v>36</v>
      </c>
      <c r="R239" t="s">
        <v>36</v>
      </c>
      <c r="S239" t="s">
        <v>36</v>
      </c>
      <c r="T239" t="s">
        <v>36</v>
      </c>
      <c r="U239" t="s">
        <v>36</v>
      </c>
      <c r="V239" t="s">
        <v>36</v>
      </c>
      <c r="W239" t="s">
        <v>36</v>
      </c>
      <c r="X239" t="s">
        <v>36</v>
      </c>
      <c r="Y239" t="s">
        <v>36</v>
      </c>
      <c r="Z239" t="s">
        <v>36</v>
      </c>
      <c r="AA239" t="s">
        <v>36</v>
      </c>
      <c r="AB239" t="s">
        <v>36</v>
      </c>
      <c r="AC239" t="s">
        <v>36</v>
      </c>
      <c r="AD239" t="s">
        <v>36</v>
      </c>
      <c r="AE239" t="s">
        <v>36</v>
      </c>
      <c r="AF239" t="s">
        <v>36</v>
      </c>
      <c r="AG239" t="s">
        <v>36</v>
      </c>
      <c r="AH239" t="s">
        <v>36</v>
      </c>
      <c r="AI239" t="s">
        <v>36</v>
      </c>
      <c r="AJ239" t="s">
        <v>36</v>
      </c>
    </row>
    <row r="240" spans="1:36" x14ac:dyDescent="0.35">
      <c r="A240">
        <v>3774</v>
      </c>
      <c r="B240" t="s">
        <v>974</v>
      </c>
      <c r="C240" t="s">
        <v>36</v>
      </c>
      <c r="D240" t="s">
        <v>36</v>
      </c>
      <c r="E240" t="s">
        <v>36</v>
      </c>
      <c r="F240" t="s">
        <v>36</v>
      </c>
      <c r="G240" t="s">
        <v>36</v>
      </c>
      <c r="H240" t="s">
        <v>36</v>
      </c>
      <c r="I240" t="s">
        <v>36</v>
      </c>
      <c r="J240" t="s">
        <v>36</v>
      </c>
      <c r="K240" t="s">
        <v>36</v>
      </c>
      <c r="L240" t="s">
        <v>36</v>
      </c>
      <c r="M240" t="s">
        <v>36</v>
      </c>
      <c r="N240" t="s">
        <v>36</v>
      </c>
      <c r="O240" t="s">
        <v>36</v>
      </c>
      <c r="P240" t="s">
        <v>36</v>
      </c>
      <c r="Q240" t="s">
        <v>36</v>
      </c>
      <c r="R240" t="s">
        <v>36</v>
      </c>
      <c r="S240" t="s">
        <v>36</v>
      </c>
      <c r="T240" t="s">
        <v>36</v>
      </c>
      <c r="U240" t="s">
        <v>36</v>
      </c>
      <c r="V240" t="s">
        <v>36</v>
      </c>
      <c r="W240" t="s">
        <v>36</v>
      </c>
      <c r="X240" t="s">
        <v>36</v>
      </c>
      <c r="Y240" t="s">
        <v>36</v>
      </c>
      <c r="Z240" t="s">
        <v>36</v>
      </c>
      <c r="AA240" t="s">
        <v>36</v>
      </c>
      <c r="AB240" t="s">
        <v>36</v>
      </c>
      <c r="AC240" t="s">
        <v>36</v>
      </c>
      <c r="AD240" t="s">
        <v>36</v>
      </c>
      <c r="AE240" t="s">
        <v>36</v>
      </c>
      <c r="AF240" t="s">
        <v>36</v>
      </c>
      <c r="AG240" t="s">
        <v>36</v>
      </c>
      <c r="AH240" t="s">
        <v>36</v>
      </c>
      <c r="AI240" t="s">
        <v>36</v>
      </c>
      <c r="AJ240" t="s">
        <v>36</v>
      </c>
    </row>
    <row r="241" spans="1:36" x14ac:dyDescent="0.35">
      <c r="A241">
        <v>182</v>
      </c>
      <c r="B241" t="s">
        <v>137</v>
      </c>
      <c r="C241" t="s">
        <v>36</v>
      </c>
      <c r="D241" s="1">
        <v>42058.680555555555</v>
      </c>
      <c r="E241" t="s">
        <v>36</v>
      </c>
      <c r="F241" t="s">
        <v>36</v>
      </c>
      <c r="G241" t="s">
        <v>36</v>
      </c>
      <c r="H241" t="s">
        <v>36</v>
      </c>
      <c r="I241" t="s">
        <v>36</v>
      </c>
      <c r="J241" t="s">
        <v>36</v>
      </c>
      <c r="K241" t="s">
        <v>36</v>
      </c>
      <c r="L241" t="s">
        <v>36</v>
      </c>
      <c r="M241" t="s">
        <v>36</v>
      </c>
      <c r="N241" s="1">
        <v>42735.993055555555</v>
      </c>
      <c r="O241" s="1">
        <v>42206.583333333336</v>
      </c>
      <c r="P241" t="s">
        <v>36</v>
      </c>
      <c r="Q241" t="s">
        <v>36</v>
      </c>
      <c r="R241" t="s">
        <v>36</v>
      </c>
      <c r="S241" t="s">
        <v>36</v>
      </c>
      <c r="T241" t="s">
        <v>36</v>
      </c>
      <c r="U241" t="s">
        <v>36</v>
      </c>
      <c r="V241" t="s">
        <v>36</v>
      </c>
      <c r="W241" t="s">
        <v>36</v>
      </c>
      <c r="X241" s="1">
        <v>42193.652777777781</v>
      </c>
      <c r="Y241" t="s">
        <v>36</v>
      </c>
      <c r="Z241" t="s">
        <v>36</v>
      </c>
      <c r="AA241" t="s">
        <v>36</v>
      </c>
      <c r="AB241" t="s">
        <v>36</v>
      </c>
      <c r="AC241" t="s">
        <v>36</v>
      </c>
      <c r="AD241" t="s">
        <v>36</v>
      </c>
      <c r="AE241" t="s">
        <v>36</v>
      </c>
      <c r="AF241" t="s">
        <v>36</v>
      </c>
      <c r="AG241" t="s">
        <v>36</v>
      </c>
      <c r="AH241" t="s">
        <v>36</v>
      </c>
      <c r="AI241" t="s">
        <v>36</v>
      </c>
      <c r="AJ241" t="s">
        <v>36</v>
      </c>
    </row>
    <row r="242" spans="1:36" x14ac:dyDescent="0.35">
      <c r="A242">
        <v>3775</v>
      </c>
      <c r="B242" t="s">
        <v>975</v>
      </c>
      <c r="C242" t="s">
        <v>36</v>
      </c>
      <c r="D242" t="s">
        <v>36</v>
      </c>
      <c r="E242" t="s">
        <v>36</v>
      </c>
      <c r="F242" t="s">
        <v>36</v>
      </c>
      <c r="G242" t="s">
        <v>36</v>
      </c>
      <c r="H242" t="s">
        <v>36</v>
      </c>
      <c r="I242" t="s">
        <v>36</v>
      </c>
      <c r="J242" t="s">
        <v>36</v>
      </c>
      <c r="K242" t="s">
        <v>36</v>
      </c>
      <c r="L242" t="s">
        <v>36</v>
      </c>
      <c r="M242" t="s">
        <v>36</v>
      </c>
      <c r="N242" s="1">
        <v>43948.465277777781</v>
      </c>
      <c r="O242" s="1">
        <v>42206.583333333336</v>
      </c>
      <c r="P242" t="s">
        <v>36</v>
      </c>
      <c r="Q242" t="s">
        <v>36</v>
      </c>
      <c r="R242" t="s">
        <v>36</v>
      </c>
      <c r="S242" t="s">
        <v>36</v>
      </c>
      <c r="T242" t="s">
        <v>36</v>
      </c>
      <c r="U242" t="s">
        <v>36</v>
      </c>
      <c r="V242" t="s">
        <v>36</v>
      </c>
      <c r="W242" t="s">
        <v>36</v>
      </c>
      <c r="X242" t="s">
        <v>36</v>
      </c>
      <c r="Y242" t="s">
        <v>36</v>
      </c>
      <c r="Z242" t="s">
        <v>36</v>
      </c>
      <c r="AA242" t="s">
        <v>36</v>
      </c>
      <c r="AB242" t="s">
        <v>36</v>
      </c>
      <c r="AC242" t="s">
        <v>36</v>
      </c>
      <c r="AD242" t="s">
        <v>36</v>
      </c>
      <c r="AE242" t="s">
        <v>36</v>
      </c>
      <c r="AF242" t="s">
        <v>36</v>
      </c>
      <c r="AG242" t="s">
        <v>36</v>
      </c>
      <c r="AH242" t="s">
        <v>36</v>
      </c>
      <c r="AI242" t="s">
        <v>36</v>
      </c>
      <c r="AJ242" t="s">
        <v>36</v>
      </c>
    </row>
    <row r="243" spans="1:36" x14ac:dyDescent="0.35">
      <c r="A243">
        <v>3776</v>
      </c>
      <c r="B243" t="s">
        <v>976</v>
      </c>
      <c r="C243" t="s">
        <v>36</v>
      </c>
      <c r="D243" t="s">
        <v>36</v>
      </c>
      <c r="E243" t="s">
        <v>36</v>
      </c>
      <c r="F243" t="s">
        <v>36</v>
      </c>
      <c r="G243" t="s">
        <v>36</v>
      </c>
      <c r="H243" t="s">
        <v>36</v>
      </c>
      <c r="I243" t="s">
        <v>36</v>
      </c>
      <c r="J243" t="s">
        <v>36</v>
      </c>
      <c r="K243" t="s">
        <v>36</v>
      </c>
      <c r="L243" t="s">
        <v>36</v>
      </c>
      <c r="M243" t="s">
        <v>36</v>
      </c>
      <c r="N243" s="1">
        <v>43948.465277777781</v>
      </c>
      <c r="O243" s="1">
        <v>42206.583333333336</v>
      </c>
      <c r="P243" t="s">
        <v>36</v>
      </c>
      <c r="Q243" t="s">
        <v>36</v>
      </c>
      <c r="R243" t="s">
        <v>36</v>
      </c>
      <c r="S243" t="s">
        <v>36</v>
      </c>
      <c r="T243" t="s">
        <v>36</v>
      </c>
      <c r="U243" t="s">
        <v>36</v>
      </c>
      <c r="V243" t="s">
        <v>36</v>
      </c>
      <c r="W243" t="s">
        <v>36</v>
      </c>
      <c r="X243" t="s">
        <v>36</v>
      </c>
      <c r="Y243" t="s">
        <v>36</v>
      </c>
      <c r="Z243" t="s">
        <v>36</v>
      </c>
      <c r="AA243" t="s">
        <v>36</v>
      </c>
      <c r="AB243" t="s">
        <v>36</v>
      </c>
      <c r="AC243" t="s">
        <v>36</v>
      </c>
      <c r="AD243" t="s">
        <v>36</v>
      </c>
      <c r="AE243" t="s">
        <v>36</v>
      </c>
      <c r="AF243" t="s">
        <v>36</v>
      </c>
      <c r="AG243" t="s">
        <v>36</v>
      </c>
      <c r="AH243" t="s">
        <v>36</v>
      </c>
      <c r="AI243" t="s">
        <v>36</v>
      </c>
      <c r="AJ243" t="s">
        <v>36</v>
      </c>
    </row>
    <row r="244" spans="1:36" x14ac:dyDescent="0.35">
      <c r="A244">
        <v>3777</v>
      </c>
      <c r="B244" t="s">
        <v>977</v>
      </c>
      <c r="C244" t="s">
        <v>36</v>
      </c>
      <c r="D244" t="s">
        <v>36</v>
      </c>
      <c r="E244" t="s">
        <v>36</v>
      </c>
      <c r="F244" t="s">
        <v>36</v>
      </c>
      <c r="G244" t="s">
        <v>36</v>
      </c>
      <c r="H244" t="s">
        <v>36</v>
      </c>
      <c r="I244" t="s">
        <v>36</v>
      </c>
      <c r="J244" t="s">
        <v>36</v>
      </c>
      <c r="K244" t="s">
        <v>36</v>
      </c>
      <c r="L244" t="s">
        <v>36</v>
      </c>
      <c r="M244" t="s">
        <v>36</v>
      </c>
      <c r="N244" t="s">
        <v>36</v>
      </c>
      <c r="O244" t="s">
        <v>36</v>
      </c>
      <c r="P244" t="s">
        <v>36</v>
      </c>
      <c r="Q244" t="s">
        <v>36</v>
      </c>
      <c r="R244" t="s">
        <v>36</v>
      </c>
      <c r="S244" t="s">
        <v>36</v>
      </c>
      <c r="T244" t="s">
        <v>36</v>
      </c>
      <c r="U244" t="s">
        <v>36</v>
      </c>
      <c r="V244" t="s">
        <v>36</v>
      </c>
      <c r="W244" t="s">
        <v>36</v>
      </c>
      <c r="X244" t="s">
        <v>36</v>
      </c>
      <c r="Y244" t="s">
        <v>36</v>
      </c>
      <c r="Z244" t="s">
        <v>36</v>
      </c>
      <c r="AA244" t="s">
        <v>36</v>
      </c>
      <c r="AB244" t="s">
        <v>36</v>
      </c>
      <c r="AC244" t="s">
        <v>36</v>
      </c>
      <c r="AD244" t="s">
        <v>36</v>
      </c>
      <c r="AE244" t="s">
        <v>36</v>
      </c>
      <c r="AF244" t="s">
        <v>36</v>
      </c>
      <c r="AG244" t="s">
        <v>36</v>
      </c>
      <c r="AH244" t="s">
        <v>36</v>
      </c>
      <c r="AI244" t="s">
        <v>36</v>
      </c>
      <c r="AJ244" t="s">
        <v>36</v>
      </c>
    </row>
    <row r="245" spans="1:36" x14ac:dyDescent="0.35">
      <c r="A245">
        <v>86</v>
      </c>
      <c r="B245" t="s">
        <v>99</v>
      </c>
      <c r="C245" s="1">
        <v>42528.291666666664</v>
      </c>
      <c r="D245" s="1">
        <v>42058.680555555555</v>
      </c>
      <c r="E245" s="1">
        <v>39245.465277777781</v>
      </c>
      <c r="F245" s="1">
        <v>42735.993055555555</v>
      </c>
      <c r="G245" s="1">
        <v>41426</v>
      </c>
      <c r="H245" s="1">
        <v>43059.576388888891</v>
      </c>
      <c r="I245" s="1">
        <v>38757.354166666664</v>
      </c>
      <c r="J245" s="1">
        <v>39631.4375</v>
      </c>
      <c r="K245" s="1">
        <v>42528.291666666664</v>
      </c>
      <c r="L245" s="1">
        <v>42058.680555555555</v>
      </c>
      <c r="M245" s="1">
        <v>43009</v>
      </c>
      <c r="N245" s="1">
        <v>42735.993055555555</v>
      </c>
      <c r="O245" s="1">
        <v>42206.583333333336</v>
      </c>
      <c r="P245" s="1">
        <v>43059.576388888891</v>
      </c>
      <c r="Q245" t="s">
        <v>36</v>
      </c>
      <c r="R245" t="s">
        <v>36</v>
      </c>
      <c r="S245" s="1">
        <v>42735.993055555555</v>
      </c>
      <c r="T245" s="1">
        <v>42528.291666666664</v>
      </c>
      <c r="U245" s="1">
        <v>43054.631944444445</v>
      </c>
      <c r="V245" s="1">
        <v>42473.520833333336</v>
      </c>
      <c r="W245" s="1">
        <v>42735.993055555555</v>
      </c>
      <c r="X245" s="1">
        <v>42193.652777777781</v>
      </c>
      <c r="Y245" s="1">
        <v>43394</v>
      </c>
      <c r="Z245" s="1">
        <v>42648.465277777781</v>
      </c>
      <c r="AA245" s="1">
        <v>43054.611111111109</v>
      </c>
      <c r="AB245" s="1">
        <v>41225.597222222219</v>
      </c>
      <c r="AC245" s="1">
        <v>42485.743055555555</v>
      </c>
      <c r="AD245" s="1">
        <v>43009</v>
      </c>
      <c r="AE245" t="s">
        <v>36</v>
      </c>
      <c r="AF245" s="1">
        <v>42058.680555555555</v>
      </c>
      <c r="AG245" s="32">
        <v>43040</v>
      </c>
      <c r="AH245" s="1">
        <v>42735.993055555555</v>
      </c>
      <c r="AI245" s="1">
        <v>41426</v>
      </c>
      <c r="AJ245" s="1">
        <v>43059.576388888891</v>
      </c>
    </row>
    <row r="246" spans="1:36" x14ac:dyDescent="0.35">
      <c r="A246">
        <v>930</v>
      </c>
      <c r="B246" t="s">
        <v>298</v>
      </c>
      <c r="C246" s="1">
        <v>42713.375</v>
      </c>
      <c r="D246" s="1">
        <v>42087</v>
      </c>
      <c r="E246" s="1">
        <v>43526.347222222219</v>
      </c>
      <c r="F246" s="1">
        <v>43526.319444444445</v>
      </c>
      <c r="G246" s="1">
        <v>43530</v>
      </c>
      <c r="H246" s="1">
        <v>43626.604166666664</v>
      </c>
      <c r="I246" s="1">
        <v>38757.354166666664</v>
      </c>
      <c r="J246" s="1">
        <v>39631.4375</v>
      </c>
      <c r="K246" s="1">
        <v>42692.493055555555</v>
      </c>
      <c r="L246" s="1">
        <v>42058.680555555555</v>
      </c>
      <c r="M246" s="1">
        <v>43348.625</v>
      </c>
      <c r="N246" s="1">
        <v>42735.993055555555</v>
      </c>
      <c r="O246" s="1">
        <v>42206.583333333336</v>
      </c>
      <c r="P246" s="1">
        <v>43559</v>
      </c>
      <c r="Q246" t="s">
        <v>36</v>
      </c>
      <c r="R246" t="s">
        <v>36</v>
      </c>
      <c r="S246" s="1">
        <v>43467.236111111109</v>
      </c>
      <c r="T246" s="1">
        <v>43557</v>
      </c>
      <c r="U246" s="1">
        <v>43618.270833333336</v>
      </c>
      <c r="V246" s="1">
        <v>42719.638888888891</v>
      </c>
      <c r="W246" s="1">
        <v>42735.993055555555</v>
      </c>
      <c r="X246" s="1">
        <v>42193.652777777781</v>
      </c>
      <c r="Y246" t="s">
        <v>36</v>
      </c>
      <c r="Z246" s="1">
        <v>42713.590277777781</v>
      </c>
      <c r="AA246" s="1">
        <v>43618.263888888891</v>
      </c>
      <c r="AB246" s="1">
        <v>42692.5</v>
      </c>
      <c r="AC246" s="1">
        <v>42692.5</v>
      </c>
      <c r="AD246" s="1">
        <v>43009</v>
      </c>
      <c r="AE246" t="s">
        <v>36</v>
      </c>
      <c r="AF246" s="1">
        <v>43529</v>
      </c>
      <c r="AG246" t="s">
        <v>36</v>
      </c>
      <c r="AH246" s="1">
        <v>43556.604166666664</v>
      </c>
      <c r="AI246" s="1">
        <v>43530</v>
      </c>
      <c r="AJ246" s="1">
        <v>43528</v>
      </c>
    </row>
    <row r="247" spans="1:36" x14ac:dyDescent="0.35">
      <c r="A247">
        <v>931</v>
      </c>
      <c r="B247" t="s">
        <v>299</v>
      </c>
      <c r="C247" s="1">
        <v>42713.375</v>
      </c>
      <c r="D247" s="1">
        <v>42087</v>
      </c>
      <c r="E247" s="1">
        <v>43526.347222222219</v>
      </c>
      <c r="F247" s="1">
        <v>43526.319444444445</v>
      </c>
      <c r="G247" s="1">
        <v>43530</v>
      </c>
      <c r="H247" s="1">
        <v>43626.604166666664</v>
      </c>
      <c r="I247" s="1">
        <v>38757.354166666664</v>
      </c>
      <c r="J247" s="1">
        <v>39631.4375</v>
      </c>
      <c r="K247" s="1">
        <v>42692.493055555555</v>
      </c>
      <c r="L247" s="1">
        <v>42058.680555555555</v>
      </c>
      <c r="M247" s="1">
        <v>43348.625</v>
      </c>
      <c r="N247" s="1">
        <v>42735.993055555555</v>
      </c>
      <c r="O247" s="1">
        <v>42206.583333333336</v>
      </c>
      <c r="P247" s="1">
        <v>43557</v>
      </c>
      <c r="Q247" t="s">
        <v>36</v>
      </c>
      <c r="R247" t="s">
        <v>36</v>
      </c>
      <c r="S247" s="1">
        <v>43467.236111111109</v>
      </c>
      <c r="T247" s="1">
        <v>43557</v>
      </c>
      <c r="U247" s="1">
        <v>43618.270833333336</v>
      </c>
      <c r="V247" s="1">
        <v>42719.638888888891</v>
      </c>
      <c r="W247" s="1">
        <v>42735.993055555555</v>
      </c>
      <c r="X247" s="1">
        <v>42193.652777777781</v>
      </c>
      <c r="Y247" t="s">
        <v>36</v>
      </c>
      <c r="Z247" s="1">
        <v>42713.590277777781</v>
      </c>
      <c r="AA247" s="1">
        <v>43618.263888888891</v>
      </c>
      <c r="AB247" s="1">
        <v>42692.5</v>
      </c>
      <c r="AC247" s="1">
        <v>42692.5</v>
      </c>
      <c r="AD247" s="1">
        <v>43009</v>
      </c>
      <c r="AE247" t="s">
        <v>36</v>
      </c>
      <c r="AF247" s="1">
        <v>43529</v>
      </c>
      <c r="AG247" t="s">
        <v>36</v>
      </c>
      <c r="AH247" s="1">
        <v>43556.604166666664</v>
      </c>
      <c r="AI247" s="1">
        <v>43530</v>
      </c>
      <c r="AJ247" s="1">
        <v>43528</v>
      </c>
    </row>
    <row r="248" spans="1:36" x14ac:dyDescent="0.35">
      <c r="A248">
        <v>932</v>
      </c>
      <c r="B248" t="s">
        <v>300</v>
      </c>
      <c r="C248" s="1">
        <v>42713.375</v>
      </c>
      <c r="D248" s="1">
        <v>42087</v>
      </c>
      <c r="E248" s="1">
        <v>43526.347222222219</v>
      </c>
      <c r="F248" s="1">
        <v>43526.319444444445</v>
      </c>
      <c r="G248" s="1">
        <v>43530</v>
      </c>
      <c r="H248" s="1">
        <v>43626.604166666664</v>
      </c>
      <c r="I248" s="1">
        <v>38757.354166666664</v>
      </c>
      <c r="J248" s="1">
        <v>39631.4375</v>
      </c>
      <c r="K248" s="1">
        <v>42692.493055555555</v>
      </c>
      <c r="L248" s="1">
        <v>42058.680555555555</v>
      </c>
      <c r="M248" s="1">
        <v>43348.625</v>
      </c>
      <c r="N248" s="1">
        <v>42735.993055555555</v>
      </c>
      <c r="O248" s="1">
        <v>42206.583333333336</v>
      </c>
      <c r="P248" s="1">
        <v>43557</v>
      </c>
      <c r="Q248" t="s">
        <v>36</v>
      </c>
      <c r="R248" t="s">
        <v>36</v>
      </c>
      <c r="S248" s="1">
        <v>43467.236111111109</v>
      </c>
      <c r="T248" s="1">
        <v>43557</v>
      </c>
      <c r="U248" s="1">
        <v>43618.270833333336</v>
      </c>
      <c r="V248" s="1">
        <v>42719.638888888891</v>
      </c>
      <c r="W248" s="1">
        <v>42735.993055555555</v>
      </c>
      <c r="X248" s="1">
        <v>42193.652777777781</v>
      </c>
      <c r="Y248" t="s">
        <v>36</v>
      </c>
      <c r="Z248" s="1">
        <v>42713.590277777781</v>
      </c>
      <c r="AA248" s="1">
        <v>43618.263888888891</v>
      </c>
      <c r="AB248" s="1">
        <v>42692.5</v>
      </c>
      <c r="AC248" s="1">
        <v>42692.5</v>
      </c>
      <c r="AD248" s="1">
        <v>43009</v>
      </c>
      <c r="AE248" t="s">
        <v>36</v>
      </c>
      <c r="AF248" s="1">
        <v>43529</v>
      </c>
      <c r="AG248" t="s">
        <v>36</v>
      </c>
      <c r="AH248" s="1">
        <v>43556.604166666664</v>
      </c>
      <c r="AI248" s="1">
        <v>43530</v>
      </c>
      <c r="AJ248" s="1">
        <v>43528</v>
      </c>
    </row>
    <row r="249" spans="1:36" x14ac:dyDescent="0.35">
      <c r="A249">
        <v>183</v>
      </c>
      <c r="B249" t="s">
        <v>138</v>
      </c>
      <c r="C249" t="s">
        <v>36</v>
      </c>
      <c r="D249" s="1">
        <v>42058.680555555555</v>
      </c>
      <c r="E249" t="s">
        <v>36</v>
      </c>
      <c r="F249" t="s">
        <v>36</v>
      </c>
      <c r="G249" t="s">
        <v>36</v>
      </c>
      <c r="H249" t="s">
        <v>36</v>
      </c>
      <c r="I249" t="s">
        <v>36</v>
      </c>
      <c r="J249" t="s">
        <v>36</v>
      </c>
      <c r="K249" t="s">
        <v>36</v>
      </c>
      <c r="L249" t="s">
        <v>36</v>
      </c>
      <c r="M249" t="s">
        <v>36</v>
      </c>
      <c r="N249" s="1">
        <v>42735.993055555555</v>
      </c>
      <c r="O249" s="1">
        <v>42206.583333333336</v>
      </c>
      <c r="P249" t="s">
        <v>36</v>
      </c>
      <c r="Q249" t="s">
        <v>36</v>
      </c>
      <c r="R249" t="s">
        <v>36</v>
      </c>
      <c r="S249" t="s">
        <v>36</v>
      </c>
      <c r="T249" t="s">
        <v>36</v>
      </c>
      <c r="U249" t="s">
        <v>36</v>
      </c>
      <c r="V249" t="s">
        <v>36</v>
      </c>
      <c r="W249" t="s">
        <v>36</v>
      </c>
      <c r="X249" s="1">
        <v>42193.652777777781</v>
      </c>
      <c r="Y249" t="s">
        <v>36</v>
      </c>
      <c r="Z249" t="s">
        <v>36</v>
      </c>
      <c r="AA249" t="s">
        <v>36</v>
      </c>
      <c r="AB249" t="s">
        <v>36</v>
      </c>
      <c r="AC249" t="s">
        <v>36</v>
      </c>
      <c r="AD249" t="s">
        <v>36</v>
      </c>
      <c r="AE249" t="s">
        <v>36</v>
      </c>
      <c r="AF249" t="s">
        <v>36</v>
      </c>
      <c r="AG249" t="s">
        <v>36</v>
      </c>
      <c r="AH249" t="s">
        <v>36</v>
      </c>
      <c r="AI249" t="s">
        <v>36</v>
      </c>
      <c r="AJ249" t="s">
        <v>36</v>
      </c>
    </row>
    <row r="250" spans="1:36" x14ac:dyDescent="0.35">
      <c r="A250">
        <v>811</v>
      </c>
      <c r="B250" t="s">
        <v>272</v>
      </c>
      <c r="C250" t="s">
        <v>36</v>
      </c>
      <c r="D250" t="s">
        <v>36</v>
      </c>
      <c r="E250" s="1">
        <v>39245.465277777781</v>
      </c>
      <c r="F250" s="1">
        <v>43008.993055555555</v>
      </c>
      <c r="G250" t="s">
        <v>36</v>
      </c>
      <c r="H250" s="1">
        <v>43059.576388888891</v>
      </c>
      <c r="I250" s="1">
        <v>38757.354166666664</v>
      </c>
      <c r="J250" t="s">
        <v>36</v>
      </c>
      <c r="K250" t="s">
        <v>36</v>
      </c>
      <c r="L250" t="s">
        <v>36</v>
      </c>
      <c r="M250" t="s">
        <v>36</v>
      </c>
      <c r="N250" t="s">
        <v>36</v>
      </c>
      <c r="O250" t="s">
        <v>36</v>
      </c>
      <c r="P250" t="s">
        <v>36</v>
      </c>
      <c r="Q250" t="s">
        <v>36</v>
      </c>
      <c r="R250" s="1">
        <v>43329.319444444445</v>
      </c>
      <c r="S250" s="1">
        <v>42735.993055555555</v>
      </c>
      <c r="T250" t="s">
        <v>36</v>
      </c>
      <c r="U250" s="1">
        <v>43054.631944444445</v>
      </c>
      <c r="V250" t="s">
        <v>36</v>
      </c>
      <c r="W250" t="s">
        <v>36</v>
      </c>
      <c r="X250" t="s">
        <v>36</v>
      </c>
      <c r="Y250" s="1">
        <v>43394</v>
      </c>
      <c r="Z250" t="s">
        <v>36</v>
      </c>
      <c r="AA250" s="1">
        <v>43054.611111111109</v>
      </c>
      <c r="AB250" s="1">
        <v>41225.597222222219</v>
      </c>
      <c r="AC250" t="s">
        <v>36</v>
      </c>
      <c r="AD250" t="s">
        <v>36</v>
      </c>
      <c r="AE250" t="s">
        <v>36</v>
      </c>
      <c r="AF250" t="s">
        <v>36</v>
      </c>
      <c r="AG250" t="s">
        <v>36</v>
      </c>
      <c r="AH250" s="1">
        <v>42735.993055555555</v>
      </c>
      <c r="AI250" t="s">
        <v>36</v>
      </c>
      <c r="AJ250" t="s">
        <v>36</v>
      </c>
    </row>
    <row r="251" spans="1:36" x14ac:dyDescent="0.35">
      <c r="A251">
        <v>95</v>
      </c>
      <c r="B251" t="s">
        <v>106</v>
      </c>
      <c r="C251" t="s">
        <v>36</v>
      </c>
      <c r="D251" t="s">
        <v>36</v>
      </c>
      <c r="E251" t="s">
        <v>36</v>
      </c>
      <c r="F251" t="s">
        <v>36</v>
      </c>
      <c r="G251" s="1">
        <v>42482.388888888891</v>
      </c>
      <c r="H251" t="s">
        <v>36</v>
      </c>
      <c r="I251" t="s">
        <v>36</v>
      </c>
      <c r="J251" t="s">
        <v>36</v>
      </c>
      <c r="K251" t="s">
        <v>36</v>
      </c>
      <c r="L251" t="s">
        <v>36</v>
      </c>
      <c r="M251" t="s">
        <v>36</v>
      </c>
      <c r="N251" t="s">
        <v>36</v>
      </c>
      <c r="O251" t="s">
        <v>36</v>
      </c>
      <c r="P251" s="1">
        <v>43059.576388888891</v>
      </c>
      <c r="Q251" t="s">
        <v>36</v>
      </c>
      <c r="R251" t="s">
        <v>36</v>
      </c>
      <c r="S251" t="s">
        <v>36</v>
      </c>
      <c r="T251" s="1">
        <v>42555.659722222219</v>
      </c>
      <c r="U251" t="s">
        <v>36</v>
      </c>
      <c r="V251" t="s">
        <v>36</v>
      </c>
      <c r="W251" t="s">
        <v>36</v>
      </c>
      <c r="X251" t="s">
        <v>36</v>
      </c>
      <c r="Y251" t="s">
        <v>36</v>
      </c>
      <c r="Z251" t="s">
        <v>36</v>
      </c>
      <c r="AA251" t="s">
        <v>36</v>
      </c>
      <c r="AB251" t="s">
        <v>36</v>
      </c>
      <c r="AC251" t="s">
        <v>36</v>
      </c>
      <c r="AD251" t="s">
        <v>36</v>
      </c>
      <c r="AE251" t="s">
        <v>36</v>
      </c>
      <c r="AF251" s="1">
        <v>42492.493055555555</v>
      </c>
      <c r="AG251" t="s">
        <v>36</v>
      </c>
      <c r="AH251" t="s">
        <v>36</v>
      </c>
      <c r="AI251" s="1">
        <v>42492.895833333336</v>
      </c>
      <c r="AJ251" s="1">
        <v>43059.576388888891</v>
      </c>
    </row>
    <row r="252" spans="1:36" x14ac:dyDescent="0.35">
      <c r="A252">
        <v>4366</v>
      </c>
      <c r="B252" t="s">
        <v>1149</v>
      </c>
      <c r="C252" t="s">
        <v>36</v>
      </c>
      <c r="D252" t="s">
        <v>36</v>
      </c>
      <c r="E252" t="s">
        <v>36</v>
      </c>
      <c r="F252" t="s">
        <v>36</v>
      </c>
      <c r="G252" s="1">
        <v>43856.520833333336</v>
      </c>
      <c r="H252" t="s">
        <v>36</v>
      </c>
      <c r="I252" t="s">
        <v>36</v>
      </c>
      <c r="J252" t="s">
        <v>36</v>
      </c>
      <c r="K252" t="s">
        <v>36</v>
      </c>
      <c r="L252" t="s">
        <v>36</v>
      </c>
      <c r="M252" t="s">
        <v>36</v>
      </c>
      <c r="N252" t="s">
        <v>36</v>
      </c>
      <c r="O252" t="s">
        <v>36</v>
      </c>
      <c r="P252" s="1">
        <v>43856.520833333336</v>
      </c>
      <c r="Q252" t="s">
        <v>36</v>
      </c>
      <c r="R252" t="s">
        <v>36</v>
      </c>
      <c r="S252" t="s">
        <v>36</v>
      </c>
      <c r="T252" s="1">
        <v>43856.520833333336</v>
      </c>
      <c r="U252" t="s">
        <v>36</v>
      </c>
      <c r="V252" t="s">
        <v>36</v>
      </c>
      <c r="W252" t="s">
        <v>36</v>
      </c>
      <c r="X252" t="s">
        <v>36</v>
      </c>
      <c r="Y252" t="s">
        <v>36</v>
      </c>
      <c r="Z252" t="s">
        <v>36</v>
      </c>
      <c r="AA252" t="s">
        <v>36</v>
      </c>
      <c r="AB252" t="s">
        <v>36</v>
      </c>
      <c r="AC252" t="s">
        <v>36</v>
      </c>
      <c r="AD252" t="s">
        <v>36</v>
      </c>
      <c r="AE252" t="s">
        <v>36</v>
      </c>
      <c r="AF252" s="1">
        <v>43856.520833333336</v>
      </c>
      <c r="AG252" t="s">
        <v>36</v>
      </c>
      <c r="AH252" t="s">
        <v>36</v>
      </c>
      <c r="AI252" s="1">
        <v>43856.520833333336</v>
      </c>
      <c r="AJ252" s="1">
        <v>43856.520833333336</v>
      </c>
    </row>
    <row r="253" spans="1:36" x14ac:dyDescent="0.35">
      <c r="A253">
        <v>4367</v>
      </c>
      <c r="B253" t="s">
        <v>1150</v>
      </c>
      <c r="C253" t="s">
        <v>36</v>
      </c>
      <c r="D253" t="s">
        <v>36</v>
      </c>
      <c r="E253" t="s">
        <v>36</v>
      </c>
      <c r="F253" t="s">
        <v>36</v>
      </c>
      <c r="G253" s="1">
        <v>43856.520833333336</v>
      </c>
      <c r="H253" t="s">
        <v>36</v>
      </c>
      <c r="I253" t="s">
        <v>36</v>
      </c>
      <c r="J253" t="s">
        <v>36</v>
      </c>
      <c r="K253" t="s">
        <v>36</v>
      </c>
      <c r="L253" t="s">
        <v>36</v>
      </c>
      <c r="M253" t="s">
        <v>36</v>
      </c>
      <c r="N253" t="s">
        <v>36</v>
      </c>
      <c r="O253" t="s">
        <v>36</v>
      </c>
      <c r="P253" s="1">
        <v>43856.520833333336</v>
      </c>
      <c r="Q253" t="s">
        <v>36</v>
      </c>
      <c r="R253" t="s">
        <v>36</v>
      </c>
      <c r="S253" t="s">
        <v>36</v>
      </c>
      <c r="T253" s="1">
        <v>43856.520833333336</v>
      </c>
      <c r="U253" t="s">
        <v>36</v>
      </c>
      <c r="V253" t="s">
        <v>36</v>
      </c>
      <c r="W253" t="s">
        <v>36</v>
      </c>
      <c r="X253" t="s">
        <v>36</v>
      </c>
      <c r="Y253" t="s">
        <v>36</v>
      </c>
      <c r="Z253" t="s">
        <v>36</v>
      </c>
      <c r="AA253" t="s">
        <v>36</v>
      </c>
      <c r="AB253" t="s">
        <v>36</v>
      </c>
      <c r="AC253" t="s">
        <v>36</v>
      </c>
      <c r="AD253" t="s">
        <v>36</v>
      </c>
      <c r="AE253" t="s">
        <v>36</v>
      </c>
      <c r="AF253" s="1">
        <v>43856.520833333336</v>
      </c>
      <c r="AG253" t="s">
        <v>36</v>
      </c>
      <c r="AH253" t="s">
        <v>36</v>
      </c>
      <c r="AI253" s="1">
        <v>43856.520833333336</v>
      </c>
      <c r="AJ253" s="1">
        <v>43856.520833333336</v>
      </c>
    </row>
    <row r="254" spans="1:36" x14ac:dyDescent="0.35">
      <c r="A254">
        <v>4368</v>
      </c>
      <c r="B254" t="s">
        <v>1151</v>
      </c>
      <c r="C254" t="s">
        <v>36</v>
      </c>
      <c r="D254" t="s">
        <v>36</v>
      </c>
      <c r="E254" t="s">
        <v>36</v>
      </c>
      <c r="F254" t="s">
        <v>36</v>
      </c>
      <c r="G254" s="1">
        <v>43856.520833333336</v>
      </c>
      <c r="H254" t="s">
        <v>36</v>
      </c>
      <c r="I254" t="s">
        <v>36</v>
      </c>
      <c r="J254" t="s">
        <v>36</v>
      </c>
      <c r="K254" t="s">
        <v>36</v>
      </c>
      <c r="L254" t="s">
        <v>36</v>
      </c>
      <c r="M254" t="s">
        <v>36</v>
      </c>
      <c r="N254" t="s">
        <v>36</v>
      </c>
      <c r="O254" t="s">
        <v>36</v>
      </c>
      <c r="P254" s="1">
        <v>43856.520833333336</v>
      </c>
      <c r="Q254" t="s">
        <v>36</v>
      </c>
      <c r="R254" t="s">
        <v>36</v>
      </c>
      <c r="S254" t="s">
        <v>36</v>
      </c>
      <c r="T254" s="1">
        <v>43856.520833333336</v>
      </c>
      <c r="U254" t="s">
        <v>36</v>
      </c>
      <c r="V254" t="s">
        <v>36</v>
      </c>
      <c r="W254" t="s">
        <v>36</v>
      </c>
      <c r="X254" t="s">
        <v>36</v>
      </c>
      <c r="Y254" t="s">
        <v>36</v>
      </c>
      <c r="Z254" t="s">
        <v>36</v>
      </c>
      <c r="AA254" t="s">
        <v>36</v>
      </c>
      <c r="AB254" t="s">
        <v>36</v>
      </c>
      <c r="AC254" t="s">
        <v>36</v>
      </c>
      <c r="AD254" t="s">
        <v>36</v>
      </c>
      <c r="AE254" t="s">
        <v>36</v>
      </c>
      <c r="AF254" s="1">
        <v>43856.520833333336</v>
      </c>
      <c r="AG254" t="s">
        <v>36</v>
      </c>
      <c r="AH254" t="s">
        <v>36</v>
      </c>
      <c r="AI254" s="1">
        <v>43856.520833333336</v>
      </c>
      <c r="AJ254" s="1">
        <v>43856.520833333336</v>
      </c>
    </row>
    <row r="255" spans="1:36" x14ac:dyDescent="0.35">
      <c r="A255">
        <v>96</v>
      </c>
      <c r="B255" t="s">
        <v>107</v>
      </c>
      <c r="C255" t="s">
        <v>36</v>
      </c>
      <c r="D255" t="s">
        <v>36</v>
      </c>
      <c r="E255" t="s">
        <v>36</v>
      </c>
      <c r="F255" t="s">
        <v>36</v>
      </c>
      <c r="G255" s="1">
        <v>42482.388888888891</v>
      </c>
      <c r="H255" t="s">
        <v>36</v>
      </c>
      <c r="I255" t="s">
        <v>36</v>
      </c>
      <c r="J255" t="s">
        <v>36</v>
      </c>
      <c r="K255" t="s">
        <v>36</v>
      </c>
      <c r="L255" t="s">
        <v>36</v>
      </c>
      <c r="M255" t="s">
        <v>36</v>
      </c>
      <c r="N255" t="s">
        <v>36</v>
      </c>
      <c r="O255" t="s">
        <v>36</v>
      </c>
      <c r="P255" s="1">
        <v>43059.576388888891</v>
      </c>
      <c r="Q255" t="s">
        <v>36</v>
      </c>
      <c r="R255" t="s">
        <v>36</v>
      </c>
      <c r="S255" t="s">
        <v>36</v>
      </c>
      <c r="T255" s="1">
        <v>42555.659722222219</v>
      </c>
      <c r="U255" t="s">
        <v>36</v>
      </c>
      <c r="V255" t="s">
        <v>36</v>
      </c>
      <c r="W255" t="s">
        <v>36</v>
      </c>
      <c r="X255" t="s">
        <v>36</v>
      </c>
      <c r="Y255" t="s">
        <v>36</v>
      </c>
      <c r="Z255" t="s">
        <v>36</v>
      </c>
      <c r="AA255" t="s">
        <v>36</v>
      </c>
      <c r="AB255" t="s">
        <v>36</v>
      </c>
      <c r="AC255" t="s">
        <v>36</v>
      </c>
      <c r="AD255" t="s">
        <v>36</v>
      </c>
      <c r="AE255" t="s">
        <v>36</v>
      </c>
      <c r="AF255" s="1">
        <v>42492.493055555555</v>
      </c>
      <c r="AG255" t="s">
        <v>36</v>
      </c>
      <c r="AH255" t="s">
        <v>36</v>
      </c>
      <c r="AI255" s="1">
        <v>42492.895833333336</v>
      </c>
      <c r="AJ255" s="1">
        <v>43059.576388888891</v>
      </c>
    </row>
    <row r="256" spans="1:36" x14ac:dyDescent="0.35">
      <c r="A256">
        <v>4369</v>
      </c>
      <c r="B256" t="s">
        <v>1152</v>
      </c>
      <c r="C256" t="s">
        <v>36</v>
      </c>
      <c r="D256" t="s">
        <v>36</v>
      </c>
      <c r="E256" t="s">
        <v>36</v>
      </c>
      <c r="F256" t="s">
        <v>36</v>
      </c>
      <c r="G256" s="1">
        <v>43856.520833333336</v>
      </c>
      <c r="H256" t="s">
        <v>36</v>
      </c>
      <c r="I256" t="s">
        <v>36</v>
      </c>
      <c r="J256" t="s">
        <v>36</v>
      </c>
      <c r="K256" t="s">
        <v>36</v>
      </c>
      <c r="L256" t="s">
        <v>36</v>
      </c>
      <c r="M256" t="s">
        <v>36</v>
      </c>
      <c r="N256" t="s">
        <v>36</v>
      </c>
      <c r="O256" t="s">
        <v>36</v>
      </c>
      <c r="P256" s="1">
        <v>43856.520833333336</v>
      </c>
      <c r="Q256" t="s">
        <v>36</v>
      </c>
      <c r="R256" t="s">
        <v>36</v>
      </c>
      <c r="S256" t="s">
        <v>36</v>
      </c>
      <c r="T256" s="1">
        <v>43856.520833333336</v>
      </c>
      <c r="U256" t="s">
        <v>36</v>
      </c>
      <c r="V256" t="s">
        <v>36</v>
      </c>
      <c r="W256" t="s">
        <v>36</v>
      </c>
      <c r="X256" t="s">
        <v>36</v>
      </c>
      <c r="Y256" t="s">
        <v>36</v>
      </c>
      <c r="Z256" t="s">
        <v>36</v>
      </c>
      <c r="AA256" t="s">
        <v>36</v>
      </c>
      <c r="AB256" t="s">
        <v>36</v>
      </c>
      <c r="AC256" t="s">
        <v>36</v>
      </c>
      <c r="AD256" t="s">
        <v>36</v>
      </c>
      <c r="AE256" t="s">
        <v>36</v>
      </c>
      <c r="AF256" s="1">
        <v>43856.520833333336</v>
      </c>
      <c r="AG256" t="s">
        <v>36</v>
      </c>
      <c r="AH256" t="s">
        <v>36</v>
      </c>
      <c r="AI256" s="1">
        <v>43856.520833333336</v>
      </c>
      <c r="AJ256" s="1">
        <v>43856.520833333336</v>
      </c>
    </row>
    <row r="257" spans="1:36" x14ac:dyDescent="0.35">
      <c r="A257">
        <v>4370</v>
      </c>
      <c r="B257" t="s">
        <v>1153</v>
      </c>
      <c r="C257" t="s">
        <v>36</v>
      </c>
      <c r="D257" t="s">
        <v>36</v>
      </c>
      <c r="E257" t="s">
        <v>36</v>
      </c>
      <c r="F257" t="s">
        <v>36</v>
      </c>
      <c r="G257" s="1">
        <v>43856.520833333336</v>
      </c>
      <c r="H257" t="s">
        <v>36</v>
      </c>
      <c r="I257" t="s">
        <v>36</v>
      </c>
      <c r="J257" t="s">
        <v>36</v>
      </c>
      <c r="K257" t="s">
        <v>36</v>
      </c>
      <c r="L257" t="s">
        <v>36</v>
      </c>
      <c r="M257" t="s">
        <v>36</v>
      </c>
      <c r="N257" t="s">
        <v>36</v>
      </c>
      <c r="O257" t="s">
        <v>36</v>
      </c>
      <c r="P257" s="1">
        <v>43856.520833333336</v>
      </c>
      <c r="Q257" t="s">
        <v>36</v>
      </c>
      <c r="R257" t="s">
        <v>36</v>
      </c>
      <c r="S257" t="s">
        <v>36</v>
      </c>
      <c r="T257" s="1">
        <v>43856.520833333336</v>
      </c>
      <c r="U257" t="s">
        <v>36</v>
      </c>
      <c r="V257" t="s">
        <v>36</v>
      </c>
      <c r="W257" t="s">
        <v>36</v>
      </c>
      <c r="X257" t="s">
        <v>36</v>
      </c>
      <c r="Y257" t="s">
        <v>36</v>
      </c>
      <c r="Z257" t="s">
        <v>36</v>
      </c>
      <c r="AA257" t="s">
        <v>36</v>
      </c>
      <c r="AB257" t="s">
        <v>36</v>
      </c>
      <c r="AC257" t="s">
        <v>36</v>
      </c>
      <c r="AD257" t="s">
        <v>36</v>
      </c>
      <c r="AE257" t="s">
        <v>36</v>
      </c>
      <c r="AF257" s="1">
        <v>43856.520833333336</v>
      </c>
      <c r="AG257" t="s">
        <v>36</v>
      </c>
      <c r="AH257" t="s">
        <v>36</v>
      </c>
      <c r="AI257" s="1">
        <v>43856.520833333336</v>
      </c>
      <c r="AJ257" s="1">
        <v>43856.520833333336</v>
      </c>
    </row>
    <row r="258" spans="1:36" x14ac:dyDescent="0.35">
      <c r="A258">
        <v>4371</v>
      </c>
      <c r="B258" t="s">
        <v>1154</v>
      </c>
      <c r="C258" t="s">
        <v>36</v>
      </c>
      <c r="D258" t="s">
        <v>36</v>
      </c>
      <c r="E258" t="s">
        <v>36</v>
      </c>
      <c r="F258" t="s">
        <v>36</v>
      </c>
      <c r="G258" s="1">
        <v>43856.520833333336</v>
      </c>
      <c r="H258" t="s">
        <v>36</v>
      </c>
      <c r="I258" t="s">
        <v>36</v>
      </c>
      <c r="J258" t="s">
        <v>36</v>
      </c>
      <c r="K258" t="s">
        <v>36</v>
      </c>
      <c r="L258" t="s">
        <v>36</v>
      </c>
      <c r="M258" t="s">
        <v>36</v>
      </c>
      <c r="N258" t="s">
        <v>36</v>
      </c>
      <c r="O258" t="s">
        <v>36</v>
      </c>
      <c r="P258" s="1">
        <v>43856.520833333336</v>
      </c>
      <c r="Q258" t="s">
        <v>36</v>
      </c>
      <c r="R258" t="s">
        <v>36</v>
      </c>
      <c r="S258" t="s">
        <v>36</v>
      </c>
      <c r="T258" s="1">
        <v>43856.520833333336</v>
      </c>
      <c r="U258" t="s">
        <v>36</v>
      </c>
      <c r="V258" t="s">
        <v>36</v>
      </c>
      <c r="W258" t="s">
        <v>36</v>
      </c>
      <c r="X258" t="s">
        <v>36</v>
      </c>
      <c r="Y258" t="s">
        <v>36</v>
      </c>
      <c r="Z258" t="s">
        <v>36</v>
      </c>
      <c r="AA258" t="s">
        <v>36</v>
      </c>
      <c r="AB258" t="s">
        <v>36</v>
      </c>
      <c r="AC258" t="s">
        <v>36</v>
      </c>
      <c r="AD258" t="s">
        <v>36</v>
      </c>
      <c r="AE258" t="s">
        <v>36</v>
      </c>
      <c r="AF258" s="1">
        <v>43856.520833333336</v>
      </c>
      <c r="AG258" t="s">
        <v>36</v>
      </c>
      <c r="AH258" t="s">
        <v>36</v>
      </c>
      <c r="AI258" s="1">
        <v>43856.520833333336</v>
      </c>
      <c r="AJ258" s="1">
        <v>43856.520833333336</v>
      </c>
    </row>
    <row r="259" spans="1:36" x14ac:dyDescent="0.35">
      <c r="A259">
        <v>97</v>
      </c>
      <c r="B259" t="s">
        <v>108</v>
      </c>
      <c r="C259" t="s">
        <v>36</v>
      </c>
      <c r="D259" t="s">
        <v>36</v>
      </c>
      <c r="E259" t="s">
        <v>36</v>
      </c>
      <c r="F259" t="s">
        <v>36</v>
      </c>
      <c r="G259" t="s">
        <v>36</v>
      </c>
      <c r="H259" t="s">
        <v>36</v>
      </c>
      <c r="I259" t="s">
        <v>36</v>
      </c>
      <c r="J259" t="s">
        <v>36</v>
      </c>
      <c r="K259" t="s">
        <v>36</v>
      </c>
      <c r="L259" t="s">
        <v>36</v>
      </c>
      <c r="M259" t="s">
        <v>36</v>
      </c>
      <c r="N259" t="s">
        <v>36</v>
      </c>
      <c r="O259" t="s">
        <v>36</v>
      </c>
      <c r="P259" t="s">
        <v>36</v>
      </c>
      <c r="Q259" t="s">
        <v>36</v>
      </c>
      <c r="R259" t="s">
        <v>36</v>
      </c>
      <c r="S259" t="s">
        <v>36</v>
      </c>
      <c r="T259" t="s">
        <v>36</v>
      </c>
      <c r="U259" t="s">
        <v>36</v>
      </c>
      <c r="V259" t="s">
        <v>36</v>
      </c>
      <c r="W259" t="s">
        <v>36</v>
      </c>
      <c r="X259" t="s">
        <v>36</v>
      </c>
      <c r="Y259" t="s">
        <v>36</v>
      </c>
      <c r="Z259" t="s">
        <v>36</v>
      </c>
      <c r="AA259" t="s">
        <v>36</v>
      </c>
      <c r="AB259" t="s">
        <v>36</v>
      </c>
      <c r="AC259" t="s">
        <v>36</v>
      </c>
      <c r="AD259" t="s">
        <v>36</v>
      </c>
      <c r="AE259" t="s">
        <v>36</v>
      </c>
      <c r="AF259" t="s">
        <v>36</v>
      </c>
      <c r="AG259" t="s">
        <v>36</v>
      </c>
      <c r="AH259" t="s">
        <v>36</v>
      </c>
      <c r="AI259" t="s">
        <v>36</v>
      </c>
      <c r="AJ259" t="s">
        <v>36</v>
      </c>
    </row>
    <row r="260" spans="1:36" x14ac:dyDescent="0.35">
      <c r="A260">
        <v>4372</v>
      </c>
      <c r="B260" t="s">
        <v>1155</v>
      </c>
      <c r="C260" t="s">
        <v>36</v>
      </c>
      <c r="D260" t="s">
        <v>36</v>
      </c>
      <c r="E260" t="s">
        <v>36</v>
      </c>
      <c r="F260" t="s">
        <v>36</v>
      </c>
      <c r="G260" t="s">
        <v>36</v>
      </c>
      <c r="H260" t="s">
        <v>36</v>
      </c>
      <c r="I260" t="s">
        <v>36</v>
      </c>
      <c r="J260" t="s">
        <v>36</v>
      </c>
      <c r="K260" t="s">
        <v>36</v>
      </c>
      <c r="L260" t="s">
        <v>36</v>
      </c>
      <c r="M260" t="s">
        <v>36</v>
      </c>
      <c r="N260" t="s">
        <v>36</v>
      </c>
      <c r="O260" t="s">
        <v>36</v>
      </c>
      <c r="P260" t="s">
        <v>36</v>
      </c>
      <c r="Q260" t="s">
        <v>36</v>
      </c>
      <c r="R260" t="s">
        <v>36</v>
      </c>
      <c r="S260" t="s">
        <v>36</v>
      </c>
      <c r="T260" t="s">
        <v>36</v>
      </c>
      <c r="U260" t="s">
        <v>36</v>
      </c>
      <c r="V260" t="s">
        <v>36</v>
      </c>
      <c r="W260" t="s">
        <v>36</v>
      </c>
      <c r="X260" t="s">
        <v>36</v>
      </c>
      <c r="Y260" t="s">
        <v>36</v>
      </c>
      <c r="Z260" t="s">
        <v>36</v>
      </c>
      <c r="AA260" t="s">
        <v>36</v>
      </c>
      <c r="AB260" t="s">
        <v>36</v>
      </c>
      <c r="AC260" t="s">
        <v>36</v>
      </c>
      <c r="AD260" t="s">
        <v>36</v>
      </c>
      <c r="AE260" t="s">
        <v>36</v>
      </c>
      <c r="AF260" t="s">
        <v>36</v>
      </c>
      <c r="AG260" t="s">
        <v>36</v>
      </c>
      <c r="AH260" t="s">
        <v>36</v>
      </c>
      <c r="AI260" t="s">
        <v>36</v>
      </c>
      <c r="AJ260" t="s">
        <v>36</v>
      </c>
    </row>
    <row r="261" spans="1:36" x14ac:dyDescent="0.35">
      <c r="A261">
        <v>4373</v>
      </c>
      <c r="B261" t="s">
        <v>1156</v>
      </c>
      <c r="C261" t="s">
        <v>36</v>
      </c>
      <c r="D261" t="s">
        <v>36</v>
      </c>
      <c r="E261" t="s">
        <v>36</v>
      </c>
      <c r="F261" t="s">
        <v>36</v>
      </c>
      <c r="G261" t="s">
        <v>36</v>
      </c>
      <c r="H261" t="s">
        <v>36</v>
      </c>
      <c r="I261" t="s">
        <v>36</v>
      </c>
      <c r="J261" t="s">
        <v>36</v>
      </c>
      <c r="K261" t="s">
        <v>36</v>
      </c>
      <c r="L261" t="s">
        <v>36</v>
      </c>
      <c r="M261" t="s">
        <v>36</v>
      </c>
      <c r="N261" t="s">
        <v>36</v>
      </c>
      <c r="O261" t="s">
        <v>36</v>
      </c>
      <c r="P261" t="s">
        <v>36</v>
      </c>
      <c r="Q261" t="s">
        <v>36</v>
      </c>
      <c r="R261" t="s">
        <v>36</v>
      </c>
      <c r="S261" t="s">
        <v>36</v>
      </c>
      <c r="T261" t="s">
        <v>36</v>
      </c>
      <c r="U261" t="s">
        <v>36</v>
      </c>
      <c r="V261" t="s">
        <v>36</v>
      </c>
      <c r="W261" t="s">
        <v>36</v>
      </c>
      <c r="X261" t="s">
        <v>36</v>
      </c>
      <c r="Y261" t="s">
        <v>36</v>
      </c>
      <c r="Z261" t="s">
        <v>36</v>
      </c>
      <c r="AA261" t="s">
        <v>36</v>
      </c>
      <c r="AB261" t="s">
        <v>36</v>
      </c>
      <c r="AC261" t="s">
        <v>36</v>
      </c>
      <c r="AD261" t="s">
        <v>36</v>
      </c>
      <c r="AE261" t="s">
        <v>36</v>
      </c>
      <c r="AF261" t="s">
        <v>36</v>
      </c>
      <c r="AG261" t="s">
        <v>36</v>
      </c>
      <c r="AH261" t="s">
        <v>36</v>
      </c>
      <c r="AI261" t="s">
        <v>36</v>
      </c>
      <c r="AJ261" t="s">
        <v>36</v>
      </c>
    </row>
    <row r="262" spans="1:36" x14ac:dyDescent="0.35">
      <c r="A262">
        <v>4374</v>
      </c>
      <c r="B262" t="s">
        <v>1157</v>
      </c>
      <c r="C262" t="s">
        <v>36</v>
      </c>
      <c r="D262" t="s">
        <v>36</v>
      </c>
      <c r="E262" t="s">
        <v>36</v>
      </c>
      <c r="F262" t="s">
        <v>36</v>
      </c>
      <c r="G262" t="s">
        <v>36</v>
      </c>
      <c r="H262" t="s">
        <v>36</v>
      </c>
      <c r="I262" t="s">
        <v>36</v>
      </c>
      <c r="J262" t="s">
        <v>36</v>
      </c>
      <c r="K262" t="s">
        <v>36</v>
      </c>
      <c r="L262" t="s">
        <v>36</v>
      </c>
      <c r="M262" t="s">
        <v>36</v>
      </c>
      <c r="N262" t="s">
        <v>36</v>
      </c>
      <c r="O262" t="s">
        <v>36</v>
      </c>
      <c r="P262" t="s">
        <v>36</v>
      </c>
      <c r="Q262" t="s">
        <v>36</v>
      </c>
      <c r="R262" t="s">
        <v>36</v>
      </c>
      <c r="S262" t="s">
        <v>36</v>
      </c>
      <c r="T262" t="s">
        <v>36</v>
      </c>
      <c r="U262" t="s">
        <v>36</v>
      </c>
      <c r="V262" t="s">
        <v>36</v>
      </c>
      <c r="W262" t="s">
        <v>36</v>
      </c>
      <c r="X262" t="s">
        <v>36</v>
      </c>
      <c r="Y262" t="s">
        <v>36</v>
      </c>
      <c r="Z262" t="s">
        <v>36</v>
      </c>
      <c r="AA262" t="s">
        <v>36</v>
      </c>
      <c r="AB262" t="s">
        <v>36</v>
      </c>
      <c r="AC262" t="s">
        <v>36</v>
      </c>
      <c r="AD262" t="s">
        <v>36</v>
      </c>
      <c r="AE262" t="s">
        <v>36</v>
      </c>
      <c r="AF262" t="s">
        <v>36</v>
      </c>
      <c r="AG262" t="s">
        <v>36</v>
      </c>
      <c r="AH262" t="s">
        <v>36</v>
      </c>
      <c r="AI262" t="s">
        <v>36</v>
      </c>
      <c r="AJ262" t="s">
        <v>36</v>
      </c>
    </row>
    <row r="263" spans="1:36" x14ac:dyDescent="0.35">
      <c r="A263">
        <v>3537</v>
      </c>
      <c r="B263" t="s">
        <v>929</v>
      </c>
      <c r="C263" t="s">
        <v>36</v>
      </c>
      <c r="D263" t="s">
        <v>36</v>
      </c>
      <c r="E263" t="s">
        <v>36</v>
      </c>
      <c r="F263" t="s">
        <v>36</v>
      </c>
      <c r="G263" t="s">
        <v>36</v>
      </c>
      <c r="H263" t="s">
        <v>36</v>
      </c>
      <c r="I263" t="s">
        <v>36</v>
      </c>
      <c r="J263" t="s">
        <v>36</v>
      </c>
      <c r="K263" t="s">
        <v>36</v>
      </c>
      <c r="L263" t="s">
        <v>36</v>
      </c>
      <c r="M263" t="s">
        <v>36</v>
      </c>
      <c r="N263" t="s">
        <v>36</v>
      </c>
      <c r="O263" t="s">
        <v>36</v>
      </c>
      <c r="P263" t="s">
        <v>36</v>
      </c>
      <c r="Q263" t="s">
        <v>36</v>
      </c>
      <c r="R263" s="1">
        <v>43538.451388888891</v>
      </c>
      <c r="S263" t="s">
        <v>36</v>
      </c>
      <c r="T263" t="s">
        <v>36</v>
      </c>
      <c r="U263" t="s">
        <v>36</v>
      </c>
      <c r="V263" t="s">
        <v>36</v>
      </c>
      <c r="W263" t="s">
        <v>36</v>
      </c>
      <c r="X263" t="s">
        <v>36</v>
      </c>
      <c r="Y263" t="s">
        <v>36</v>
      </c>
      <c r="Z263" t="s">
        <v>36</v>
      </c>
      <c r="AA263" t="s">
        <v>36</v>
      </c>
      <c r="AB263" s="1">
        <v>43538.416666666664</v>
      </c>
      <c r="AC263" t="s">
        <v>36</v>
      </c>
      <c r="AD263" t="s">
        <v>36</v>
      </c>
      <c r="AE263" t="s">
        <v>36</v>
      </c>
      <c r="AF263" t="s">
        <v>36</v>
      </c>
      <c r="AG263" t="s">
        <v>36</v>
      </c>
      <c r="AH263" t="s">
        <v>36</v>
      </c>
      <c r="AI263" t="s">
        <v>36</v>
      </c>
      <c r="AJ263" t="s">
        <v>36</v>
      </c>
    </row>
    <row r="264" spans="1:36" x14ac:dyDescent="0.35">
      <c r="A264">
        <v>3538</v>
      </c>
      <c r="B264" t="s">
        <v>930</v>
      </c>
      <c r="C264" t="s">
        <v>36</v>
      </c>
      <c r="D264" t="s">
        <v>36</v>
      </c>
      <c r="E264" t="s">
        <v>36</v>
      </c>
      <c r="F264" t="s">
        <v>36</v>
      </c>
      <c r="G264" t="s">
        <v>36</v>
      </c>
      <c r="H264" t="s">
        <v>36</v>
      </c>
      <c r="I264" t="s">
        <v>36</v>
      </c>
      <c r="J264" t="s">
        <v>36</v>
      </c>
      <c r="K264" t="s">
        <v>36</v>
      </c>
      <c r="L264" t="s">
        <v>36</v>
      </c>
      <c r="M264" t="s">
        <v>36</v>
      </c>
      <c r="N264" t="s">
        <v>36</v>
      </c>
      <c r="O264" t="s">
        <v>36</v>
      </c>
      <c r="P264" t="s">
        <v>36</v>
      </c>
      <c r="Q264" t="s">
        <v>36</v>
      </c>
      <c r="R264" s="1">
        <v>43538.451388888891</v>
      </c>
      <c r="S264" t="s">
        <v>36</v>
      </c>
      <c r="T264" t="s">
        <v>36</v>
      </c>
      <c r="U264" t="s">
        <v>36</v>
      </c>
      <c r="V264" t="s">
        <v>36</v>
      </c>
      <c r="W264" t="s">
        <v>36</v>
      </c>
      <c r="X264" t="s">
        <v>36</v>
      </c>
      <c r="Y264" t="s">
        <v>36</v>
      </c>
      <c r="Z264" t="s">
        <v>36</v>
      </c>
      <c r="AA264" t="s">
        <v>36</v>
      </c>
      <c r="AB264" s="1">
        <v>43538.416666666664</v>
      </c>
      <c r="AC264" t="s">
        <v>36</v>
      </c>
      <c r="AD264" t="s">
        <v>36</v>
      </c>
      <c r="AE264" t="s">
        <v>36</v>
      </c>
      <c r="AF264" t="s">
        <v>36</v>
      </c>
      <c r="AG264" t="s">
        <v>36</v>
      </c>
      <c r="AH264" t="s">
        <v>36</v>
      </c>
      <c r="AI264" t="s">
        <v>36</v>
      </c>
      <c r="AJ264" t="s">
        <v>36</v>
      </c>
    </row>
    <row r="265" spans="1:36" x14ac:dyDescent="0.35">
      <c r="A265">
        <v>3854</v>
      </c>
      <c r="B265" t="s">
        <v>988</v>
      </c>
      <c r="C265" t="s">
        <v>36</v>
      </c>
      <c r="D265" t="s">
        <v>36</v>
      </c>
      <c r="E265" t="s">
        <v>36</v>
      </c>
      <c r="F265" t="s">
        <v>36</v>
      </c>
      <c r="G265" t="s">
        <v>36</v>
      </c>
      <c r="H265" t="s">
        <v>36</v>
      </c>
      <c r="I265" t="s">
        <v>36</v>
      </c>
      <c r="J265" t="s">
        <v>36</v>
      </c>
      <c r="K265" t="s">
        <v>36</v>
      </c>
      <c r="L265" t="s">
        <v>36</v>
      </c>
      <c r="M265" t="s">
        <v>36</v>
      </c>
      <c r="N265" t="s">
        <v>36</v>
      </c>
      <c r="O265" t="s">
        <v>36</v>
      </c>
      <c r="P265" t="s">
        <v>36</v>
      </c>
      <c r="Q265" t="s">
        <v>36</v>
      </c>
      <c r="R265" s="1">
        <v>43679.347222222219</v>
      </c>
      <c r="S265" t="s">
        <v>36</v>
      </c>
      <c r="T265" t="s">
        <v>36</v>
      </c>
      <c r="U265" t="s">
        <v>36</v>
      </c>
      <c r="V265" t="s">
        <v>36</v>
      </c>
      <c r="W265" t="s">
        <v>36</v>
      </c>
      <c r="X265" t="s">
        <v>36</v>
      </c>
      <c r="Y265" t="s">
        <v>36</v>
      </c>
      <c r="Z265" t="s">
        <v>36</v>
      </c>
      <c r="AA265" t="s">
        <v>36</v>
      </c>
      <c r="AB265" s="1">
        <v>43679.347222222219</v>
      </c>
      <c r="AC265" t="s">
        <v>36</v>
      </c>
      <c r="AD265" t="s">
        <v>36</v>
      </c>
      <c r="AE265" t="s">
        <v>36</v>
      </c>
      <c r="AF265" t="s">
        <v>36</v>
      </c>
      <c r="AG265" t="s">
        <v>36</v>
      </c>
      <c r="AH265" t="s">
        <v>36</v>
      </c>
      <c r="AI265" t="s">
        <v>36</v>
      </c>
      <c r="AJ265" t="s">
        <v>36</v>
      </c>
    </row>
    <row r="266" spans="1:36" x14ac:dyDescent="0.35">
      <c r="A266">
        <v>552</v>
      </c>
      <c r="B266" t="s">
        <v>256</v>
      </c>
      <c r="C266" t="s">
        <v>36</v>
      </c>
      <c r="D266" t="s">
        <v>36</v>
      </c>
      <c r="E266" t="s">
        <v>36</v>
      </c>
      <c r="F266" t="s">
        <v>36</v>
      </c>
      <c r="G266" t="s">
        <v>36</v>
      </c>
      <c r="H266" t="s">
        <v>36</v>
      </c>
      <c r="I266" t="s">
        <v>36</v>
      </c>
      <c r="J266" t="s">
        <v>36</v>
      </c>
      <c r="K266" t="s">
        <v>36</v>
      </c>
      <c r="L266" t="s">
        <v>36</v>
      </c>
      <c r="M266" t="s">
        <v>36</v>
      </c>
      <c r="N266" t="s">
        <v>36</v>
      </c>
      <c r="O266" t="s">
        <v>36</v>
      </c>
      <c r="P266" t="s">
        <v>36</v>
      </c>
      <c r="Q266" t="s">
        <v>36</v>
      </c>
      <c r="R266" t="s">
        <v>36</v>
      </c>
      <c r="S266" t="s">
        <v>36</v>
      </c>
      <c r="T266" t="s">
        <v>36</v>
      </c>
      <c r="U266" t="s">
        <v>36</v>
      </c>
      <c r="V266" t="s">
        <v>36</v>
      </c>
      <c r="W266" t="s">
        <v>36</v>
      </c>
      <c r="X266" t="s">
        <v>36</v>
      </c>
      <c r="Y266" t="s">
        <v>36</v>
      </c>
      <c r="Z266" t="s">
        <v>36</v>
      </c>
      <c r="AA266" t="s">
        <v>36</v>
      </c>
      <c r="AB266" t="s">
        <v>36</v>
      </c>
      <c r="AC266" t="s">
        <v>36</v>
      </c>
      <c r="AD266" t="s">
        <v>36</v>
      </c>
      <c r="AE266" t="s">
        <v>36</v>
      </c>
      <c r="AF266" t="s">
        <v>36</v>
      </c>
      <c r="AG266" t="s">
        <v>36</v>
      </c>
      <c r="AH266" t="s">
        <v>36</v>
      </c>
      <c r="AI266" t="s">
        <v>36</v>
      </c>
      <c r="AJ266" t="s">
        <v>36</v>
      </c>
    </row>
    <row r="267" spans="1:36" x14ac:dyDescent="0.35">
      <c r="A267">
        <v>553</v>
      </c>
      <c r="B267" t="s">
        <v>257</v>
      </c>
      <c r="C267" t="s">
        <v>36</v>
      </c>
      <c r="D267" t="s">
        <v>36</v>
      </c>
      <c r="E267" t="s">
        <v>36</v>
      </c>
      <c r="F267" t="s">
        <v>36</v>
      </c>
      <c r="G267" t="s">
        <v>36</v>
      </c>
      <c r="H267" t="s">
        <v>36</v>
      </c>
      <c r="I267" t="s">
        <v>36</v>
      </c>
      <c r="J267" t="s">
        <v>36</v>
      </c>
      <c r="K267" t="s">
        <v>36</v>
      </c>
      <c r="L267" t="s">
        <v>36</v>
      </c>
      <c r="M267" t="s">
        <v>36</v>
      </c>
      <c r="N267" t="s">
        <v>36</v>
      </c>
      <c r="O267" t="s">
        <v>36</v>
      </c>
      <c r="P267" t="s">
        <v>36</v>
      </c>
      <c r="Q267" t="s">
        <v>36</v>
      </c>
      <c r="R267" t="s">
        <v>36</v>
      </c>
      <c r="S267" t="s">
        <v>36</v>
      </c>
      <c r="T267" t="s">
        <v>36</v>
      </c>
      <c r="U267" t="s">
        <v>36</v>
      </c>
      <c r="V267" t="s">
        <v>36</v>
      </c>
      <c r="W267" t="s">
        <v>36</v>
      </c>
      <c r="X267" t="s">
        <v>36</v>
      </c>
      <c r="Y267" t="s">
        <v>36</v>
      </c>
      <c r="Z267" t="s">
        <v>36</v>
      </c>
      <c r="AA267" t="s">
        <v>36</v>
      </c>
      <c r="AB267" t="s">
        <v>36</v>
      </c>
      <c r="AC267" t="s">
        <v>36</v>
      </c>
      <c r="AD267" t="s">
        <v>36</v>
      </c>
      <c r="AE267" t="s">
        <v>36</v>
      </c>
      <c r="AF267" t="s">
        <v>36</v>
      </c>
      <c r="AG267" t="s">
        <v>36</v>
      </c>
      <c r="AH267" t="s">
        <v>36</v>
      </c>
      <c r="AI267" t="s">
        <v>36</v>
      </c>
      <c r="AJ267" t="s">
        <v>36</v>
      </c>
    </row>
    <row r="268" spans="1:36" x14ac:dyDescent="0.35">
      <c r="A268">
        <v>554</v>
      </c>
      <c r="B268" t="s">
        <v>258</v>
      </c>
      <c r="C268" t="s">
        <v>36</v>
      </c>
      <c r="D268" t="s">
        <v>36</v>
      </c>
      <c r="E268" t="s">
        <v>36</v>
      </c>
      <c r="F268" t="s">
        <v>36</v>
      </c>
      <c r="G268" t="s">
        <v>36</v>
      </c>
      <c r="H268" t="s">
        <v>36</v>
      </c>
      <c r="I268" t="s">
        <v>36</v>
      </c>
      <c r="J268" t="s">
        <v>36</v>
      </c>
      <c r="K268" t="s">
        <v>36</v>
      </c>
      <c r="L268" t="s">
        <v>36</v>
      </c>
      <c r="M268" t="s">
        <v>36</v>
      </c>
      <c r="N268" t="s">
        <v>36</v>
      </c>
      <c r="O268" t="s">
        <v>36</v>
      </c>
      <c r="P268" t="s">
        <v>36</v>
      </c>
      <c r="Q268" t="s">
        <v>36</v>
      </c>
      <c r="R268" t="s">
        <v>36</v>
      </c>
      <c r="S268" t="s">
        <v>36</v>
      </c>
      <c r="T268" t="s">
        <v>36</v>
      </c>
      <c r="U268" t="s">
        <v>36</v>
      </c>
      <c r="V268" t="s">
        <v>36</v>
      </c>
      <c r="W268" t="s">
        <v>36</v>
      </c>
      <c r="X268" t="s">
        <v>36</v>
      </c>
      <c r="Y268" t="s">
        <v>36</v>
      </c>
      <c r="Z268" t="s">
        <v>36</v>
      </c>
      <c r="AA268" t="s">
        <v>36</v>
      </c>
      <c r="AB268" t="s">
        <v>36</v>
      </c>
      <c r="AC268" t="s">
        <v>36</v>
      </c>
      <c r="AD268" t="s">
        <v>36</v>
      </c>
      <c r="AE268" t="s">
        <v>36</v>
      </c>
      <c r="AF268" t="s">
        <v>36</v>
      </c>
      <c r="AG268" t="s">
        <v>36</v>
      </c>
      <c r="AH268" t="s">
        <v>36</v>
      </c>
      <c r="AI268" t="s">
        <v>36</v>
      </c>
      <c r="AJ268" t="s">
        <v>36</v>
      </c>
    </row>
    <row r="269" spans="1:36" x14ac:dyDescent="0.35">
      <c r="A269">
        <v>560</v>
      </c>
      <c r="B269" t="s">
        <v>264</v>
      </c>
      <c r="C269" t="s">
        <v>36</v>
      </c>
      <c r="D269" t="s">
        <v>36</v>
      </c>
      <c r="E269" t="s">
        <v>36</v>
      </c>
      <c r="F269" t="s">
        <v>36</v>
      </c>
      <c r="G269" t="s">
        <v>36</v>
      </c>
      <c r="H269" t="s">
        <v>36</v>
      </c>
      <c r="I269" t="s">
        <v>36</v>
      </c>
      <c r="J269" t="s">
        <v>36</v>
      </c>
      <c r="K269" t="s">
        <v>36</v>
      </c>
      <c r="L269" t="s">
        <v>36</v>
      </c>
      <c r="M269" t="s">
        <v>36</v>
      </c>
      <c r="N269" t="s">
        <v>36</v>
      </c>
      <c r="O269" t="s">
        <v>36</v>
      </c>
      <c r="P269" t="s">
        <v>36</v>
      </c>
      <c r="Q269" t="s">
        <v>36</v>
      </c>
      <c r="R269" t="s">
        <v>36</v>
      </c>
      <c r="S269" t="s">
        <v>36</v>
      </c>
      <c r="T269" t="s">
        <v>36</v>
      </c>
      <c r="U269" t="s">
        <v>36</v>
      </c>
      <c r="V269" t="s">
        <v>36</v>
      </c>
      <c r="W269" t="s">
        <v>36</v>
      </c>
      <c r="X269" t="s">
        <v>36</v>
      </c>
      <c r="Y269" t="s">
        <v>36</v>
      </c>
      <c r="Z269" t="s">
        <v>36</v>
      </c>
      <c r="AA269" t="s">
        <v>36</v>
      </c>
      <c r="AB269" t="s">
        <v>36</v>
      </c>
      <c r="AC269" t="s">
        <v>36</v>
      </c>
      <c r="AD269" t="s">
        <v>36</v>
      </c>
      <c r="AE269" t="s">
        <v>36</v>
      </c>
      <c r="AF269" t="s">
        <v>36</v>
      </c>
      <c r="AG269" t="s">
        <v>36</v>
      </c>
      <c r="AH269" t="s">
        <v>36</v>
      </c>
      <c r="AI269" t="s">
        <v>36</v>
      </c>
      <c r="AJ269" t="s">
        <v>36</v>
      </c>
    </row>
    <row r="270" spans="1:36" x14ac:dyDescent="0.35">
      <c r="A270">
        <v>562</v>
      </c>
      <c r="B270" t="s">
        <v>266</v>
      </c>
      <c r="C270" t="s">
        <v>36</v>
      </c>
      <c r="D270" t="s">
        <v>36</v>
      </c>
      <c r="E270" t="s">
        <v>36</v>
      </c>
      <c r="F270" t="s">
        <v>36</v>
      </c>
      <c r="G270" t="s">
        <v>36</v>
      </c>
      <c r="H270" t="s">
        <v>36</v>
      </c>
      <c r="I270" t="s">
        <v>36</v>
      </c>
      <c r="J270" t="s">
        <v>36</v>
      </c>
      <c r="K270" t="s">
        <v>36</v>
      </c>
      <c r="L270" t="s">
        <v>36</v>
      </c>
      <c r="M270" t="s">
        <v>36</v>
      </c>
      <c r="N270" t="s">
        <v>36</v>
      </c>
      <c r="O270" t="s">
        <v>36</v>
      </c>
      <c r="P270" t="s">
        <v>36</v>
      </c>
      <c r="Q270" t="s">
        <v>36</v>
      </c>
      <c r="R270" t="s">
        <v>36</v>
      </c>
      <c r="S270" t="s">
        <v>36</v>
      </c>
      <c r="T270" t="s">
        <v>36</v>
      </c>
      <c r="U270" t="s">
        <v>36</v>
      </c>
      <c r="V270" t="s">
        <v>36</v>
      </c>
      <c r="W270" t="s">
        <v>36</v>
      </c>
      <c r="X270" t="s">
        <v>36</v>
      </c>
      <c r="Y270" t="s">
        <v>36</v>
      </c>
      <c r="Z270" t="s">
        <v>36</v>
      </c>
      <c r="AA270" t="s">
        <v>36</v>
      </c>
      <c r="AB270" t="s">
        <v>36</v>
      </c>
      <c r="AC270" t="s">
        <v>36</v>
      </c>
      <c r="AD270" t="s">
        <v>36</v>
      </c>
      <c r="AE270" t="s">
        <v>36</v>
      </c>
      <c r="AF270" t="s">
        <v>36</v>
      </c>
      <c r="AG270" t="s">
        <v>36</v>
      </c>
      <c r="AH270" t="s">
        <v>36</v>
      </c>
      <c r="AI270" t="s">
        <v>36</v>
      </c>
      <c r="AJ270" t="s">
        <v>36</v>
      </c>
    </row>
    <row r="271" spans="1:36" x14ac:dyDescent="0.35">
      <c r="A271">
        <v>565</v>
      </c>
      <c r="B271" t="s">
        <v>269</v>
      </c>
      <c r="C271" t="s">
        <v>36</v>
      </c>
      <c r="D271" t="s">
        <v>36</v>
      </c>
      <c r="E271" t="s">
        <v>36</v>
      </c>
      <c r="F271" t="s">
        <v>36</v>
      </c>
      <c r="G271" t="s">
        <v>36</v>
      </c>
      <c r="H271" t="s">
        <v>36</v>
      </c>
      <c r="I271" t="s">
        <v>36</v>
      </c>
      <c r="J271" t="s">
        <v>36</v>
      </c>
      <c r="K271" t="s">
        <v>36</v>
      </c>
      <c r="L271" t="s">
        <v>36</v>
      </c>
      <c r="M271" t="s">
        <v>36</v>
      </c>
      <c r="N271" t="s">
        <v>36</v>
      </c>
      <c r="O271" t="s">
        <v>36</v>
      </c>
      <c r="P271" t="s">
        <v>36</v>
      </c>
      <c r="Q271" t="s">
        <v>36</v>
      </c>
      <c r="R271" t="s">
        <v>36</v>
      </c>
      <c r="S271" t="s">
        <v>36</v>
      </c>
      <c r="T271" t="s">
        <v>36</v>
      </c>
      <c r="U271" t="s">
        <v>36</v>
      </c>
      <c r="V271" t="s">
        <v>36</v>
      </c>
      <c r="W271" t="s">
        <v>36</v>
      </c>
      <c r="X271" t="s">
        <v>36</v>
      </c>
      <c r="Y271" t="s">
        <v>36</v>
      </c>
      <c r="Z271" t="s">
        <v>36</v>
      </c>
      <c r="AA271" t="s">
        <v>36</v>
      </c>
      <c r="AB271" t="s">
        <v>36</v>
      </c>
      <c r="AC271" t="s">
        <v>36</v>
      </c>
      <c r="AD271" t="s">
        <v>36</v>
      </c>
      <c r="AE271" t="s">
        <v>36</v>
      </c>
      <c r="AF271" t="s">
        <v>36</v>
      </c>
      <c r="AG271" t="s">
        <v>36</v>
      </c>
      <c r="AH271" t="s">
        <v>36</v>
      </c>
      <c r="AI271" t="s">
        <v>36</v>
      </c>
      <c r="AJ271" t="s">
        <v>36</v>
      </c>
    </row>
    <row r="272" spans="1:36" x14ac:dyDescent="0.35">
      <c r="A272">
        <v>558</v>
      </c>
      <c r="B272" t="s">
        <v>262</v>
      </c>
      <c r="C272" t="s">
        <v>36</v>
      </c>
      <c r="D272" t="s">
        <v>36</v>
      </c>
      <c r="E272" t="s">
        <v>36</v>
      </c>
      <c r="F272" t="s">
        <v>36</v>
      </c>
      <c r="G272" t="s">
        <v>36</v>
      </c>
      <c r="H272" t="s">
        <v>36</v>
      </c>
      <c r="I272" t="s">
        <v>36</v>
      </c>
      <c r="J272" t="s">
        <v>36</v>
      </c>
      <c r="K272" t="s">
        <v>36</v>
      </c>
      <c r="L272" t="s">
        <v>36</v>
      </c>
      <c r="M272" t="s">
        <v>36</v>
      </c>
      <c r="N272" t="s">
        <v>36</v>
      </c>
      <c r="O272" t="s">
        <v>36</v>
      </c>
      <c r="P272" t="s">
        <v>36</v>
      </c>
      <c r="Q272" t="s">
        <v>36</v>
      </c>
      <c r="R272" t="s">
        <v>36</v>
      </c>
      <c r="S272" t="s">
        <v>36</v>
      </c>
      <c r="T272" t="s">
        <v>36</v>
      </c>
      <c r="U272" t="s">
        <v>36</v>
      </c>
      <c r="V272" t="s">
        <v>36</v>
      </c>
      <c r="W272" t="s">
        <v>36</v>
      </c>
      <c r="X272" t="s">
        <v>36</v>
      </c>
      <c r="Y272" t="s">
        <v>36</v>
      </c>
      <c r="Z272" t="s">
        <v>36</v>
      </c>
      <c r="AA272" t="s">
        <v>36</v>
      </c>
      <c r="AB272" t="s">
        <v>36</v>
      </c>
      <c r="AC272" t="s">
        <v>36</v>
      </c>
      <c r="AD272" t="s">
        <v>36</v>
      </c>
      <c r="AE272" t="s">
        <v>36</v>
      </c>
      <c r="AF272" t="s">
        <v>36</v>
      </c>
      <c r="AG272" t="s">
        <v>36</v>
      </c>
      <c r="AH272" t="s">
        <v>36</v>
      </c>
      <c r="AI272" t="s">
        <v>36</v>
      </c>
      <c r="AJ272" t="s">
        <v>36</v>
      </c>
    </row>
    <row r="273" spans="1:36" x14ac:dyDescent="0.35">
      <c r="A273">
        <v>564</v>
      </c>
      <c r="B273" t="s">
        <v>268</v>
      </c>
      <c r="C273" t="s">
        <v>36</v>
      </c>
      <c r="D273" t="s">
        <v>36</v>
      </c>
      <c r="E273" t="s">
        <v>36</v>
      </c>
      <c r="F273" t="s">
        <v>36</v>
      </c>
      <c r="G273" t="s">
        <v>36</v>
      </c>
      <c r="H273" t="s">
        <v>36</v>
      </c>
      <c r="I273" t="s">
        <v>36</v>
      </c>
      <c r="J273" t="s">
        <v>36</v>
      </c>
      <c r="K273" t="s">
        <v>36</v>
      </c>
      <c r="L273" t="s">
        <v>36</v>
      </c>
      <c r="M273" t="s">
        <v>36</v>
      </c>
      <c r="N273" t="s">
        <v>36</v>
      </c>
      <c r="O273" t="s">
        <v>36</v>
      </c>
      <c r="P273" t="s">
        <v>36</v>
      </c>
      <c r="Q273" t="s">
        <v>36</v>
      </c>
      <c r="R273" t="s">
        <v>36</v>
      </c>
      <c r="S273" t="s">
        <v>36</v>
      </c>
      <c r="T273" t="s">
        <v>36</v>
      </c>
      <c r="U273" t="s">
        <v>36</v>
      </c>
      <c r="V273" t="s">
        <v>36</v>
      </c>
      <c r="W273" t="s">
        <v>36</v>
      </c>
      <c r="X273" t="s">
        <v>36</v>
      </c>
      <c r="Y273" t="s">
        <v>36</v>
      </c>
      <c r="Z273" t="s">
        <v>36</v>
      </c>
      <c r="AA273" t="s">
        <v>36</v>
      </c>
      <c r="AB273" t="s">
        <v>36</v>
      </c>
      <c r="AC273" t="s">
        <v>36</v>
      </c>
      <c r="AD273" t="s">
        <v>36</v>
      </c>
      <c r="AE273" t="s">
        <v>36</v>
      </c>
      <c r="AF273" t="s">
        <v>36</v>
      </c>
      <c r="AG273" t="s">
        <v>36</v>
      </c>
      <c r="AH273" t="s">
        <v>36</v>
      </c>
      <c r="AI273" t="s">
        <v>36</v>
      </c>
      <c r="AJ273" t="s">
        <v>36</v>
      </c>
    </row>
    <row r="274" spans="1:36" x14ac:dyDescent="0.35">
      <c r="A274">
        <v>561</v>
      </c>
      <c r="B274" t="s">
        <v>265</v>
      </c>
      <c r="C274" t="s">
        <v>36</v>
      </c>
      <c r="D274" t="s">
        <v>36</v>
      </c>
      <c r="E274" t="s">
        <v>36</v>
      </c>
      <c r="F274" t="s">
        <v>36</v>
      </c>
      <c r="G274" t="s">
        <v>36</v>
      </c>
      <c r="H274" t="s">
        <v>36</v>
      </c>
      <c r="I274" t="s">
        <v>36</v>
      </c>
      <c r="J274" t="s">
        <v>36</v>
      </c>
      <c r="K274" t="s">
        <v>36</v>
      </c>
      <c r="L274" t="s">
        <v>36</v>
      </c>
      <c r="M274" t="s">
        <v>36</v>
      </c>
      <c r="N274" t="s">
        <v>36</v>
      </c>
      <c r="O274" t="s">
        <v>36</v>
      </c>
      <c r="P274" t="s">
        <v>36</v>
      </c>
      <c r="Q274" t="s">
        <v>36</v>
      </c>
      <c r="R274" t="s">
        <v>36</v>
      </c>
      <c r="S274" t="s">
        <v>36</v>
      </c>
      <c r="T274" t="s">
        <v>36</v>
      </c>
      <c r="U274" t="s">
        <v>36</v>
      </c>
      <c r="V274" t="s">
        <v>36</v>
      </c>
      <c r="W274" t="s">
        <v>36</v>
      </c>
      <c r="X274" t="s">
        <v>36</v>
      </c>
      <c r="Y274" t="s">
        <v>36</v>
      </c>
      <c r="Z274" t="s">
        <v>36</v>
      </c>
      <c r="AA274" t="s">
        <v>36</v>
      </c>
      <c r="AB274" t="s">
        <v>36</v>
      </c>
      <c r="AC274" t="s">
        <v>36</v>
      </c>
      <c r="AD274" t="s">
        <v>36</v>
      </c>
      <c r="AE274" t="s">
        <v>36</v>
      </c>
      <c r="AF274" t="s">
        <v>36</v>
      </c>
      <c r="AG274" t="s">
        <v>36</v>
      </c>
      <c r="AH274" t="s">
        <v>36</v>
      </c>
      <c r="AI274" t="s">
        <v>36</v>
      </c>
      <c r="AJ274" t="s">
        <v>36</v>
      </c>
    </row>
    <row r="275" spans="1:36" x14ac:dyDescent="0.35">
      <c r="A275">
        <v>563</v>
      </c>
      <c r="B275" t="s">
        <v>267</v>
      </c>
      <c r="C275" t="s">
        <v>36</v>
      </c>
      <c r="D275" t="s">
        <v>36</v>
      </c>
      <c r="E275" t="s">
        <v>36</v>
      </c>
      <c r="F275" t="s">
        <v>36</v>
      </c>
      <c r="G275" t="s">
        <v>36</v>
      </c>
      <c r="H275" t="s">
        <v>36</v>
      </c>
      <c r="I275" t="s">
        <v>36</v>
      </c>
      <c r="J275" t="s">
        <v>36</v>
      </c>
      <c r="K275" t="s">
        <v>36</v>
      </c>
      <c r="L275" t="s">
        <v>36</v>
      </c>
      <c r="M275" t="s">
        <v>36</v>
      </c>
      <c r="N275" t="s">
        <v>36</v>
      </c>
      <c r="O275" t="s">
        <v>36</v>
      </c>
      <c r="P275" t="s">
        <v>36</v>
      </c>
      <c r="Q275" t="s">
        <v>36</v>
      </c>
      <c r="R275" t="s">
        <v>36</v>
      </c>
      <c r="S275" t="s">
        <v>36</v>
      </c>
      <c r="T275" t="s">
        <v>36</v>
      </c>
      <c r="U275" t="s">
        <v>36</v>
      </c>
      <c r="V275" t="s">
        <v>36</v>
      </c>
      <c r="W275" t="s">
        <v>36</v>
      </c>
      <c r="X275" t="s">
        <v>36</v>
      </c>
      <c r="Y275" t="s">
        <v>36</v>
      </c>
      <c r="Z275" t="s">
        <v>36</v>
      </c>
      <c r="AA275" t="s">
        <v>36</v>
      </c>
      <c r="AB275" t="s">
        <v>36</v>
      </c>
      <c r="AC275" t="s">
        <v>36</v>
      </c>
      <c r="AD275" t="s">
        <v>36</v>
      </c>
      <c r="AE275" t="s">
        <v>36</v>
      </c>
      <c r="AF275" t="s">
        <v>36</v>
      </c>
      <c r="AG275" t="s">
        <v>36</v>
      </c>
      <c r="AH275" t="s">
        <v>36</v>
      </c>
      <c r="AI275" t="s">
        <v>36</v>
      </c>
      <c r="AJ275" t="s">
        <v>36</v>
      </c>
    </row>
    <row r="276" spans="1:36" x14ac:dyDescent="0.35">
      <c r="A276">
        <v>559</v>
      </c>
      <c r="B276" t="s">
        <v>263</v>
      </c>
      <c r="C276" t="s">
        <v>36</v>
      </c>
      <c r="D276" t="s">
        <v>36</v>
      </c>
      <c r="E276" t="s">
        <v>36</v>
      </c>
      <c r="F276" t="s">
        <v>36</v>
      </c>
      <c r="G276" t="s">
        <v>36</v>
      </c>
      <c r="H276" t="s">
        <v>36</v>
      </c>
      <c r="I276" t="s">
        <v>36</v>
      </c>
      <c r="J276" t="s">
        <v>36</v>
      </c>
      <c r="K276" t="s">
        <v>36</v>
      </c>
      <c r="L276" t="s">
        <v>36</v>
      </c>
      <c r="M276" t="s">
        <v>36</v>
      </c>
      <c r="N276" t="s">
        <v>36</v>
      </c>
      <c r="O276" t="s">
        <v>36</v>
      </c>
      <c r="P276" t="s">
        <v>36</v>
      </c>
      <c r="Q276" t="s">
        <v>36</v>
      </c>
      <c r="R276" t="s">
        <v>36</v>
      </c>
      <c r="S276" t="s">
        <v>36</v>
      </c>
      <c r="T276" t="s">
        <v>36</v>
      </c>
      <c r="U276" t="s">
        <v>36</v>
      </c>
      <c r="V276" t="s">
        <v>36</v>
      </c>
      <c r="W276" t="s">
        <v>36</v>
      </c>
      <c r="X276" t="s">
        <v>36</v>
      </c>
      <c r="Y276" t="s">
        <v>36</v>
      </c>
      <c r="Z276" t="s">
        <v>36</v>
      </c>
      <c r="AA276" t="s">
        <v>36</v>
      </c>
      <c r="AB276" t="s">
        <v>36</v>
      </c>
      <c r="AC276" t="s">
        <v>36</v>
      </c>
      <c r="AD276" t="s">
        <v>36</v>
      </c>
      <c r="AE276" t="s">
        <v>36</v>
      </c>
      <c r="AF276" t="s">
        <v>36</v>
      </c>
      <c r="AG276" t="s">
        <v>36</v>
      </c>
      <c r="AH276" t="s">
        <v>36</v>
      </c>
      <c r="AI276" t="s">
        <v>36</v>
      </c>
      <c r="AJ276" t="s">
        <v>36</v>
      </c>
    </row>
    <row r="277" spans="1:36" x14ac:dyDescent="0.35">
      <c r="A277">
        <v>550</v>
      </c>
      <c r="B277" t="s">
        <v>254</v>
      </c>
      <c r="C277" t="s">
        <v>36</v>
      </c>
      <c r="D277" t="s">
        <v>36</v>
      </c>
      <c r="E277" t="s">
        <v>36</v>
      </c>
      <c r="F277" t="s">
        <v>36</v>
      </c>
      <c r="G277" t="s">
        <v>36</v>
      </c>
      <c r="H277" t="s">
        <v>36</v>
      </c>
      <c r="I277" t="s">
        <v>36</v>
      </c>
      <c r="J277" t="s">
        <v>36</v>
      </c>
      <c r="K277" t="s">
        <v>36</v>
      </c>
      <c r="L277" t="s">
        <v>36</v>
      </c>
      <c r="M277" t="s">
        <v>36</v>
      </c>
      <c r="N277" t="s">
        <v>36</v>
      </c>
      <c r="O277" t="s">
        <v>36</v>
      </c>
      <c r="P277" t="s">
        <v>36</v>
      </c>
      <c r="Q277" t="s">
        <v>36</v>
      </c>
      <c r="R277" t="s">
        <v>36</v>
      </c>
      <c r="S277" t="s">
        <v>36</v>
      </c>
      <c r="T277" t="s">
        <v>36</v>
      </c>
      <c r="U277" t="s">
        <v>36</v>
      </c>
      <c r="V277" t="s">
        <v>36</v>
      </c>
      <c r="W277" t="s">
        <v>36</v>
      </c>
      <c r="X277" t="s">
        <v>36</v>
      </c>
      <c r="Y277" t="s">
        <v>36</v>
      </c>
      <c r="Z277" t="s">
        <v>36</v>
      </c>
      <c r="AA277" t="s">
        <v>36</v>
      </c>
      <c r="AB277" t="s">
        <v>36</v>
      </c>
      <c r="AC277" t="s">
        <v>36</v>
      </c>
      <c r="AD277" t="s">
        <v>36</v>
      </c>
      <c r="AE277" t="s">
        <v>36</v>
      </c>
      <c r="AF277" t="s">
        <v>36</v>
      </c>
      <c r="AG277" t="s">
        <v>36</v>
      </c>
      <c r="AH277" t="s">
        <v>36</v>
      </c>
      <c r="AI277" t="s">
        <v>36</v>
      </c>
      <c r="AJ277" t="s">
        <v>36</v>
      </c>
    </row>
    <row r="278" spans="1:36" x14ac:dyDescent="0.35">
      <c r="A278">
        <v>555</v>
      </c>
      <c r="B278" t="s">
        <v>259</v>
      </c>
      <c r="C278" t="s">
        <v>36</v>
      </c>
      <c r="D278" t="s">
        <v>36</v>
      </c>
      <c r="E278" t="s">
        <v>36</v>
      </c>
      <c r="F278" t="s">
        <v>36</v>
      </c>
      <c r="G278" t="s">
        <v>36</v>
      </c>
      <c r="H278" t="s">
        <v>36</v>
      </c>
      <c r="I278" t="s">
        <v>36</v>
      </c>
      <c r="J278" t="s">
        <v>36</v>
      </c>
      <c r="K278" t="s">
        <v>36</v>
      </c>
      <c r="L278" t="s">
        <v>36</v>
      </c>
      <c r="M278" t="s">
        <v>36</v>
      </c>
      <c r="N278" t="s">
        <v>36</v>
      </c>
      <c r="O278" t="s">
        <v>36</v>
      </c>
      <c r="P278" t="s">
        <v>36</v>
      </c>
      <c r="Q278" t="s">
        <v>36</v>
      </c>
      <c r="R278" t="s">
        <v>36</v>
      </c>
      <c r="S278" t="s">
        <v>36</v>
      </c>
      <c r="T278" t="s">
        <v>36</v>
      </c>
      <c r="U278" t="s">
        <v>36</v>
      </c>
      <c r="V278" t="s">
        <v>36</v>
      </c>
      <c r="W278" t="s">
        <v>36</v>
      </c>
      <c r="X278" t="s">
        <v>36</v>
      </c>
      <c r="Y278" t="s">
        <v>36</v>
      </c>
      <c r="Z278" t="s">
        <v>36</v>
      </c>
      <c r="AA278" t="s">
        <v>36</v>
      </c>
      <c r="AB278" t="s">
        <v>36</v>
      </c>
      <c r="AC278" t="s">
        <v>36</v>
      </c>
      <c r="AD278" t="s">
        <v>36</v>
      </c>
      <c r="AE278" t="s">
        <v>36</v>
      </c>
      <c r="AF278" t="s">
        <v>36</v>
      </c>
      <c r="AG278" t="s">
        <v>36</v>
      </c>
      <c r="AH278" t="s">
        <v>36</v>
      </c>
      <c r="AI278" t="s">
        <v>36</v>
      </c>
      <c r="AJ278" t="s">
        <v>36</v>
      </c>
    </row>
    <row r="279" spans="1:36" x14ac:dyDescent="0.35">
      <c r="A279">
        <v>556</v>
      </c>
      <c r="B279" t="s">
        <v>260</v>
      </c>
      <c r="C279" t="s">
        <v>36</v>
      </c>
      <c r="D279" t="s">
        <v>36</v>
      </c>
      <c r="E279" t="s">
        <v>36</v>
      </c>
      <c r="F279" t="s">
        <v>36</v>
      </c>
      <c r="G279" t="s">
        <v>36</v>
      </c>
      <c r="H279" t="s">
        <v>36</v>
      </c>
      <c r="I279" t="s">
        <v>36</v>
      </c>
      <c r="J279" t="s">
        <v>36</v>
      </c>
      <c r="K279" t="s">
        <v>36</v>
      </c>
      <c r="L279" t="s">
        <v>36</v>
      </c>
      <c r="M279" t="s">
        <v>36</v>
      </c>
      <c r="N279" t="s">
        <v>36</v>
      </c>
      <c r="O279" t="s">
        <v>36</v>
      </c>
      <c r="P279" t="s">
        <v>36</v>
      </c>
      <c r="Q279" t="s">
        <v>36</v>
      </c>
      <c r="R279" t="s">
        <v>36</v>
      </c>
      <c r="S279" t="s">
        <v>36</v>
      </c>
      <c r="T279" t="s">
        <v>36</v>
      </c>
      <c r="U279" t="s">
        <v>36</v>
      </c>
      <c r="V279" t="s">
        <v>36</v>
      </c>
      <c r="W279" t="s">
        <v>36</v>
      </c>
      <c r="X279" t="s">
        <v>36</v>
      </c>
      <c r="Y279" t="s">
        <v>36</v>
      </c>
      <c r="Z279" t="s">
        <v>36</v>
      </c>
      <c r="AA279" t="s">
        <v>36</v>
      </c>
      <c r="AB279" t="s">
        <v>36</v>
      </c>
      <c r="AC279" t="s">
        <v>36</v>
      </c>
      <c r="AD279" t="s">
        <v>36</v>
      </c>
      <c r="AE279" t="s">
        <v>36</v>
      </c>
      <c r="AF279" t="s">
        <v>36</v>
      </c>
      <c r="AG279" t="s">
        <v>36</v>
      </c>
      <c r="AH279" t="s">
        <v>36</v>
      </c>
      <c r="AI279" t="s">
        <v>36</v>
      </c>
      <c r="AJ279" t="s">
        <v>36</v>
      </c>
    </row>
    <row r="280" spans="1:36" x14ac:dyDescent="0.35">
      <c r="A280">
        <v>557</v>
      </c>
      <c r="B280" t="s">
        <v>261</v>
      </c>
      <c r="C280" t="s">
        <v>36</v>
      </c>
      <c r="D280" t="s">
        <v>36</v>
      </c>
      <c r="E280" t="s">
        <v>36</v>
      </c>
      <c r="F280" t="s">
        <v>36</v>
      </c>
      <c r="G280" t="s">
        <v>36</v>
      </c>
      <c r="H280" t="s">
        <v>36</v>
      </c>
      <c r="I280" t="s">
        <v>36</v>
      </c>
      <c r="J280" t="s">
        <v>36</v>
      </c>
      <c r="K280" t="s">
        <v>36</v>
      </c>
      <c r="L280" t="s">
        <v>36</v>
      </c>
      <c r="M280" t="s">
        <v>36</v>
      </c>
      <c r="N280" t="s">
        <v>36</v>
      </c>
      <c r="O280" t="s">
        <v>36</v>
      </c>
      <c r="P280" t="s">
        <v>36</v>
      </c>
      <c r="Q280" t="s">
        <v>36</v>
      </c>
      <c r="R280" t="s">
        <v>36</v>
      </c>
      <c r="S280" t="s">
        <v>36</v>
      </c>
      <c r="T280" t="s">
        <v>36</v>
      </c>
      <c r="U280" t="s">
        <v>36</v>
      </c>
      <c r="V280" t="s">
        <v>36</v>
      </c>
      <c r="W280" t="s">
        <v>36</v>
      </c>
      <c r="X280" t="s">
        <v>36</v>
      </c>
      <c r="Y280" t="s">
        <v>36</v>
      </c>
      <c r="Z280" t="s">
        <v>36</v>
      </c>
      <c r="AA280" t="s">
        <v>36</v>
      </c>
      <c r="AB280" t="s">
        <v>36</v>
      </c>
      <c r="AC280" t="s">
        <v>36</v>
      </c>
      <c r="AD280" t="s">
        <v>36</v>
      </c>
      <c r="AE280" t="s">
        <v>36</v>
      </c>
      <c r="AF280" t="s">
        <v>36</v>
      </c>
      <c r="AG280" t="s">
        <v>36</v>
      </c>
      <c r="AH280" t="s">
        <v>36</v>
      </c>
      <c r="AI280" t="s">
        <v>36</v>
      </c>
      <c r="AJ280" t="s">
        <v>36</v>
      </c>
    </row>
    <row r="281" spans="1:36" x14ac:dyDescent="0.35">
      <c r="A281">
        <v>551</v>
      </c>
      <c r="B281" t="s">
        <v>255</v>
      </c>
      <c r="C281" t="s">
        <v>36</v>
      </c>
      <c r="D281" t="s">
        <v>36</v>
      </c>
      <c r="E281" t="s">
        <v>36</v>
      </c>
      <c r="F281" t="s">
        <v>36</v>
      </c>
      <c r="G281" t="s">
        <v>36</v>
      </c>
      <c r="H281" t="s">
        <v>36</v>
      </c>
      <c r="I281" t="s">
        <v>36</v>
      </c>
      <c r="J281" t="s">
        <v>36</v>
      </c>
      <c r="K281" t="s">
        <v>36</v>
      </c>
      <c r="L281" t="s">
        <v>36</v>
      </c>
      <c r="M281" t="s">
        <v>36</v>
      </c>
      <c r="N281" t="s">
        <v>36</v>
      </c>
      <c r="O281" t="s">
        <v>36</v>
      </c>
      <c r="P281" t="s">
        <v>36</v>
      </c>
      <c r="Q281" t="s">
        <v>36</v>
      </c>
      <c r="R281" t="s">
        <v>36</v>
      </c>
      <c r="S281" t="s">
        <v>36</v>
      </c>
      <c r="T281" t="s">
        <v>36</v>
      </c>
      <c r="U281" t="s">
        <v>36</v>
      </c>
      <c r="V281" t="s">
        <v>36</v>
      </c>
      <c r="W281" t="s">
        <v>36</v>
      </c>
      <c r="X281" t="s">
        <v>36</v>
      </c>
      <c r="Y281" t="s">
        <v>36</v>
      </c>
      <c r="Z281" t="s">
        <v>36</v>
      </c>
      <c r="AA281" t="s">
        <v>36</v>
      </c>
      <c r="AB281" t="s">
        <v>36</v>
      </c>
      <c r="AC281" t="s">
        <v>36</v>
      </c>
      <c r="AD281" t="s">
        <v>36</v>
      </c>
      <c r="AE281" t="s">
        <v>36</v>
      </c>
      <c r="AF281" t="s">
        <v>36</v>
      </c>
      <c r="AG281" t="s">
        <v>36</v>
      </c>
      <c r="AH281" t="s">
        <v>36</v>
      </c>
      <c r="AI281" t="s">
        <v>36</v>
      </c>
      <c r="AJ281" t="s">
        <v>36</v>
      </c>
    </row>
    <row r="282" spans="1:36" x14ac:dyDescent="0.35">
      <c r="A282">
        <v>129</v>
      </c>
      <c r="B282" t="s">
        <v>120</v>
      </c>
      <c r="C282" t="s">
        <v>36</v>
      </c>
      <c r="D282" s="1">
        <v>42058.680555555555</v>
      </c>
      <c r="E282" t="s">
        <v>36</v>
      </c>
      <c r="F282" t="s">
        <v>36</v>
      </c>
      <c r="G282" t="s">
        <v>36</v>
      </c>
      <c r="H282" t="s">
        <v>36</v>
      </c>
      <c r="I282" t="s">
        <v>36</v>
      </c>
      <c r="J282" t="s">
        <v>36</v>
      </c>
      <c r="K282" t="s">
        <v>36</v>
      </c>
      <c r="L282" t="s">
        <v>36</v>
      </c>
      <c r="M282" t="s">
        <v>36</v>
      </c>
      <c r="N282" s="1">
        <v>42735.993055555555</v>
      </c>
      <c r="O282" s="1">
        <v>42206.583333333336</v>
      </c>
      <c r="P282" t="s">
        <v>36</v>
      </c>
      <c r="Q282" t="s">
        <v>36</v>
      </c>
      <c r="R282" t="s">
        <v>36</v>
      </c>
      <c r="S282" t="s">
        <v>36</v>
      </c>
      <c r="T282" t="s">
        <v>36</v>
      </c>
      <c r="U282" t="s">
        <v>36</v>
      </c>
      <c r="V282" t="s">
        <v>36</v>
      </c>
      <c r="W282" t="s">
        <v>36</v>
      </c>
      <c r="X282" s="1">
        <v>42193.652777777781</v>
      </c>
      <c r="Y282" t="s">
        <v>36</v>
      </c>
      <c r="Z282" t="s">
        <v>36</v>
      </c>
      <c r="AA282" t="s">
        <v>36</v>
      </c>
      <c r="AB282" t="s">
        <v>36</v>
      </c>
      <c r="AC282" t="s">
        <v>36</v>
      </c>
      <c r="AD282" t="s">
        <v>36</v>
      </c>
      <c r="AE282" t="s">
        <v>36</v>
      </c>
      <c r="AF282" t="s">
        <v>36</v>
      </c>
      <c r="AG282" t="s">
        <v>36</v>
      </c>
      <c r="AH282" t="s">
        <v>36</v>
      </c>
      <c r="AI282" t="s">
        <v>36</v>
      </c>
      <c r="AJ282" t="s">
        <v>36</v>
      </c>
    </row>
    <row r="283" spans="1:36" x14ac:dyDescent="0.35">
      <c r="A283">
        <v>297</v>
      </c>
      <c r="B283" t="s">
        <v>177</v>
      </c>
      <c r="C283" s="1">
        <v>42528.291666666664</v>
      </c>
      <c r="D283" t="s">
        <v>36</v>
      </c>
      <c r="E283" t="s">
        <v>36</v>
      </c>
      <c r="F283" t="s">
        <v>36</v>
      </c>
      <c r="G283" t="s">
        <v>36</v>
      </c>
      <c r="H283" t="s">
        <v>36</v>
      </c>
      <c r="I283" t="s">
        <v>36</v>
      </c>
      <c r="J283" t="s">
        <v>36</v>
      </c>
      <c r="K283" s="1">
        <v>42528.291666666664</v>
      </c>
      <c r="L283" t="s">
        <v>36</v>
      </c>
      <c r="M283" t="s">
        <v>36</v>
      </c>
      <c r="N283" t="s">
        <v>36</v>
      </c>
      <c r="O283" t="s">
        <v>36</v>
      </c>
      <c r="P283" t="s">
        <v>36</v>
      </c>
      <c r="Q283" t="s">
        <v>36</v>
      </c>
      <c r="R283" t="s">
        <v>36</v>
      </c>
      <c r="S283" t="s">
        <v>36</v>
      </c>
      <c r="T283" t="s">
        <v>36</v>
      </c>
      <c r="U283" t="s">
        <v>36</v>
      </c>
      <c r="V283" s="1">
        <v>42473.520833333336</v>
      </c>
      <c r="W283" t="s">
        <v>36</v>
      </c>
      <c r="X283" t="s">
        <v>36</v>
      </c>
      <c r="Y283" t="s">
        <v>36</v>
      </c>
      <c r="Z283" s="1">
        <v>42648.465277777781</v>
      </c>
      <c r="AA283" t="s">
        <v>36</v>
      </c>
      <c r="AB283" t="s">
        <v>36</v>
      </c>
      <c r="AC283" s="1">
        <v>42485.743055555555</v>
      </c>
      <c r="AD283" s="1">
        <v>43009</v>
      </c>
      <c r="AE283" t="s">
        <v>36</v>
      </c>
      <c r="AF283" t="s">
        <v>36</v>
      </c>
      <c r="AG283" t="s">
        <v>36</v>
      </c>
      <c r="AH283" t="s">
        <v>36</v>
      </c>
      <c r="AI283" t="s">
        <v>36</v>
      </c>
      <c r="AJ283" t="s">
        <v>36</v>
      </c>
    </row>
    <row r="284" spans="1:36" x14ac:dyDescent="0.35">
      <c r="A284">
        <v>4094</v>
      </c>
      <c r="B284" t="s">
        <v>996</v>
      </c>
      <c r="C284" s="1">
        <v>43854.465277777781</v>
      </c>
      <c r="D284" t="s">
        <v>36</v>
      </c>
      <c r="E284" t="s">
        <v>36</v>
      </c>
      <c r="F284" t="s">
        <v>36</v>
      </c>
      <c r="G284" t="s">
        <v>36</v>
      </c>
      <c r="H284" t="s">
        <v>36</v>
      </c>
      <c r="I284" t="s">
        <v>36</v>
      </c>
      <c r="J284" t="s">
        <v>36</v>
      </c>
      <c r="K284" s="1">
        <v>43854.465277777781</v>
      </c>
      <c r="L284" t="s">
        <v>36</v>
      </c>
      <c r="M284" t="s">
        <v>36</v>
      </c>
      <c r="N284" t="s">
        <v>36</v>
      </c>
      <c r="O284" t="s">
        <v>36</v>
      </c>
      <c r="P284" t="s">
        <v>36</v>
      </c>
      <c r="Q284" t="s">
        <v>36</v>
      </c>
      <c r="R284" t="s">
        <v>36</v>
      </c>
      <c r="S284" t="s">
        <v>36</v>
      </c>
      <c r="T284" t="s">
        <v>36</v>
      </c>
      <c r="U284" t="s">
        <v>36</v>
      </c>
      <c r="V284" s="1">
        <v>43857.458333333336</v>
      </c>
      <c r="W284" t="s">
        <v>36</v>
      </c>
      <c r="X284" t="s">
        <v>36</v>
      </c>
      <c r="Y284" t="s">
        <v>36</v>
      </c>
      <c r="Z284" s="1">
        <v>43854.465277777781</v>
      </c>
      <c r="AA284" t="s">
        <v>36</v>
      </c>
      <c r="AB284" t="s">
        <v>36</v>
      </c>
      <c r="AC284" s="1">
        <v>43854.423611111109</v>
      </c>
      <c r="AD284" s="1">
        <v>43854.465277777781</v>
      </c>
      <c r="AE284" t="s">
        <v>36</v>
      </c>
      <c r="AF284" t="s">
        <v>36</v>
      </c>
      <c r="AG284" t="s">
        <v>36</v>
      </c>
      <c r="AH284" t="s">
        <v>36</v>
      </c>
      <c r="AI284" t="s">
        <v>36</v>
      </c>
      <c r="AJ284" t="s">
        <v>36</v>
      </c>
    </row>
    <row r="285" spans="1:36" x14ac:dyDescent="0.35">
      <c r="A285">
        <v>4095</v>
      </c>
      <c r="B285" t="s">
        <v>997</v>
      </c>
      <c r="C285" s="1">
        <v>43854.465277777781</v>
      </c>
      <c r="D285" t="s">
        <v>36</v>
      </c>
      <c r="E285" t="s">
        <v>36</v>
      </c>
      <c r="F285" t="s">
        <v>36</v>
      </c>
      <c r="G285" t="s">
        <v>36</v>
      </c>
      <c r="H285" t="s">
        <v>36</v>
      </c>
      <c r="I285" t="s">
        <v>36</v>
      </c>
      <c r="J285" t="s">
        <v>36</v>
      </c>
      <c r="K285" s="1">
        <v>43854.465277777781</v>
      </c>
      <c r="L285" t="s">
        <v>36</v>
      </c>
      <c r="M285" t="s">
        <v>36</v>
      </c>
      <c r="N285" t="s">
        <v>36</v>
      </c>
      <c r="O285" t="s">
        <v>36</v>
      </c>
      <c r="P285" t="s">
        <v>36</v>
      </c>
      <c r="Q285" t="s">
        <v>36</v>
      </c>
      <c r="R285" t="s">
        <v>36</v>
      </c>
      <c r="S285" t="s">
        <v>36</v>
      </c>
      <c r="T285" t="s">
        <v>36</v>
      </c>
      <c r="U285" t="s">
        <v>36</v>
      </c>
      <c r="V285" s="1">
        <v>43857.458333333336</v>
      </c>
      <c r="W285" t="s">
        <v>36</v>
      </c>
      <c r="X285" t="s">
        <v>36</v>
      </c>
      <c r="Y285" t="s">
        <v>36</v>
      </c>
      <c r="Z285" s="1">
        <v>43854.465277777781</v>
      </c>
      <c r="AA285" t="s">
        <v>36</v>
      </c>
      <c r="AB285" t="s">
        <v>36</v>
      </c>
      <c r="AC285" s="1">
        <v>43854.423611111109</v>
      </c>
      <c r="AD285" s="1">
        <v>43854.465277777781</v>
      </c>
      <c r="AE285" t="s">
        <v>36</v>
      </c>
      <c r="AF285" t="s">
        <v>36</v>
      </c>
      <c r="AG285" t="s">
        <v>36</v>
      </c>
      <c r="AH285" t="s">
        <v>36</v>
      </c>
      <c r="AI285" t="s">
        <v>36</v>
      </c>
      <c r="AJ285" t="s">
        <v>36</v>
      </c>
    </row>
    <row r="286" spans="1:36" x14ac:dyDescent="0.35">
      <c r="A286">
        <v>4096</v>
      </c>
      <c r="B286" t="s">
        <v>998</v>
      </c>
      <c r="C286" s="1">
        <v>43854.465277777781</v>
      </c>
      <c r="D286" t="s">
        <v>36</v>
      </c>
      <c r="E286" t="s">
        <v>36</v>
      </c>
      <c r="F286" t="s">
        <v>36</v>
      </c>
      <c r="G286" t="s">
        <v>36</v>
      </c>
      <c r="H286" t="s">
        <v>36</v>
      </c>
      <c r="I286" t="s">
        <v>36</v>
      </c>
      <c r="J286" t="s">
        <v>36</v>
      </c>
      <c r="K286" s="1">
        <v>43854.465277777781</v>
      </c>
      <c r="L286" t="s">
        <v>36</v>
      </c>
      <c r="M286" t="s">
        <v>36</v>
      </c>
      <c r="N286" t="s">
        <v>36</v>
      </c>
      <c r="O286" t="s">
        <v>36</v>
      </c>
      <c r="P286" t="s">
        <v>36</v>
      </c>
      <c r="Q286" t="s">
        <v>36</v>
      </c>
      <c r="R286" t="s">
        <v>36</v>
      </c>
      <c r="S286" t="s">
        <v>36</v>
      </c>
      <c r="T286" t="s">
        <v>36</v>
      </c>
      <c r="U286" t="s">
        <v>36</v>
      </c>
      <c r="V286" s="1">
        <v>43857.458333333336</v>
      </c>
      <c r="W286" t="s">
        <v>36</v>
      </c>
      <c r="X286" t="s">
        <v>36</v>
      </c>
      <c r="Y286" t="s">
        <v>36</v>
      </c>
      <c r="Z286" s="1">
        <v>43854.465277777781</v>
      </c>
      <c r="AA286" t="s">
        <v>36</v>
      </c>
      <c r="AB286" t="s">
        <v>36</v>
      </c>
      <c r="AC286" s="1">
        <v>43854.423611111109</v>
      </c>
      <c r="AD286" s="1">
        <v>43854.465277777781</v>
      </c>
      <c r="AE286" t="s">
        <v>36</v>
      </c>
      <c r="AF286" t="s">
        <v>36</v>
      </c>
      <c r="AG286" t="s">
        <v>36</v>
      </c>
      <c r="AH286" t="s">
        <v>36</v>
      </c>
      <c r="AI286" t="s">
        <v>36</v>
      </c>
      <c r="AJ286" t="s">
        <v>36</v>
      </c>
    </row>
    <row r="287" spans="1:36" x14ac:dyDescent="0.35">
      <c r="A287">
        <v>325</v>
      </c>
      <c r="B287" t="s">
        <v>193</v>
      </c>
      <c r="C287" t="s">
        <v>36</v>
      </c>
      <c r="D287" t="s">
        <v>36</v>
      </c>
      <c r="E287" t="s">
        <v>36</v>
      </c>
      <c r="F287" t="s">
        <v>36</v>
      </c>
      <c r="G287" s="1">
        <v>41426</v>
      </c>
      <c r="H287" t="s">
        <v>36</v>
      </c>
      <c r="I287" t="s">
        <v>36</v>
      </c>
      <c r="J287" t="s">
        <v>36</v>
      </c>
      <c r="K287" t="s">
        <v>36</v>
      </c>
      <c r="L287" t="s">
        <v>36</v>
      </c>
      <c r="M287" t="s">
        <v>36</v>
      </c>
      <c r="N287" t="s">
        <v>36</v>
      </c>
      <c r="O287" t="s">
        <v>36</v>
      </c>
      <c r="P287" s="1">
        <v>43059.576388888891</v>
      </c>
      <c r="Q287" t="s">
        <v>36</v>
      </c>
      <c r="R287" t="s">
        <v>36</v>
      </c>
      <c r="S287" t="s">
        <v>36</v>
      </c>
      <c r="T287" s="1">
        <v>42528.291666666664</v>
      </c>
      <c r="U287" t="s">
        <v>36</v>
      </c>
      <c r="V287" t="s">
        <v>36</v>
      </c>
      <c r="W287" t="s">
        <v>36</v>
      </c>
      <c r="X287" t="s">
        <v>36</v>
      </c>
      <c r="Y287" t="s">
        <v>36</v>
      </c>
      <c r="Z287" t="s">
        <v>36</v>
      </c>
      <c r="AA287" t="s">
        <v>36</v>
      </c>
      <c r="AB287" t="s">
        <v>36</v>
      </c>
      <c r="AC287" t="s">
        <v>36</v>
      </c>
      <c r="AD287" t="s">
        <v>36</v>
      </c>
      <c r="AE287" t="s">
        <v>36</v>
      </c>
      <c r="AF287" s="1">
        <v>42058.680555555555</v>
      </c>
      <c r="AG287" s="32">
        <v>43040</v>
      </c>
      <c r="AH287" t="s">
        <v>36</v>
      </c>
      <c r="AI287" s="1">
        <v>41426</v>
      </c>
      <c r="AJ287" s="1">
        <v>43059.576388888891</v>
      </c>
    </row>
    <row r="288" spans="1:36" x14ac:dyDescent="0.35">
      <c r="A288">
        <v>291</v>
      </c>
      <c r="B288" t="s">
        <v>171</v>
      </c>
      <c r="C288" t="s">
        <v>36</v>
      </c>
      <c r="D288" t="s">
        <v>36</v>
      </c>
      <c r="E288" t="s">
        <v>36</v>
      </c>
      <c r="F288" t="s">
        <v>36</v>
      </c>
      <c r="G288" t="s">
        <v>36</v>
      </c>
      <c r="H288" t="s">
        <v>36</v>
      </c>
      <c r="I288" t="s">
        <v>36</v>
      </c>
      <c r="J288" t="s">
        <v>36</v>
      </c>
      <c r="K288" t="s">
        <v>36</v>
      </c>
      <c r="L288" t="s">
        <v>36</v>
      </c>
      <c r="M288" t="s">
        <v>36</v>
      </c>
      <c r="N288" t="s">
        <v>36</v>
      </c>
      <c r="O288" t="s">
        <v>36</v>
      </c>
      <c r="P288" t="s">
        <v>36</v>
      </c>
      <c r="Q288" t="s">
        <v>36</v>
      </c>
      <c r="R288" t="s">
        <v>36</v>
      </c>
      <c r="S288" t="s">
        <v>36</v>
      </c>
      <c r="T288" t="s">
        <v>36</v>
      </c>
      <c r="U288" t="s">
        <v>36</v>
      </c>
      <c r="V288" t="s">
        <v>36</v>
      </c>
      <c r="W288" t="s">
        <v>36</v>
      </c>
      <c r="X288" t="s">
        <v>36</v>
      </c>
      <c r="Y288" t="s">
        <v>36</v>
      </c>
      <c r="Z288" t="s">
        <v>36</v>
      </c>
      <c r="AA288" t="s">
        <v>36</v>
      </c>
      <c r="AB288" t="s">
        <v>36</v>
      </c>
      <c r="AC288" t="s">
        <v>36</v>
      </c>
      <c r="AD288" t="s">
        <v>36</v>
      </c>
      <c r="AE288" t="s">
        <v>36</v>
      </c>
      <c r="AF288" t="s">
        <v>36</v>
      </c>
      <c r="AG288" t="s">
        <v>36</v>
      </c>
      <c r="AH288" t="s">
        <v>36</v>
      </c>
      <c r="AI288" t="s">
        <v>36</v>
      </c>
      <c r="AJ288" t="s">
        <v>36</v>
      </c>
    </row>
    <row r="289" spans="1:36" x14ac:dyDescent="0.35">
      <c r="A289">
        <v>292</v>
      </c>
      <c r="B289" t="s">
        <v>172</v>
      </c>
      <c r="C289" t="s">
        <v>36</v>
      </c>
      <c r="D289" t="s">
        <v>36</v>
      </c>
      <c r="E289" t="s">
        <v>36</v>
      </c>
      <c r="F289" t="s">
        <v>36</v>
      </c>
      <c r="G289" t="s">
        <v>36</v>
      </c>
      <c r="H289" t="s">
        <v>36</v>
      </c>
      <c r="I289" t="s">
        <v>36</v>
      </c>
      <c r="J289" t="s">
        <v>36</v>
      </c>
      <c r="K289" t="s">
        <v>36</v>
      </c>
      <c r="L289" t="s">
        <v>36</v>
      </c>
      <c r="M289" t="s">
        <v>36</v>
      </c>
      <c r="N289" t="s">
        <v>36</v>
      </c>
      <c r="O289" t="s">
        <v>36</v>
      </c>
      <c r="P289" t="s">
        <v>36</v>
      </c>
      <c r="Q289" t="s">
        <v>36</v>
      </c>
      <c r="R289" t="s">
        <v>36</v>
      </c>
      <c r="S289" t="s">
        <v>36</v>
      </c>
      <c r="T289" t="s">
        <v>36</v>
      </c>
      <c r="U289" t="s">
        <v>36</v>
      </c>
      <c r="V289" t="s">
        <v>36</v>
      </c>
      <c r="W289" t="s">
        <v>36</v>
      </c>
      <c r="X289" t="s">
        <v>36</v>
      </c>
      <c r="Y289" t="s">
        <v>36</v>
      </c>
      <c r="Z289" t="s">
        <v>36</v>
      </c>
      <c r="AA289" t="s">
        <v>36</v>
      </c>
      <c r="AB289" t="s">
        <v>36</v>
      </c>
      <c r="AC289" t="s">
        <v>36</v>
      </c>
      <c r="AD289" t="s">
        <v>36</v>
      </c>
      <c r="AE289" t="s">
        <v>36</v>
      </c>
      <c r="AF289" t="s">
        <v>36</v>
      </c>
      <c r="AG289" t="s">
        <v>36</v>
      </c>
      <c r="AH289" t="s">
        <v>36</v>
      </c>
      <c r="AI289" t="s">
        <v>36</v>
      </c>
      <c r="AJ289" t="s">
        <v>36</v>
      </c>
    </row>
    <row r="290" spans="1:36" x14ac:dyDescent="0.35">
      <c r="A290">
        <v>293</v>
      </c>
      <c r="B290" t="s">
        <v>173</v>
      </c>
      <c r="C290" t="s">
        <v>36</v>
      </c>
      <c r="D290" t="s">
        <v>36</v>
      </c>
      <c r="E290" t="s">
        <v>36</v>
      </c>
      <c r="F290" t="s">
        <v>36</v>
      </c>
      <c r="G290" t="s">
        <v>36</v>
      </c>
      <c r="H290" t="s">
        <v>36</v>
      </c>
      <c r="I290" t="s">
        <v>36</v>
      </c>
      <c r="J290" t="s">
        <v>36</v>
      </c>
      <c r="K290" t="s">
        <v>36</v>
      </c>
      <c r="L290" t="s">
        <v>36</v>
      </c>
      <c r="M290" t="s">
        <v>36</v>
      </c>
      <c r="N290" t="s">
        <v>36</v>
      </c>
      <c r="O290" t="s">
        <v>36</v>
      </c>
      <c r="P290" t="s">
        <v>36</v>
      </c>
      <c r="Q290" t="s">
        <v>36</v>
      </c>
      <c r="R290" t="s">
        <v>36</v>
      </c>
      <c r="S290" t="s">
        <v>36</v>
      </c>
      <c r="T290" t="s">
        <v>36</v>
      </c>
      <c r="U290" t="s">
        <v>36</v>
      </c>
      <c r="V290" t="s">
        <v>36</v>
      </c>
      <c r="W290" t="s">
        <v>36</v>
      </c>
      <c r="X290" t="s">
        <v>36</v>
      </c>
      <c r="Y290" t="s">
        <v>36</v>
      </c>
      <c r="Z290" t="s">
        <v>36</v>
      </c>
      <c r="AA290" t="s">
        <v>36</v>
      </c>
      <c r="AB290" t="s">
        <v>36</v>
      </c>
      <c r="AC290" t="s">
        <v>36</v>
      </c>
      <c r="AD290" t="s">
        <v>36</v>
      </c>
      <c r="AE290" t="s">
        <v>36</v>
      </c>
      <c r="AF290" t="s">
        <v>36</v>
      </c>
      <c r="AG290" t="s">
        <v>36</v>
      </c>
      <c r="AH290" t="s">
        <v>36</v>
      </c>
      <c r="AI290" t="s">
        <v>36</v>
      </c>
      <c r="AJ290" t="s">
        <v>36</v>
      </c>
    </row>
    <row r="291" spans="1:36" x14ac:dyDescent="0.35">
      <c r="A291">
        <v>85</v>
      </c>
      <c r="B291" t="s">
        <v>98</v>
      </c>
      <c r="C291" s="1">
        <v>42528.291666666664</v>
      </c>
      <c r="D291" s="1">
        <v>42058.680555555555</v>
      </c>
      <c r="E291" s="1">
        <v>39245.465277777781</v>
      </c>
      <c r="F291" s="1">
        <v>42735.993055555555</v>
      </c>
      <c r="G291" s="1">
        <v>41426</v>
      </c>
      <c r="H291" s="1">
        <v>43059.576388888891</v>
      </c>
      <c r="I291" s="1">
        <v>38757.354166666664</v>
      </c>
      <c r="J291" s="1">
        <v>39631.4375</v>
      </c>
      <c r="K291" s="1">
        <v>42528.291666666664</v>
      </c>
      <c r="L291" s="1">
        <v>42058.680555555555</v>
      </c>
      <c r="M291" t="s">
        <v>36</v>
      </c>
      <c r="N291" s="1">
        <v>42735.993055555555</v>
      </c>
      <c r="O291" s="1">
        <v>42206.583333333336</v>
      </c>
      <c r="P291" s="1">
        <v>43059.576388888891</v>
      </c>
      <c r="Q291" t="s">
        <v>36</v>
      </c>
      <c r="R291" t="s">
        <v>36</v>
      </c>
      <c r="S291" s="1">
        <v>42735.993055555555</v>
      </c>
      <c r="T291" s="1">
        <v>42528.291666666664</v>
      </c>
      <c r="U291" s="1">
        <v>43054.631944444445</v>
      </c>
      <c r="V291" s="1">
        <v>42473.520833333336</v>
      </c>
      <c r="W291" t="s">
        <v>36</v>
      </c>
      <c r="X291" s="1">
        <v>42193.652777777781</v>
      </c>
      <c r="Y291" t="s">
        <v>36</v>
      </c>
      <c r="Z291" s="1">
        <v>42648.465277777781</v>
      </c>
      <c r="AA291" s="1">
        <v>43054.611111111109</v>
      </c>
      <c r="AB291" t="s">
        <v>36</v>
      </c>
      <c r="AC291" s="1">
        <v>42485.743055555555</v>
      </c>
      <c r="AD291" s="1">
        <v>43009</v>
      </c>
      <c r="AE291" t="s">
        <v>36</v>
      </c>
      <c r="AF291" s="1">
        <v>42058.680555555555</v>
      </c>
      <c r="AG291" t="s">
        <v>36</v>
      </c>
      <c r="AH291" s="1">
        <v>42735.993055555555</v>
      </c>
      <c r="AI291" s="1">
        <v>41426</v>
      </c>
      <c r="AJ291" s="1">
        <v>43059.576388888891</v>
      </c>
    </row>
    <row r="292" spans="1:36" x14ac:dyDescent="0.35">
      <c r="A292">
        <v>3517</v>
      </c>
      <c r="B292" t="s">
        <v>926</v>
      </c>
      <c r="C292" s="1">
        <v>43536.388888888891</v>
      </c>
      <c r="D292" t="s">
        <v>36</v>
      </c>
      <c r="E292" t="s">
        <v>36</v>
      </c>
      <c r="F292" t="s">
        <v>36</v>
      </c>
      <c r="G292" s="1">
        <v>43530</v>
      </c>
      <c r="H292" t="s">
        <v>36</v>
      </c>
      <c r="I292" t="s">
        <v>36</v>
      </c>
      <c r="J292" t="s">
        <v>36</v>
      </c>
      <c r="K292" s="1">
        <v>43536.388888888891</v>
      </c>
      <c r="L292" t="s">
        <v>36</v>
      </c>
      <c r="M292" t="s">
        <v>36</v>
      </c>
      <c r="N292" t="s">
        <v>36</v>
      </c>
      <c r="O292" t="s">
        <v>36</v>
      </c>
      <c r="P292" s="1">
        <v>43557</v>
      </c>
      <c r="Q292" t="s">
        <v>36</v>
      </c>
      <c r="R292" t="s">
        <v>36</v>
      </c>
      <c r="S292" t="s">
        <v>36</v>
      </c>
      <c r="T292" s="1">
        <v>43557</v>
      </c>
      <c r="U292" t="s">
        <v>36</v>
      </c>
      <c r="V292" s="1">
        <v>43536.388888888891</v>
      </c>
      <c r="W292" t="s">
        <v>36</v>
      </c>
      <c r="X292" t="s">
        <v>36</v>
      </c>
      <c r="Y292" t="s">
        <v>36</v>
      </c>
      <c r="Z292" s="1">
        <v>43536.388888888891</v>
      </c>
      <c r="AA292" t="s">
        <v>36</v>
      </c>
      <c r="AB292" t="s">
        <v>36</v>
      </c>
      <c r="AC292" s="1">
        <v>43536.388888888891</v>
      </c>
      <c r="AD292" s="1">
        <v>43536.388888888891</v>
      </c>
      <c r="AE292" t="s">
        <v>36</v>
      </c>
      <c r="AF292" s="1">
        <v>43529</v>
      </c>
      <c r="AG292" t="s">
        <v>36</v>
      </c>
      <c r="AH292" t="s">
        <v>36</v>
      </c>
      <c r="AI292" s="1">
        <v>43530</v>
      </c>
      <c r="AJ292" s="1">
        <v>43528</v>
      </c>
    </row>
    <row r="293" spans="1:36" x14ac:dyDescent="0.35">
      <c r="A293">
        <v>3518</v>
      </c>
      <c r="B293" t="s">
        <v>927</v>
      </c>
      <c r="C293" s="1">
        <v>43536.388888888891</v>
      </c>
      <c r="D293" t="s">
        <v>36</v>
      </c>
      <c r="E293" t="s">
        <v>36</v>
      </c>
      <c r="F293" t="s">
        <v>36</v>
      </c>
      <c r="G293" s="1">
        <v>43530</v>
      </c>
      <c r="H293" t="s">
        <v>36</v>
      </c>
      <c r="I293" t="s">
        <v>36</v>
      </c>
      <c r="J293" t="s">
        <v>36</v>
      </c>
      <c r="K293" s="1">
        <v>43536.388888888891</v>
      </c>
      <c r="L293" t="s">
        <v>36</v>
      </c>
      <c r="M293" t="s">
        <v>36</v>
      </c>
      <c r="N293" t="s">
        <v>36</v>
      </c>
      <c r="O293" t="s">
        <v>36</v>
      </c>
      <c r="P293" s="1">
        <v>43556</v>
      </c>
      <c r="Q293" t="s">
        <v>36</v>
      </c>
      <c r="R293" t="s">
        <v>36</v>
      </c>
      <c r="S293" t="s">
        <v>36</v>
      </c>
      <c r="T293" s="1">
        <v>43557</v>
      </c>
      <c r="U293" t="s">
        <v>36</v>
      </c>
      <c r="V293" s="1">
        <v>43536.388888888891</v>
      </c>
      <c r="W293" t="s">
        <v>36</v>
      </c>
      <c r="X293" t="s">
        <v>36</v>
      </c>
      <c r="Y293" t="s">
        <v>36</v>
      </c>
      <c r="Z293" s="1">
        <v>43536.388888888891</v>
      </c>
      <c r="AA293" t="s">
        <v>36</v>
      </c>
      <c r="AB293" t="s">
        <v>36</v>
      </c>
      <c r="AC293" s="1">
        <v>43536.388888888891</v>
      </c>
      <c r="AD293" s="1">
        <v>43536.388888888891</v>
      </c>
      <c r="AE293" t="s">
        <v>36</v>
      </c>
      <c r="AF293" s="1">
        <v>43529</v>
      </c>
      <c r="AG293" t="s">
        <v>36</v>
      </c>
      <c r="AH293" t="s">
        <v>36</v>
      </c>
      <c r="AI293" s="1">
        <v>43530</v>
      </c>
      <c r="AJ293" s="1">
        <v>43528</v>
      </c>
    </row>
    <row r="294" spans="1:36" x14ac:dyDescent="0.35">
      <c r="A294">
        <v>3519</v>
      </c>
      <c r="B294" t="s">
        <v>928</v>
      </c>
      <c r="C294" s="1">
        <v>43536.388888888891</v>
      </c>
      <c r="D294" t="s">
        <v>36</v>
      </c>
      <c r="E294" t="s">
        <v>36</v>
      </c>
      <c r="F294" t="s">
        <v>36</v>
      </c>
      <c r="G294" s="1">
        <v>43530</v>
      </c>
      <c r="H294" t="s">
        <v>36</v>
      </c>
      <c r="I294" t="s">
        <v>36</v>
      </c>
      <c r="J294" t="s">
        <v>36</v>
      </c>
      <c r="K294" s="1">
        <v>43536.388888888891</v>
      </c>
      <c r="L294" t="s">
        <v>36</v>
      </c>
      <c r="M294" t="s">
        <v>36</v>
      </c>
      <c r="N294" t="s">
        <v>36</v>
      </c>
      <c r="O294" t="s">
        <v>36</v>
      </c>
      <c r="P294" s="1">
        <v>43556</v>
      </c>
      <c r="Q294" t="s">
        <v>36</v>
      </c>
      <c r="R294" t="s">
        <v>36</v>
      </c>
      <c r="S294" t="s">
        <v>36</v>
      </c>
      <c r="T294" s="1">
        <v>43557</v>
      </c>
      <c r="U294" t="s">
        <v>36</v>
      </c>
      <c r="V294" s="1">
        <v>43536.388888888891</v>
      </c>
      <c r="W294" t="s">
        <v>36</v>
      </c>
      <c r="X294" t="s">
        <v>36</v>
      </c>
      <c r="Y294" t="s">
        <v>36</v>
      </c>
      <c r="Z294" s="1">
        <v>43536.388888888891</v>
      </c>
      <c r="AA294" t="s">
        <v>36</v>
      </c>
      <c r="AB294" t="s">
        <v>36</v>
      </c>
      <c r="AC294" s="1">
        <v>43536.388888888891</v>
      </c>
      <c r="AD294" s="1">
        <v>43536.388888888891</v>
      </c>
      <c r="AE294" t="s">
        <v>36</v>
      </c>
      <c r="AF294" s="1">
        <v>43529</v>
      </c>
      <c r="AG294" t="s">
        <v>36</v>
      </c>
      <c r="AH294" t="s">
        <v>36</v>
      </c>
      <c r="AI294" s="1">
        <v>43530</v>
      </c>
      <c r="AJ294" s="1">
        <v>43528</v>
      </c>
    </row>
    <row r="295" spans="1:36" x14ac:dyDescent="0.35">
      <c r="A295">
        <v>134</v>
      </c>
      <c r="B295" t="s">
        <v>124</v>
      </c>
      <c r="C295" t="s">
        <v>36</v>
      </c>
      <c r="D295" s="1">
        <v>42058.680555555555</v>
      </c>
      <c r="E295" t="s">
        <v>36</v>
      </c>
      <c r="F295" t="s">
        <v>36</v>
      </c>
      <c r="G295" t="s">
        <v>36</v>
      </c>
      <c r="H295" t="s">
        <v>36</v>
      </c>
      <c r="I295" t="s">
        <v>36</v>
      </c>
      <c r="J295" t="s">
        <v>36</v>
      </c>
      <c r="K295" t="s">
        <v>36</v>
      </c>
      <c r="L295" t="s">
        <v>36</v>
      </c>
      <c r="M295" t="s">
        <v>36</v>
      </c>
      <c r="N295" s="1">
        <v>42735.993055555555</v>
      </c>
      <c r="O295" s="1">
        <v>42206.583333333336</v>
      </c>
      <c r="P295" t="s">
        <v>36</v>
      </c>
      <c r="Q295" t="s">
        <v>36</v>
      </c>
      <c r="R295" t="s">
        <v>36</v>
      </c>
      <c r="S295" t="s">
        <v>36</v>
      </c>
      <c r="T295" t="s">
        <v>36</v>
      </c>
      <c r="U295" t="s">
        <v>36</v>
      </c>
      <c r="V295" t="s">
        <v>36</v>
      </c>
      <c r="W295" t="s">
        <v>36</v>
      </c>
      <c r="X295" s="1">
        <v>42193.652777777781</v>
      </c>
      <c r="Y295" t="s">
        <v>36</v>
      </c>
      <c r="Z295" t="s">
        <v>36</v>
      </c>
      <c r="AA295" t="s">
        <v>36</v>
      </c>
      <c r="AB295" t="s">
        <v>36</v>
      </c>
      <c r="AC295" t="s">
        <v>36</v>
      </c>
      <c r="AD295" t="s">
        <v>36</v>
      </c>
      <c r="AE295" t="s">
        <v>36</v>
      </c>
      <c r="AF295" t="s">
        <v>36</v>
      </c>
      <c r="AG295" t="s">
        <v>36</v>
      </c>
      <c r="AH295" t="s">
        <v>36</v>
      </c>
      <c r="AI295" t="s">
        <v>36</v>
      </c>
      <c r="AJ295" t="s">
        <v>36</v>
      </c>
    </row>
    <row r="296" spans="1:36" x14ac:dyDescent="0.35">
      <c r="A296">
        <v>205</v>
      </c>
      <c r="B296" t="s">
        <v>151</v>
      </c>
      <c r="C296" t="s">
        <v>36</v>
      </c>
      <c r="D296" s="1">
        <v>42058.680555555555</v>
      </c>
      <c r="E296" t="s">
        <v>36</v>
      </c>
      <c r="F296" t="s">
        <v>36</v>
      </c>
      <c r="G296" t="s">
        <v>36</v>
      </c>
      <c r="H296" t="s">
        <v>36</v>
      </c>
      <c r="I296" t="s">
        <v>36</v>
      </c>
      <c r="J296" t="s">
        <v>36</v>
      </c>
      <c r="K296" t="s">
        <v>36</v>
      </c>
      <c r="L296" t="s">
        <v>36</v>
      </c>
      <c r="M296" t="s">
        <v>36</v>
      </c>
      <c r="N296" s="1">
        <v>42735.993055555555</v>
      </c>
      <c r="O296" s="1">
        <v>42206.590277777781</v>
      </c>
      <c r="P296" t="s">
        <v>36</v>
      </c>
      <c r="Q296" t="s">
        <v>36</v>
      </c>
      <c r="R296" t="s">
        <v>36</v>
      </c>
      <c r="S296" t="s">
        <v>36</v>
      </c>
      <c r="T296" t="s">
        <v>36</v>
      </c>
      <c r="U296" t="s">
        <v>36</v>
      </c>
      <c r="V296" t="s">
        <v>36</v>
      </c>
      <c r="W296" t="s">
        <v>36</v>
      </c>
      <c r="X296" s="1">
        <v>42193.659722222219</v>
      </c>
      <c r="Y296" t="s">
        <v>36</v>
      </c>
      <c r="Z296" t="s">
        <v>36</v>
      </c>
      <c r="AA296" t="s">
        <v>36</v>
      </c>
      <c r="AB296" t="s">
        <v>36</v>
      </c>
      <c r="AC296" t="s">
        <v>36</v>
      </c>
      <c r="AD296" t="s">
        <v>36</v>
      </c>
      <c r="AE296" t="s">
        <v>36</v>
      </c>
      <c r="AF296" t="s">
        <v>36</v>
      </c>
      <c r="AG296" t="s">
        <v>36</v>
      </c>
      <c r="AH296" t="s">
        <v>36</v>
      </c>
      <c r="AI296" t="s">
        <v>36</v>
      </c>
      <c r="AJ296" t="s">
        <v>36</v>
      </c>
    </row>
    <row r="297" spans="1:36" x14ac:dyDescent="0.35">
      <c r="A297">
        <v>152</v>
      </c>
      <c r="B297" t="s">
        <v>125</v>
      </c>
      <c r="C297" t="s">
        <v>36</v>
      </c>
      <c r="D297" s="1">
        <v>42058.680555555555</v>
      </c>
      <c r="E297" t="s">
        <v>36</v>
      </c>
      <c r="F297" t="s">
        <v>36</v>
      </c>
      <c r="G297" s="1">
        <v>41426</v>
      </c>
      <c r="H297" t="s">
        <v>36</v>
      </c>
      <c r="I297" t="s">
        <v>36</v>
      </c>
      <c r="J297" t="s">
        <v>36</v>
      </c>
      <c r="K297" t="s">
        <v>36</v>
      </c>
      <c r="L297" t="s">
        <v>36</v>
      </c>
      <c r="M297" s="1">
        <v>43348.631944444445</v>
      </c>
      <c r="N297" s="1">
        <v>42735.993055555555</v>
      </c>
      <c r="O297" s="1">
        <v>42206.590277777781</v>
      </c>
      <c r="P297" s="1">
        <v>43059.576388888891</v>
      </c>
      <c r="Q297" t="s">
        <v>36</v>
      </c>
      <c r="R297" t="s">
        <v>36</v>
      </c>
      <c r="S297" t="s">
        <v>36</v>
      </c>
      <c r="T297" s="1">
        <v>42528.291666666664</v>
      </c>
      <c r="U297" t="s">
        <v>36</v>
      </c>
      <c r="V297" t="s">
        <v>36</v>
      </c>
      <c r="W297" t="s">
        <v>36</v>
      </c>
      <c r="X297" s="1">
        <v>42193.659722222219</v>
      </c>
      <c r="Y297" t="s">
        <v>36</v>
      </c>
      <c r="Z297" t="s">
        <v>36</v>
      </c>
      <c r="AA297" t="s">
        <v>36</v>
      </c>
      <c r="AB297" t="s">
        <v>36</v>
      </c>
      <c r="AC297" t="s">
        <v>36</v>
      </c>
      <c r="AD297" t="s">
        <v>36</v>
      </c>
      <c r="AE297" t="s">
        <v>36</v>
      </c>
      <c r="AF297" s="1">
        <v>42058.680555555555</v>
      </c>
      <c r="AG297" s="32">
        <v>43040</v>
      </c>
      <c r="AH297" t="s">
        <v>36</v>
      </c>
      <c r="AI297" s="1">
        <v>41426</v>
      </c>
      <c r="AJ297" s="1">
        <v>43059.576388888891</v>
      </c>
    </row>
    <row r="298" spans="1:36" x14ac:dyDescent="0.35">
      <c r="A298">
        <v>298</v>
      </c>
      <c r="B298" t="s">
        <v>178</v>
      </c>
      <c r="C298" s="1">
        <v>42528.291666666664</v>
      </c>
      <c r="D298" t="s">
        <v>36</v>
      </c>
      <c r="E298" t="s">
        <v>36</v>
      </c>
      <c r="F298" t="s">
        <v>36</v>
      </c>
      <c r="G298" t="s">
        <v>36</v>
      </c>
      <c r="H298" t="s">
        <v>36</v>
      </c>
      <c r="I298" t="s">
        <v>36</v>
      </c>
      <c r="J298" t="s">
        <v>36</v>
      </c>
      <c r="K298" s="1">
        <v>42528.291666666664</v>
      </c>
      <c r="L298" t="s">
        <v>36</v>
      </c>
      <c r="M298" t="s">
        <v>36</v>
      </c>
      <c r="N298" t="s">
        <v>36</v>
      </c>
      <c r="O298" t="s">
        <v>36</v>
      </c>
      <c r="P298" t="s">
        <v>36</v>
      </c>
      <c r="Q298" t="s">
        <v>36</v>
      </c>
      <c r="R298" t="s">
        <v>36</v>
      </c>
      <c r="S298" t="s">
        <v>36</v>
      </c>
      <c r="T298" t="s">
        <v>36</v>
      </c>
      <c r="U298" t="s">
        <v>36</v>
      </c>
      <c r="V298" s="1">
        <v>42473.520833333336</v>
      </c>
      <c r="W298" t="s">
        <v>36</v>
      </c>
      <c r="X298" t="s">
        <v>36</v>
      </c>
      <c r="Y298" t="s">
        <v>36</v>
      </c>
      <c r="Z298" s="1">
        <v>42648.465277777781</v>
      </c>
      <c r="AA298" t="s">
        <v>36</v>
      </c>
      <c r="AB298" t="s">
        <v>36</v>
      </c>
      <c r="AC298" s="1">
        <v>42485.743055555555</v>
      </c>
      <c r="AD298" s="1">
        <v>43009</v>
      </c>
      <c r="AE298" t="s">
        <v>36</v>
      </c>
      <c r="AF298" t="s">
        <v>36</v>
      </c>
      <c r="AG298" t="s">
        <v>36</v>
      </c>
      <c r="AH298" t="s">
        <v>36</v>
      </c>
      <c r="AI298" t="s">
        <v>36</v>
      </c>
      <c r="AJ298" t="s">
        <v>36</v>
      </c>
    </row>
    <row r="299" spans="1:36" x14ac:dyDescent="0.35">
      <c r="A299">
        <v>921</v>
      </c>
      <c r="B299" t="s">
        <v>869</v>
      </c>
      <c r="C299" s="1">
        <v>42713.388888888891</v>
      </c>
      <c r="D299" t="s">
        <v>36</v>
      </c>
      <c r="E299" t="s">
        <v>36</v>
      </c>
      <c r="F299" t="s">
        <v>36</v>
      </c>
      <c r="G299" t="s">
        <v>36</v>
      </c>
      <c r="H299" t="s">
        <v>36</v>
      </c>
      <c r="I299" t="s">
        <v>36</v>
      </c>
      <c r="J299" t="s">
        <v>36</v>
      </c>
      <c r="K299" s="1">
        <v>42692.493055555555</v>
      </c>
      <c r="L299" t="s">
        <v>36</v>
      </c>
      <c r="M299" t="s">
        <v>36</v>
      </c>
      <c r="N299" t="s">
        <v>36</v>
      </c>
      <c r="O299" t="s">
        <v>36</v>
      </c>
      <c r="P299" t="s">
        <v>36</v>
      </c>
      <c r="Q299" t="s">
        <v>36</v>
      </c>
      <c r="R299" t="s">
        <v>36</v>
      </c>
      <c r="S299" t="s">
        <v>36</v>
      </c>
      <c r="T299" t="s">
        <v>36</v>
      </c>
      <c r="U299" t="s">
        <v>36</v>
      </c>
      <c r="V299" s="1">
        <v>42719.638888888891</v>
      </c>
      <c r="W299" t="s">
        <v>36</v>
      </c>
      <c r="X299" t="s">
        <v>36</v>
      </c>
      <c r="Y299" t="s">
        <v>36</v>
      </c>
      <c r="Z299" s="1">
        <v>42713.590277777781</v>
      </c>
      <c r="AA299" t="s">
        <v>36</v>
      </c>
      <c r="AB299" t="s">
        <v>36</v>
      </c>
      <c r="AC299" s="1">
        <v>42692.5</v>
      </c>
      <c r="AD299" s="1">
        <v>43009</v>
      </c>
      <c r="AE299" t="s">
        <v>36</v>
      </c>
      <c r="AF299" t="s">
        <v>36</v>
      </c>
      <c r="AG299" t="s">
        <v>36</v>
      </c>
      <c r="AH299" t="s">
        <v>36</v>
      </c>
      <c r="AI299" t="s">
        <v>36</v>
      </c>
      <c r="AJ299" t="s">
        <v>36</v>
      </c>
    </row>
    <row r="300" spans="1:36" x14ac:dyDescent="0.35">
      <c r="A300">
        <v>922</v>
      </c>
      <c r="B300" t="s">
        <v>870</v>
      </c>
      <c r="C300" s="1">
        <v>42713.388888888891</v>
      </c>
      <c r="D300" t="s">
        <v>36</v>
      </c>
      <c r="E300" t="s">
        <v>36</v>
      </c>
      <c r="F300" t="s">
        <v>36</v>
      </c>
      <c r="G300" t="s">
        <v>36</v>
      </c>
      <c r="H300" t="s">
        <v>36</v>
      </c>
      <c r="I300" t="s">
        <v>36</v>
      </c>
      <c r="J300" t="s">
        <v>36</v>
      </c>
      <c r="K300" s="1">
        <v>42692.493055555555</v>
      </c>
      <c r="L300" t="s">
        <v>36</v>
      </c>
      <c r="M300" t="s">
        <v>36</v>
      </c>
      <c r="N300" t="s">
        <v>36</v>
      </c>
      <c r="O300" t="s">
        <v>36</v>
      </c>
      <c r="P300" t="s">
        <v>36</v>
      </c>
      <c r="Q300" t="s">
        <v>36</v>
      </c>
      <c r="R300" t="s">
        <v>36</v>
      </c>
      <c r="S300" t="s">
        <v>36</v>
      </c>
      <c r="T300" t="s">
        <v>36</v>
      </c>
      <c r="U300" t="s">
        <v>36</v>
      </c>
      <c r="V300" s="1">
        <v>42719.638888888891</v>
      </c>
      <c r="W300" t="s">
        <v>36</v>
      </c>
      <c r="X300" t="s">
        <v>36</v>
      </c>
      <c r="Y300" t="s">
        <v>36</v>
      </c>
      <c r="Z300" s="1">
        <v>42713.590277777781</v>
      </c>
      <c r="AA300" t="s">
        <v>36</v>
      </c>
      <c r="AB300" t="s">
        <v>36</v>
      </c>
      <c r="AC300" s="1">
        <v>42692.5</v>
      </c>
      <c r="AD300" s="1">
        <v>43009</v>
      </c>
      <c r="AE300" t="s">
        <v>36</v>
      </c>
      <c r="AF300" t="s">
        <v>36</v>
      </c>
      <c r="AG300" t="s">
        <v>36</v>
      </c>
      <c r="AH300" t="s">
        <v>36</v>
      </c>
      <c r="AI300" t="s">
        <v>36</v>
      </c>
      <c r="AJ300" t="s">
        <v>36</v>
      </c>
    </row>
    <row r="301" spans="1:36" x14ac:dyDescent="0.35">
      <c r="A301">
        <v>923</v>
      </c>
      <c r="B301" t="s">
        <v>871</v>
      </c>
      <c r="C301" s="1">
        <v>42713.388888888891</v>
      </c>
      <c r="D301" t="s">
        <v>36</v>
      </c>
      <c r="E301" t="s">
        <v>36</v>
      </c>
      <c r="F301" t="s">
        <v>36</v>
      </c>
      <c r="G301" t="s">
        <v>36</v>
      </c>
      <c r="H301" t="s">
        <v>36</v>
      </c>
      <c r="I301" t="s">
        <v>36</v>
      </c>
      <c r="J301" t="s">
        <v>36</v>
      </c>
      <c r="K301" s="1">
        <v>42692.493055555555</v>
      </c>
      <c r="L301" t="s">
        <v>36</v>
      </c>
      <c r="M301" t="s">
        <v>36</v>
      </c>
      <c r="N301" t="s">
        <v>36</v>
      </c>
      <c r="O301" t="s">
        <v>36</v>
      </c>
      <c r="P301" t="s">
        <v>36</v>
      </c>
      <c r="Q301" t="s">
        <v>36</v>
      </c>
      <c r="R301" t="s">
        <v>36</v>
      </c>
      <c r="S301" t="s">
        <v>36</v>
      </c>
      <c r="T301" t="s">
        <v>36</v>
      </c>
      <c r="U301" t="s">
        <v>36</v>
      </c>
      <c r="V301" s="1">
        <v>42719.638888888891</v>
      </c>
      <c r="W301" t="s">
        <v>36</v>
      </c>
      <c r="X301" t="s">
        <v>36</v>
      </c>
      <c r="Y301" t="s">
        <v>36</v>
      </c>
      <c r="Z301" s="1">
        <v>42713.590277777781</v>
      </c>
      <c r="AA301" t="s">
        <v>36</v>
      </c>
      <c r="AB301" t="s">
        <v>36</v>
      </c>
      <c r="AC301" s="1">
        <v>42692.5</v>
      </c>
      <c r="AD301" s="1">
        <v>43009</v>
      </c>
      <c r="AE301" t="s">
        <v>36</v>
      </c>
      <c r="AF301" t="s">
        <v>36</v>
      </c>
      <c r="AG301" t="s">
        <v>36</v>
      </c>
      <c r="AH301" t="s">
        <v>36</v>
      </c>
      <c r="AI301" t="s">
        <v>36</v>
      </c>
      <c r="AJ301" t="s">
        <v>36</v>
      </c>
    </row>
    <row r="302" spans="1:36" x14ac:dyDescent="0.35">
      <c r="A302">
        <v>190</v>
      </c>
      <c r="B302" t="s">
        <v>139</v>
      </c>
      <c r="C302" t="s">
        <v>36</v>
      </c>
      <c r="D302" s="1">
        <v>42058.680555555555</v>
      </c>
      <c r="E302" t="s">
        <v>36</v>
      </c>
      <c r="F302" t="s">
        <v>36</v>
      </c>
      <c r="G302" t="s">
        <v>36</v>
      </c>
      <c r="H302" t="s">
        <v>36</v>
      </c>
      <c r="I302" t="s">
        <v>36</v>
      </c>
      <c r="J302" t="s">
        <v>36</v>
      </c>
      <c r="K302" t="s">
        <v>36</v>
      </c>
      <c r="L302" t="s">
        <v>36</v>
      </c>
      <c r="M302" t="s">
        <v>36</v>
      </c>
      <c r="N302" t="s">
        <v>36</v>
      </c>
      <c r="O302" t="s">
        <v>36</v>
      </c>
      <c r="P302" t="s">
        <v>36</v>
      </c>
      <c r="Q302" t="s">
        <v>36</v>
      </c>
      <c r="R302" t="s">
        <v>36</v>
      </c>
      <c r="S302" t="s">
        <v>36</v>
      </c>
      <c r="T302" t="s">
        <v>36</v>
      </c>
      <c r="U302" t="s">
        <v>36</v>
      </c>
      <c r="V302" t="s">
        <v>36</v>
      </c>
      <c r="W302" t="s">
        <v>36</v>
      </c>
      <c r="X302" s="1">
        <v>42193.652777777781</v>
      </c>
      <c r="Y302" t="s">
        <v>36</v>
      </c>
      <c r="Z302" t="s">
        <v>36</v>
      </c>
      <c r="AA302" t="s">
        <v>36</v>
      </c>
      <c r="AB302" t="s">
        <v>36</v>
      </c>
      <c r="AC302" t="s">
        <v>36</v>
      </c>
      <c r="AD302" t="s">
        <v>36</v>
      </c>
      <c r="AE302" t="s">
        <v>36</v>
      </c>
      <c r="AF302" t="s">
        <v>36</v>
      </c>
      <c r="AG302" t="s">
        <v>36</v>
      </c>
      <c r="AH302" t="s">
        <v>36</v>
      </c>
      <c r="AI302" t="s">
        <v>36</v>
      </c>
      <c r="AJ302" t="s">
        <v>36</v>
      </c>
    </row>
    <row r="303" spans="1:36" x14ac:dyDescent="0.35">
      <c r="A303">
        <v>3757</v>
      </c>
      <c r="B303" t="s">
        <v>958</v>
      </c>
      <c r="C303" t="s">
        <v>36</v>
      </c>
      <c r="D303" t="s">
        <v>36</v>
      </c>
      <c r="E303" t="s">
        <v>36</v>
      </c>
      <c r="F303" t="s">
        <v>36</v>
      </c>
      <c r="G303" t="s">
        <v>36</v>
      </c>
      <c r="H303" t="s">
        <v>36</v>
      </c>
      <c r="I303" t="s">
        <v>36</v>
      </c>
      <c r="J303" t="s">
        <v>36</v>
      </c>
      <c r="K303" t="s">
        <v>36</v>
      </c>
      <c r="L303" t="s">
        <v>36</v>
      </c>
      <c r="M303" t="s">
        <v>36</v>
      </c>
      <c r="N303" t="s">
        <v>36</v>
      </c>
      <c r="O303" t="s">
        <v>36</v>
      </c>
      <c r="P303" t="s">
        <v>36</v>
      </c>
      <c r="Q303" t="s">
        <v>36</v>
      </c>
      <c r="R303" t="s">
        <v>36</v>
      </c>
      <c r="S303" t="s">
        <v>36</v>
      </c>
      <c r="T303" t="s">
        <v>36</v>
      </c>
      <c r="U303" t="s">
        <v>36</v>
      </c>
      <c r="V303" t="s">
        <v>36</v>
      </c>
      <c r="W303" t="s">
        <v>36</v>
      </c>
      <c r="X303" t="s">
        <v>36</v>
      </c>
      <c r="Y303" t="s">
        <v>36</v>
      </c>
      <c r="Z303" t="s">
        <v>36</v>
      </c>
      <c r="AA303" t="s">
        <v>36</v>
      </c>
      <c r="AB303" t="s">
        <v>36</v>
      </c>
      <c r="AC303" t="s">
        <v>36</v>
      </c>
      <c r="AD303" t="s">
        <v>36</v>
      </c>
      <c r="AE303" t="s">
        <v>36</v>
      </c>
      <c r="AF303" t="s">
        <v>36</v>
      </c>
      <c r="AG303" t="s">
        <v>36</v>
      </c>
      <c r="AH303" t="s">
        <v>36</v>
      </c>
      <c r="AI303" t="s">
        <v>36</v>
      </c>
      <c r="AJ303" t="s">
        <v>36</v>
      </c>
    </row>
    <row r="304" spans="1:36" x14ac:dyDescent="0.35">
      <c r="A304">
        <v>3758</v>
      </c>
      <c r="B304" t="s">
        <v>959</v>
      </c>
      <c r="C304" t="s">
        <v>36</v>
      </c>
      <c r="D304" t="s">
        <v>36</v>
      </c>
      <c r="E304" t="s">
        <v>36</v>
      </c>
      <c r="F304" t="s">
        <v>36</v>
      </c>
      <c r="G304" t="s">
        <v>36</v>
      </c>
      <c r="H304" t="s">
        <v>36</v>
      </c>
      <c r="I304" t="s">
        <v>36</v>
      </c>
      <c r="J304" t="s">
        <v>36</v>
      </c>
      <c r="K304" t="s">
        <v>36</v>
      </c>
      <c r="L304" t="s">
        <v>36</v>
      </c>
      <c r="M304" t="s">
        <v>36</v>
      </c>
      <c r="N304" t="s">
        <v>36</v>
      </c>
      <c r="O304" t="s">
        <v>36</v>
      </c>
      <c r="P304" t="s">
        <v>36</v>
      </c>
      <c r="Q304" t="s">
        <v>36</v>
      </c>
      <c r="R304" t="s">
        <v>36</v>
      </c>
      <c r="S304" t="s">
        <v>36</v>
      </c>
      <c r="T304" t="s">
        <v>36</v>
      </c>
      <c r="U304" t="s">
        <v>36</v>
      </c>
      <c r="V304" t="s">
        <v>36</v>
      </c>
      <c r="W304" t="s">
        <v>36</v>
      </c>
      <c r="X304" t="s">
        <v>36</v>
      </c>
      <c r="Y304" t="s">
        <v>36</v>
      </c>
      <c r="Z304" t="s">
        <v>36</v>
      </c>
      <c r="AA304" t="s">
        <v>36</v>
      </c>
      <c r="AB304" t="s">
        <v>36</v>
      </c>
      <c r="AC304" t="s">
        <v>36</v>
      </c>
      <c r="AD304" t="s">
        <v>36</v>
      </c>
      <c r="AE304" t="s">
        <v>36</v>
      </c>
      <c r="AF304" t="s">
        <v>36</v>
      </c>
      <c r="AG304" t="s">
        <v>36</v>
      </c>
      <c r="AH304" t="s">
        <v>36</v>
      </c>
      <c r="AI304" t="s">
        <v>36</v>
      </c>
      <c r="AJ304" t="s">
        <v>36</v>
      </c>
    </row>
    <row r="305" spans="1:36" x14ac:dyDescent="0.35">
      <c r="A305">
        <v>3759</v>
      </c>
      <c r="B305" t="s">
        <v>960</v>
      </c>
      <c r="C305" t="s">
        <v>36</v>
      </c>
      <c r="D305" t="s">
        <v>36</v>
      </c>
      <c r="E305" t="s">
        <v>36</v>
      </c>
      <c r="F305" t="s">
        <v>36</v>
      </c>
      <c r="G305" t="s">
        <v>36</v>
      </c>
      <c r="H305" t="s">
        <v>36</v>
      </c>
      <c r="I305" t="s">
        <v>36</v>
      </c>
      <c r="J305" t="s">
        <v>36</v>
      </c>
      <c r="K305" t="s">
        <v>36</v>
      </c>
      <c r="L305" t="s">
        <v>36</v>
      </c>
      <c r="M305" t="s">
        <v>36</v>
      </c>
      <c r="N305" t="s">
        <v>36</v>
      </c>
      <c r="O305" t="s">
        <v>36</v>
      </c>
      <c r="P305" t="s">
        <v>36</v>
      </c>
      <c r="Q305" t="s">
        <v>36</v>
      </c>
      <c r="R305" t="s">
        <v>36</v>
      </c>
      <c r="S305" t="s">
        <v>36</v>
      </c>
      <c r="T305" t="s">
        <v>36</v>
      </c>
      <c r="U305" t="s">
        <v>36</v>
      </c>
      <c r="V305" t="s">
        <v>36</v>
      </c>
      <c r="W305" t="s">
        <v>36</v>
      </c>
      <c r="X305" t="s">
        <v>36</v>
      </c>
      <c r="Y305" t="s">
        <v>36</v>
      </c>
      <c r="Z305" t="s">
        <v>36</v>
      </c>
      <c r="AA305" t="s">
        <v>36</v>
      </c>
      <c r="AB305" t="s">
        <v>36</v>
      </c>
      <c r="AC305" t="s">
        <v>36</v>
      </c>
      <c r="AD305" t="s">
        <v>36</v>
      </c>
      <c r="AE305" t="s">
        <v>36</v>
      </c>
      <c r="AF305" t="s">
        <v>36</v>
      </c>
      <c r="AG305" t="s">
        <v>36</v>
      </c>
      <c r="AH305" t="s">
        <v>36</v>
      </c>
      <c r="AI305" t="s">
        <v>36</v>
      </c>
      <c r="AJ305" t="s">
        <v>36</v>
      </c>
    </row>
    <row r="306" spans="1:36" x14ac:dyDescent="0.35">
      <c r="A306">
        <v>92</v>
      </c>
      <c r="B306" t="s">
        <v>103</v>
      </c>
      <c r="C306" t="s">
        <v>36</v>
      </c>
      <c r="D306" t="s">
        <v>36</v>
      </c>
      <c r="E306" s="1">
        <v>39245.465277777781</v>
      </c>
      <c r="F306" s="1">
        <v>43008.993055555555</v>
      </c>
      <c r="G306" t="s">
        <v>36</v>
      </c>
      <c r="H306" s="1">
        <v>43059.576388888891</v>
      </c>
      <c r="I306" s="1">
        <v>38757.354166666664</v>
      </c>
      <c r="J306" s="1">
        <v>43061.520833333336</v>
      </c>
      <c r="K306" t="s">
        <v>36</v>
      </c>
      <c r="L306" s="1">
        <v>42940.347222222219</v>
      </c>
      <c r="M306" t="s">
        <v>36</v>
      </c>
      <c r="N306" t="s">
        <v>36</v>
      </c>
      <c r="O306" t="s">
        <v>36</v>
      </c>
      <c r="P306" t="s">
        <v>36</v>
      </c>
      <c r="Q306" t="s">
        <v>36</v>
      </c>
      <c r="R306" t="s">
        <v>36</v>
      </c>
      <c r="S306" s="1">
        <v>42735.993055555555</v>
      </c>
      <c r="T306" t="s">
        <v>36</v>
      </c>
      <c r="U306" s="1">
        <v>43054.631944444445</v>
      </c>
      <c r="V306" t="s">
        <v>36</v>
      </c>
      <c r="W306" s="1">
        <v>42735.993055555555</v>
      </c>
      <c r="X306" t="s">
        <v>36</v>
      </c>
      <c r="Y306" t="s">
        <v>36</v>
      </c>
      <c r="Z306" t="s">
        <v>36</v>
      </c>
      <c r="AA306" s="1">
        <v>43054.611111111109</v>
      </c>
      <c r="AB306" s="1">
        <v>41225.597222222219</v>
      </c>
      <c r="AC306" t="s">
        <v>36</v>
      </c>
      <c r="AD306" t="s">
        <v>36</v>
      </c>
      <c r="AE306" t="s">
        <v>36</v>
      </c>
      <c r="AF306" t="s">
        <v>36</v>
      </c>
      <c r="AG306" t="s">
        <v>36</v>
      </c>
      <c r="AH306" s="1">
        <v>42735.993055555555</v>
      </c>
      <c r="AI306" t="s">
        <v>36</v>
      </c>
      <c r="AJ306" t="s">
        <v>36</v>
      </c>
    </row>
    <row r="307" spans="1:36" x14ac:dyDescent="0.35">
      <c r="A307">
        <v>4269</v>
      </c>
      <c r="B307" t="s">
        <v>1092</v>
      </c>
      <c r="C307" t="s">
        <v>36</v>
      </c>
      <c r="D307" t="s">
        <v>36</v>
      </c>
      <c r="E307" t="s">
        <v>36</v>
      </c>
      <c r="F307" t="s">
        <v>36</v>
      </c>
      <c r="G307" t="s">
        <v>36</v>
      </c>
      <c r="H307" t="s">
        <v>36</v>
      </c>
      <c r="I307" t="s">
        <v>36</v>
      </c>
      <c r="J307" s="1">
        <v>43856.5</v>
      </c>
      <c r="K307" t="s">
        <v>36</v>
      </c>
      <c r="L307" s="1">
        <v>43886.368055555555</v>
      </c>
      <c r="M307" t="s">
        <v>36</v>
      </c>
      <c r="N307" t="s">
        <v>36</v>
      </c>
      <c r="O307" t="s">
        <v>36</v>
      </c>
      <c r="P307" t="s">
        <v>36</v>
      </c>
      <c r="Q307" t="s">
        <v>36</v>
      </c>
      <c r="R307" t="s">
        <v>36</v>
      </c>
      <c r="S307" t="s">
        <v>36</v>
      </c>
      <c r="T307" t="s">
        <v>36</v>
      </c>
      <c r="U307" t="s">
        <v>36</v>
      </c>
      <c r="V307" t="s">
        <v>36</v>
      </c>
      <c r="W307" s="1">
        <v>43856.5</v>
      </c>
      <c r="X307" t="s">
        <v>36</v>
      </c>
      <c r="Y307" t="s">
        <v>36</v>
      </c>
      <c r="Z307" t="s">
        <v>36</v>
      </c>
      <c r="AA307" t="s">
        <v>36</v>
      </c>
      <c r="AB307" s="1">
        <v>43856.5</v>
      </c>
      <c r="AC307" t="s">
        <v>36</v>
      </c>
      <c r="AD307" t="s">
        <v>36</v>
      </c>
      <c r="AE307" t="s">
        <v>36</v>
      </c>
      <c r="AF307" t="s">
        <v>36</v>
      </c>
      <c r="AG307" t="s">
        <v>36</v>
      </c>
      <c r="AH307" t="s">
        <v>36</v>
      </c>
      <c r="AI307" t="s">
        <v>36</v>
      </c>
      <c r="AJ307" t="s">
        <v>36</v>
      </c>
    </row>
    <row r="308" spans="1:36" x14ac:dyDescent="0.35">
      <c r="A308">
        <v>4270</v>
      </c>
      <c r="B308" t="s">
        <v>1093</v>
      </c>
      <c r="C308" t="s">
        <v>36</v>
      </c>
      <c r="D308" t="s">
        <v>36</v>
      </c>
      <c r="E308" t="s">
        <v>36</v>
      </c>
      <c r="F308" t="s">
        <v>36</v>
      </c>
      <c r="G308" t="s">
        <v>36</v>
      </c>
      <c r="H308" t="s">
        <v>36</v>
      </c>
      <c r="I308" t="s">
        <v>36</v>
      </c>
      <c r="J308" s="1">
        <v>43856.5</v>
      </c>
      <c r="K308" t="s">
        <v>36</v>
      </c>
      <c r="L308" s="1">
        <v>43886.368055555555</v>
      </c>
      <c r="M308" t="s">
        <v>36</v>
      </c>
      <c r="N308" t="s">
        <v>36</v>
      </c>
      <c r="O308" t="s">
        <v>36</v>
      </c>
      <c r="P308" t="s">
        <v>36</v>
      </c>
      <c r="Q308" t="s">
        <v>36</v>
      </c>
      <c r="R308" t="s">
        <v>36</v>
      </c>
      <c r="S308" t="s">
        <v>36</v>
      </c>
      <c r="T308" t="s">
        <v>36</v>
      </c>
      <c r="U308" t="s">
        <v>36</v>
      </c>
      <c r="V308" t="s">
        <v>36</v>
      </c>
      <c r="W308" s="1">
        <v>43856.5</v>
      </c>
      <c r="X308" t="s">
        <v>36</v>
      </c>
      <c r="Y308" t="s">
        <v>36</v>
      </c>
      <c r="Z308" t="s">
        <v>36</v>
      </c>
      <c r="AA308" t="s">
        <v>36</v>
      </c>
      <c r="AB308" s="1">
        <v>43856.5</v>
      </c>
      <c r="AC308" t="s">
        <v>36</v>
      </c>
      <c r="AD308" t="s">
        <v>36</v>
      </c>
      <c r="AE308" t="s">
        <v>36</v>
      </c>
      <c r="AF308" t="s">
        <v>36</v>
      </c>
      <c r="AG308" t="s">
        <v>36</v>
      </c>
      <c r="AH308" t="s">
        <v>36</v>
      </c>
      <c r="AI308" t="s">
        <v>36</v>
      </c>
      <c r="AJ308" t="s">
        <v>36</v>
      </c>
    </row>
    <row r="309" spans="1:36" x14ac:dyDescent="0.35">
      <c r="A309">
        <v>4271</v>
      </c>
      <c r="B309" t="s">
        <v>1094</v>
      </c>
      <c r="C309" t="s">
        <v>36</v>
      </c>
      <c r="D309" t="s">
        <v>36</v>
      </c>
      <c r="E309" t="s">
        <v>36</v>
      </c>
      <c r="F309" t="s">
        <v>36</v>
      </c>
      <c r="G309" t="s">
        <v>36</v>
      </c>
      <c r="H309" t="s">
        <v>36</v>
      </c>
      <c r="I309" t="s">
        <v>36</v>
      </c>
      <c r="J309" s="1">
        <v>43856.5</v>
      </c>
      <c r="K309" t="s">
        <v>36</v>
      </c>
      <c r="L309" s="1">
        <v>43886.368055555555</v>
      </c>
      <c r="M309" t="s">
        <v>36</v>
      </c>
      <c r="N309" t="s">
        <v>36</v>
      </c>
      <c r="O309" t="s">
        <v>36</v>
      </c>
      <c r="P309" t="s">
        <v>36</v>
      </c>
      <c r="Q309" t="s">
        <v>36</v>
      </c>
      <c r="R309" t="s">
        <v>36</v>
      </c>
      <c r="S309" t="s">
        <v>36</v>
      </c>
      <c r="T309" t="s">
        <v>36</v>
      </c>
      <c r="U309" t="s">
        <v>36</v>
      </c>
      <c r="V309" t="s">
        <v>36</v>
      </c>
      <c r="W309" s="1">
        <v>43856.5</v>
      </c>
      <c r="X309" t="s">
        <v>36</v>
      </c>
      <c r="Y309" t="s">
        <v>36</v>
      </c>
      <c r="Z309" t="s">
        <v>36</v>
      </c>
      <c r="AA309" t="s">
        <v>36</v>
      </c>
      <c r="AB309" s="1">
        <v>43856.5</v>
      </c>
      <c r="AC309" t="s">
        <v>36</v>
      </c>
      <c r="AD309" t="s">
        <v>36</v>
      </c>
      <c r="AE309" t="s">
        <v>36</v>
      </c>
      <c r="AF309" t="s">
        <v>36</v>
      </c>
      <c r="AG309" t="s">
        <v>36</v>
      </c>
      <c r="AH309" t="s">
        <v>36</v>
      </c>
      <c r="AI309" t="s">
        <v>36</v>
      </c>
      <c r="AJ309" t="s">
        <v>36</v>
      </c>
    </row>
    <row r="310" spans="1:36" x14ac:dyDescent="0.35">
      <c r="A310">
        <v>3754</v>
      </c>
      <c r="B310" t="s">
        <v>955</v>
      </c>
      <c r="C310" t="s">
        <v>36</v>
      </c>
      <c r="D310" t="s">
        <v>36</v>
      </c>
      <c r="E310" t="s">
        <v>36</v>
      </c>
      <c r="F310" t="s">
        <v>36</v>
      </c>
      <c r="G310" t="s">
        <v>36</v>
      </c>
      <c r="H310" t="s">
        <v>36</v>
      </c>
      <c r="I310" t="s">
        <v>36</v>
      </c>
      <c r="J310" t="s">
        <v>36</v>
      </c>
      <c r="K310" t="s">
        <v>36</v>
      </c>
      <c r="L310" t="s">
        <v>36</v>
      </c>
      <c r="M310" t="s">
        <v>36</v>
      </c>
      <c r="N310" t="s">
        <v>36</v>
      </c>
      <c r="O310" s="1">
        <v>42206.583333333336</v>
      </c>
      <c r="P310" t="s">
        <v>36</v>
      </c>
      <c r="Q310" t="s">
        <v>36</v>
      </c>
      <c r="R310" t="s">
        <v>36</v>
      </c>
      <c r="S310" t="s">
        <v>36</v>
      </c>
      <c r="T310" t="s">
        <v>36</v>
      </c>
      <c r="U310" t="s">
        <v>36</v>
      </c>
      <c r="V310" t="s">
        <v>36</v>
      </c>
      <c r="W310" t="s">
        <v>36</v>
      </c>
      <c r="X310" t="s">
        <v>36</v>
      </c>
      <c r="Y310" t="s">
        <v>36</v>
      </c>
      <c r="Z310" t="s">
        <v>36</v>
      </c>
      <c r="AA310" t="s">
        <v>36</v>
      </c>
      <c r="AB310" t="s">
        <v>36</v>
      </c>
      <c r="AC310" t="s">
        <v>36</v>
      </c>
      <c r="AD310" t="s">
        <v>36</v>
      </c>
      <c r="AE310" t="s">
        <v>36</v>
      </c>
      <c r="AF310" t="s">
        <v>36</v>
      </c>
      <c r="AG310" t="s">
        <v>36</v>
      </c>
      <c r="AH310" t="s">
        <v>36</v>
      </c>
      <c r="AI310" t="s">
        <v>36</v>
      </c>
      <c r="AJ310" t="s">
        <v>36</v>
      </c>
    </row>
    <row r="311" spans="1:36" x14ac:dyDescent="0.35">
      <c r="A311">
        <v>3755</v>
      </c>
      <c r="B311" t="s">
        <v>956</v>
      </c>
      <c r="C311" t="s">
        <v>36</v>
      </c>
      <c r="D311" t="s">
        <v>36</v>
      </c>
      <c r="E311" t="s">
        <v>36</v>
      </c>
      <c r="F311" t="s">
        <v>36</v>
      </c>
      <c r="G311" t="s">
        <v>36</v>
      </c>
      <c r="H311" t="s">
        <v>36</v>
      </c>
      <c r="I311" t="s">
        <v>36</v>
      </c>
      <c r="J311" t="s">
        <v>36</v>
      </c>
      <c r="K311" t="s">
        <v>36</v>
      </c>
      <c r="L311" t="s">
        <v>36</v>
      </c>
      <c r="M311" t="s">
        <v>36</v>
      </c>
      <c r="N311" t="s">
        <v>36</v>
      </c>
      <c r="O311" s="1">
        <v>42206.583333333336</v>
      </c>
      <c r="P311" t="s">
        <v>36</v>
      </c>
      <c r="Q311" t="s">
        <v>36</v>
      </c>
      <c r="R311" t="s">
        <v>36</v>
      </c>
      <c r="S311" t="s">
        <v>36</v>
      </c>
      <c r="T311" t="s">
        <v>36</v>
      </c>
      <c r="U311" t="s">
        <v>36</v>
      </c>
      <c r="V311" t="s">
        <v>36</v>
      </c>
      <c r="W311" t="s">
        <v>36</v>
      </c>
      <c r="X311" t="s">
        <v>36</v>
      </c>
      <c r="Y311" t="s">
        <v>36</v>
      </c>
      <c r="Z311" t="s">
        <v>36</v>
      </c>
      <c r="AA311" t="s">
        <v>36</v>
      </c>
      <c r="AB311" t="s">
        <v>36</v>
      </c>
      <c r="AC311" t="s">
        <v>36</v>
      </c>
      <c r="AD311" t="s">
        <v>36</v>
      </c>
      <c r="AE311" t="s">
        <v>36</v>
      </c>
      <c r="AF311" t="s">
        <v>36</v>
      </c>
      <c r="AG311" t="s">
        <v>36</v>
      </c>
      <c r="AH311" t="s">
        <v>36</v>
      </c>
      <c r="AI311" t="s">
        <v>36</v>
      </c>
      <c r="AJ311" t="s">
        <v>36</v>
      </c>
    </row>
    <row r="312" spans="1:36" x14ac:dyDescent="0.35">
      <c r="A312">
        <v>3756</v>
      </c>
      <c r="B312" t="s">
        <v>957</v>
      </c>
      <c r="C312" t="s">
        <v>36</v>
      </c>
      <c r="D312" t="s">
        <v>36</v>
      </c>
      <c r="E312" t="s">
        <v>36</v>
      </c>
      <c r="F312" t="s">
        <v>36</v>
      </c>
      <c r="G312" t="s">
        <v>36</v>
      </c>
      <c r="H312" t="s">
        <v>36</v>
      </c>
      <c r="I312" t="s">
        <v>36</v>
      </c>
      <c r="J312" t="s">
        <v>36</v>
      </c>
      <c r="K312" t="s">
        <v>36</v>
      </c>
      <c r="L312" t="s">
        <v>36</v>
      </c>
      <c r="M312" t="s">
        <v>36</v>
      </c>
      <c r="N312" t="s">
        <v>36</v>
      </c>
      <c r="O312" t="s">
        <v>36</v>
      </c>
      <c r="P312" t="s">
        <v>36</v>
      </c>
      <c r="Q312" t="s">
        <v>36</v>
      </c>
      <c r="R312" t="s">
        <v>36</v>
      </c>
      <c r="S312" t="s">
        <v>36</v>
      </c>
      <c r="T312" t="s">
        <v>36</v>
      </c>
      <c r="U312" t="s">
        <v>36</v>
      </c>
      <c r="V312" t="s">
        <v>36</v>
      </c>
      <c r="W312" t="s">
        <v>36</v>
      </c>
      <c r="X312" t="s">
        <v>36</v>
      </c>
      <c r="Y312" t="s">
        <v>36</v>
      </c>
      <c r="Z312" t="s">
        <v>36</v>
      </c>
      <c r="AA312" t="s">
        <v>36</v>
      </c>
      <c r="AB312" t="s">
        <v>36</v>
      </c>
      <c r="AC312" t="s">
        <v>36</v>
      </c>
      <c r="AD312" t="s">
        <v>36</v>
      </c>
      <c r="AE312" t="s">
        <v>36</v>
      </c>
      <c r="AF312" t="s">
        <v>36</v>
      </c>
      <c r="AG312" t="s">
        <v>36</v>
      </c>
      <c r="AH312" t="s">
        <v>36</v>
      </c>
      <c r="AI312" t="s">
        <v>36</v>
      </c>
      <c r="AJ312" t="s">
        <v>36</v>
      </c>
    </row>
    <row r="313" spans="1:36" x14ac:dyDescent="0.35">
      <c r="A313">
        <v>175</v>
      </c>
      <c r="B313" t="s">
        <v>131</v>
      </c>
      <c r="C313" t="s">
        <v>36</v>
      </c>
      <c r="D313" s="1">
        <v>42058.680555555555</v>
      </c>
      <c r="E313" t="s">
        <v>36</v>
      </c>
      <c r="F313" t="s">
        <v>36</v>
      </c>
      <c r="G313" t="s">
        <v>36</v>
      </c>
      <c r="H313" t="s">
        <v>36</v>
      </c>
      <c r="I313" t="s">
        <v>36</v>
      </c>
      <c r="J313" t="s">
        <v>36</v>
      </c>
      <c r="K313" t="s">
        <v>36</v>
      </c>
      <c r="L313" t="s">
        <v>36</v>
      </c>
      <c r="M313" t="s">
        <v>36</v>
      </c>
      <c r="N313" t="s">
        <v>36</v>
      </c>
      <c r="O313" s="1">
        <v>42206.583333333336</v>
      </c>
      <c r="P313" t="s">
        <v>36</v>
      </c>
      <c r="Q313" t="s">
        <v>36</v>
      </c>
      <c r="R313" t="s">
        <v>36</v>
      </c>
      <c r="S313" t="s">
        <v>36</v>
      </c>
      <c r="T313" t="s">
        <v>36</v>
      </c>
      <c r="U313" t="s">
        <v>36</v>
      </c>
      <c r="V313" t="s">
        <v>36</v>
      </c>
      <c r="W313" t="s">
        <v>36</v>
      </c>
      <c r="X313" s="1">
        <v>42193.652777777781</v>
      </c>
      <c r="Y313" t="s">
        <v>36</v>
      </c>
      <c r="Z313" t="s">
        <v>36</v>
      </c>
      <c r="AA313" t="s">
        <v>36</v>
      </c>
      <c r="AB313" t="s">
        <v>36</v>
      </c>
      <c r="AC313" t="s">
        <v>36</v>
      </c>
      <c r="AD313" t="s">
        <v>36</v>
      </c>
      <c r="AE313" t="s">
        <v>36</v>
      </c>
      <c r="AF313" t="s">
        <v>36</v>
      </c>
      <c r="AG313" t="s">
        <v>36</v>
      </c>
      <c r="AH313" t="s">
        <v>36</v>
      </c>
      <c r="AI313" t="s">
        <v>36</v>
      </c>
      <c r="AJ313" t="s">
        <v>36</v>
      </c>
    </row>
    <row r="314" spans="1:36" x14ac:dyDescent="0.35">
      <c r="A314">
        <v>294</v>
      </c>
      <c r="B314" t="s">
        <v>174</v>
      </c>
      <c r="C314" s="1">
        <v>42528.291666666664</v>
      </c>
      <c r="D314" t="s">
        <v>36</v>
      </c>
      <c r="E314" t="s">
        <v>36</v>
      </c>
      <c r="F314" t="s">
        <v>36</v>
      </c>
      <c r="G314" t="s">
        <v>36</v>
      </c>
      <c r="H314" t="s">
        <v>36</v>
      </c>
      <c r="I314" t="s">
        <v>36</v>
      </c>
      <c r="J314" s="1">
        <v>39631.4375</v>
      </c>
      <c r="K314" s="1">
        <v>42528.291666666664</v>
      </c>
      <c r="L314" s="1">
        <v>42058.680555555555</v>
      </c>
      <c r="M314" t="s">
        <v>36</v>
      </c>
      <c r="N314" t="s">
        <v>36</v>
      </c>
      <c r="O314" t="s">
        <v>36</v>
      </c>
      <c r="P314" t="s">
        <v>36</v>
      </c>
      <c r="Q314" t="s">
        <v>36</v>
      </c>
      <c r="R314" t="s">
        <v>36</v>
      </c>
      <c r="S314" t="s">
        <v>36</v>
      </c>
      <c r="T314" t="s">
        <v>36</v>
      </c>
      <c r="U314" t="s">
        <v>36</v>
      </c>
      <c r="V314" s="1">
        <v>42473.520833333336</v>
      </c>
      <c r="W314" t="s">
        <v>36</v>
      </c>
      <c r="X314" t="s">
        <v>36</v>
      </c>
      <c r="Y314" t="s">
        <v>36</v>
      </c>
      <c r="Z314" s="1">
        <v>42648.159722222219</v>
      </c>
      <c r="AA314" t="s">
        <v>36</v>
      </c>
      <c r="AB314" t="s">
        <v>36</v>
      </c>
      <c r="AC314" s="1">
        <v>42485.743055555555</v>
      </c>
      <c r="AD314" s="1">
        <v>43009</v>
      </c>
      <c r="AE314" t="s">
        <v>36</v>
      </c>
      <c r="AF314" t="s">
        <v>36</v>
      </c>
      <c r="AG314" t="s">
        <v>36</v>
      </c>
      <c r="AH314" t="s">
        <v>36</v>
      </c>
      <c r="AI314" t="s">
        <v>36</v>
      </c>
      <c r="AJ314" t="s">
        <v>36</v>
      </c>
    </row>
    <row r="315" spans="1:36" x14ac:dyDescent="0.35">
      <c r="A315">
        <v>3797</v>
      </c>
      <c r="B315" t="s">
        <v>986</v>
      </c>
      <c r="C315" s="1">
        <v>43650.402777777781</v>
      </c>
      <c r="D315" t="s">
        <v>36</v>
      </c>
      <c r="E315" t="s">
        <v>36</v>
      </c>
      <c r="F315" t="s">
        <v>36</v>
      </c>
      <c r="G315" t="s">
        <v>36</v>
      </c>
      <c r="H315" t="s">
        <v>36</v>
      </c>
      <c r="I315" t="s">
        <v>36</v>
      </c>
      <c r="J315" t="s">
        <v>36</v>
      </c>
      <c r="K315" s="1">
        <v>43650.402777777781</v>
      </c>
      <c r="L315" t="s">
        <v>36</v>
      </c>
      <c r="M315" t="s">
        <v>36</v>
      </c>
      <c r="N315" t="s">
        <v>36</v>
      </c>
      <c r="O315" t="s">
        <v>36</v>
      </c>
      <c r="P315" t="s">
        <v>36</v>
      </c>
      <c r="Q315" t="s">
        <v>36</v>
      </c>
      <c r="R315" t="s">
        <v>36</v>
      </c>
      <c r="S315" t="s">
        <v>36</v>
      </c>
      <c r="T315" t="s">
        <v>36</v>
      </c>
      <c r="U315" t="s">
        <v>36</v>
      </c>
      <c r="V315" s="1">
        <v>43650.402777777781</v>
      </c>
      <c r="W315" t="s">
        <v>36</v>
      </c>
      <c r="X315" t="s">
        <v>36</v>
      </c>
      <c r="Y315" t="s">
        <v>36</v>
      </c>
      <c r="Z315" s="1">
        <v>43650.402777777781</v>
      </c>
      <c r="AA315" t="s">
        <v>36</v>
      </c>
      <c r="AB315" t="s">
        <v>36</v>
      </c>
      <c r="AC315" s="1">
        <v>43650.402777777781</v>
      </c>
      <c r="AD315" s="1">
        <v>43650.402777777781</v>
      </c>
      <c r="AE315" t="s">
        <v>36</v>
      </c>
      <c r="AF315" t="s">
        <v>36</v>
      </c>
      <c r="AG315" t="s">
        <v>36</v>
      </c>
      <c r="AH315" t="s">
        <v>36</v>
      </c>
      <c r="AI315" t="s">
        <v>36</v>
      </c>
      <c r="AJ315" t="s">
        <v>36</v>
      </c>
    </row>
    <row r="316" spans="1:36" x14ac:dyDescent="0.35">
      <c r="A316">
        <v>3796</v>
      </c>
      <c r="B316" t="s">
        <v>985</v>
      </c>
      <c r="C316" s="1">
        <v>43650.402777777781</v>
      </c>
      <c r="D316" t="s">
        <v>36</v>
      </c>
      <c r="E316" t="s">
        <v>36</v>
      </c>
      <c r="F316" t="s">
        <v>36</v>
      </c>
      <c r="G316" t="s">
        <v>36</v>
      </c>
      <c r="H316" t="s">
        <v>36</v>
      </c>
      <c r="I316" t="s">
        <v>36</v>
      </c>
      <c r="J316" t="s">
        <v>36</v>
      </c>
      <c r="K316" s="1">
        <v>43650.402777777781</v>
      </c>
      <c r="L316" t="s">
        <v>36</v>
      </c>
      <c r="M316" t="s">
        <v>36</v>
      </c>
      <c r="N316" t="s">
        <v>36</v>
      </c>
      <c r="O316" t="s">
        <v>36</v>
      </c>
      <c r="P316" t="s">
        <v>36</v>
      </c>
      <c r="Q316" t="s">
        <v>36</v>
      </c>
      <c r="R316" t="s">
        <v>36</v>
      </c>
      <c r="S316" t="s">
        <v>36</v>
      </c>
      <c r="T316" t="s">
        <v>36</v>
      </c>
      <c r="U316" t="s">
        <v>36</v>
      </c>
      <c r="V316" s="1">
        <v>43650.402777777781</v>
      </c>
      <c r="W316" t="s">
        <v>36</v>
      </c>
      <c r="X316" t="s">
        <v>36</v>
      </c>
      <c r="Y316" t="s">
        <v>36</v>
      </c>
      <c r="Z316" s="1">
        <v>43650.402777777781</v>
      </c>
      <c r="AA316" t="s">
        <v>36</v>
      </c>
      <c r="AB316" t="s">
        <v>36</v>
      </c>
      <c r="AC316" s="1">
        <v>43650.402777777781</v>
      </c>
      <c r="AD316" s="1">
        <v>43650.402777777781</v>
      </c>
      <c r="AE316" t="s">
        <v>36</v>
      </c>
      <c r="AF316" t="s">
        <v>36</v>
      </c>
      <c r="AG316" t="s">
        <v>36</v>
      </c>
      <c r="AH316" t="s">
        <v>36</v>
      </c>
      <c r="AI316" t="s">
        <v>36</v>
      </c>
      <c r="AJ316" t="s">
        <v>36</v>
      </c>
    </row>
    <row r="317" spans="1:36" x14ac:dyDescent="0.35">
      <c r="A317">
        <v>3798</v>
      </c>
      <c r="B317" t="s">
        <v>987</v>
      </c>
      <c r="C317" s="1">
        <v>43650.402777777781</v>
      </c>
      <c r="D317" t="s">
        <v>36</v>
      </c>
      <c r="E317" t="s">
        <v>36</v>
      </c>
      <c r="F317" t="s">
        <v>36</v>
      </c>
      <c r="G317" t="s">
        <v>36</v>
      </c>
      <c r="H317" t="s">
        <v>36</v>
      </c>
      <c r="I317" t="s">
        <v>36</v>
      </c>
      <c r="J317" t="s">
        <v>36</v>
      </c>
      <c r="K317" s="1">
        <v>43650.402777777781</v>
      </c>
      <c r="L317" t="s">
        <v>36</v>
      </c>
      <c r="M317" t="s">
        <v>36</v>
      </c>
      <c r="N317" t="s">
        <v>36</v>
      </c>
      <c r="O317" t="s">
        <v>36</v>
      </c>
      <c r="P317" t="s">
        <v>36</v>
      </c>
      <c r="Q317" t="s">
        <v>36</v>
      </c>
      <c r="R317" t="s">
        <v>36</v>
      </c>
      <c r="S317" t="s">
        <v>36</v>
      </c>
      <c r="T317" t="s">
        <v>36</v>
      </c>
      <c r="U317" t="s">
        <v>36</v>
      </c>
      <c r="V317" s="1">
        <v>43650.402777777781</v>
      </c>
      <c r="W317" t="s">
        <v>36</v>
      </c>
      <c r="X317" t="s">
        <v>36</v>
      </c>
      <c r="Y317" t="s">
        <v>36</v>
      </c>
      <c r="Z317" s="1">
        <v>43650.402777777781</v>
      </c>
      <c r="AA317" t="s">
        <v>36</v>
      </c>
      <c r="AB317" t="s">
        <v>36</v>
      </c>
      <c r="AC317" s="1">
        <v>43650.402777777781</v>
      </c>
      <c r="AD317" s="1">
        <v>43650.402777777781</v>
      </c>
      <c r="AE317" t="s">
        <v>36</v>
      </c>
      <c r="AF317" t="s">
        <v>36</v>
      </c>
      <c r="AG317" t="s">
        <v>36</v>
      </c>
      <c r="AH317" t="s">
        <v>36</v>
      </c>
      <c r="AI317" t="s">
        <v>36</v>
      </c>
      <c r="AJ317" t="s">
        <v>36</v>
      </c>
    </row>
    <row r="318" spans="1:36" x14ac:dyDescent="0.35">
      <c r="A318">
        <v>103</v>
      </c>
      <c r="B318" t="s">
        <v>111</v>
      </c>
      <c r="C318" t="s">
        <v>36</v>
      </c>
      <c r="D318" s="1">
        <v>42087.777777777781</v>
      </c>
      <c r="E318" t="s">
        <v>36</v>
      </c>
      <c r="F318" t="s">
        <v>36</v>
      </c>
      <c r="G318" s="1">
        <v>42482.388888888891</v>
      </c>
      <c r="H318" t="s">
        <v>36</v>
      </c>
      <c r="I318" t="s">
        <v>36</v>
      </c>
      <c r="J318" s="1">
        <v>39631.4375</v>
      </c>
      <c r="K318" t="s">
        <v>36</v>
      </c>
      <c r="L318" s="1">
        <v>42058.680555555555</v>
      </c>
      <c r="M318" t="s">
        <v>36</v>
      </c>
      <c r="N318" s="1">
        <v>43948.465277777781</v>
      </c>
      <c r="O318" s="1">
        <v>42206.583333333336</v>
      </c>
      <c r="P318" s="1">
        <v>43059.576388888891</v>
      </c>
      <c r="Q318" t="s">
        <v>36</v>
      </c>
      <c r="R318" t="s">
        <v>36</v>
      </c>
      <c r="S318" t="s">
        <v>36</v>
      </c>
      <c r="T318" s="1">
        <v>42555.659722222219</v>
      </c>
      <c r="U318" t="s">
        <v>36</v>
      </c>
      <c r="V318" t="s">
        <v>36</v>
      </c>
      <c r="W318" t="s">
        <v>36</v>
      </c>
      <c r="X318" s="1">
        <v>42193.652777777781</v>
      </c>
      <c r="Y318" t="s">
        <v>36</v>
      </c>
      <c r="Z318" t="s">
        <v>36</v>
      </c>
      <c r="AA318" t="s">
        <v>36</v>
      </c>
      <c r="AB318" t="s">
        <v>36</v>
      </c>
      <c r="AC318" t="s">
        <v>36</v>
      </c>
      <c r="AD318" t="s">
        <v>36</v>
      </c>
      <c r="AE318" t="s">
        <v>36</v>
      </c>
      <c r="AF318" s="1">
        <v>42492.493055555555</v>
      </c>
      <c r="AG318" t="s">
        <v>36</v>
      </c>
      <c r="AH318" t="s">
        <v>36</v>
      </c>
      <c r="AI318" s="1">
        <v>42492.895833333336</v>
      </c>
      <c r="AJ318" s="1">
        <v>43059.576388888891</v>
      </c>
    </row>
    <row r="319" spans="1:36" x14ac:dyDescent="0.35">
      <c r="A319">
        <v>3747</v>
      </c>
      <c r="B319" t="s">
        <v>326</v>
      </c>
      <c r="C319" t="s">
        <v>36</v>
      </c>
      <c r="D319" t="s">
        <v>36</v>
      </c>
      <c r="E319" t="s">
        <v>36</v>
      </c>
      <c r="F319" t="s">
        <v>36</v>
      </c>
      <c r="G319" s="1">
        <v>43647.486111111109</v>
      </c>
      <c r="H319" t="s">
        <v>36</v>
      </c>
      <c r="I319" t="s">
        <v>36</v>
      </c>
      <c r="J319" t="s">
        <v>36</v>
      </c>
      <c r="K319" t="s">
        <v>36</v>
      </c>
      <c r="L319" t="s">
        <v>36</v>
      </c>
      <c r="M319" t="s">
        <v>36</v>
      </c>
      <c r="N319" s="1">
        <v>43948.465277777781</v>
      </c>
      <c r="O319" s="1">
        <v>42206.583333333336</v>
      </c>
      <c r="P319" s="1">
        <v>43647.486111111109</v>
      </c>
      <c r="Q319" t="s">
        <v>36</v>
      </c>
      <c r="R319" t="s">
        <v>36</v>
      </c>
      <c r="S319" s="1">
        <v>43466.638888888891</v>
      </c>
      <c r="T319" s="1">
        <v>43647.486111111109</v>
      </c>
      <c r="U319" t="s">
        <v>36</v>
      </c>
      <c r="V319" t="s">
        <v>36</v>
      </c>
      <c r="W319" t="s">
        <v>36</v>
      </c>
      <c r="X319" t="s">
        <v>36</v>
      </c>
      <c r="Y319" t="s">
        <v>36</v>
      </c>
      <c r="Z319" t="s">
        <v>36</v>
      </c>
      <c r="AA319" t="s">
        <v>36</v>
      </c>
      <c r="AB319" t="s">
        <v>36</v>
      </c>
      <c r="AC319" t="s">
        <v>36</v>
      </c>
      <c r="AD319" t="s">
        <v>36</v>
      </c>
      <c r="AE319" t="s">
        <v>36</v>
      </c>
      <c r="AF319" s="1">
        <v>43671.583333333336</v>
      </c>
      <c r="AG319" t="s">
        <v>36</v>
      </c>
      <c r="AH319" t="s">
        <v>36</v>
      </c>
      <c r="AI319" s="1">
        <v>43647.486111111109</v>
      </c>
      <c r="AJ319" s="1">
        <v>43647.486111111109</v>
      </c>
    </row>
    <row r="320" spans="1:36" x14ac:dyDescent="0.35">
      <c r="A320">
        <v>3748</v>
      </c>
      <c r="B320" t="s">
        <v>327</v>
      </c>
      <c r="C320" t="s">
        <v>36</v>
      </c>
      <c r="D320" s="1">
        <v>42087.777777777781</v>
      </c>
      <c r="E320" t="s">
        <v>36</v>
      </c>
      <c r="F320" t="s">
        <v>36</v>
      </c>
      <c r="G320" s="1">
        <v>43647.486111111109</v>
      </c>
      <c r="H320" t="s">
        <v>36</v>
      </c>
      <c r="I320" t="s">
        <v>36</v>
      </c>
      <c r="J320" t="s">
        <v>36</v>
      </c>
      <c r="K320" t="s">
        <v>36</v>
      </c>
      <c r="L320" t="s">
        <v>36</v>
      </c>
      <c r="M320" t="s">
        <v>36</v>
      </c>
      <c r="N320" s="1">
        <v>43948.465277777781</v>
      </c>
      <c r="O320" s="1">
        <v>42206.583333333336</v>
      </c>
      <c r="P320" s="1">
        <v>43647.486111111109</v>
      </c>
      <c r="Q320" t="s">
        <v>36</v>
      </c>
      <c r="R320" t="s">
        <v>36</v>
      </c>
      <c r="S320" s="1">
        <v>43466.638888888891</v>
      </c>
      <c r="T320" s="1">
        <v>43647.486111111109</v>
      </c>
      <c r="U320" t="s">
        <v>36</v>
      </c>
      <c r="V320" t="s">
        <v>36</v>
      </c>
      <c r="W320" t="s">
        <v>36</v>
      </c>
      <c r="X320" s="1">
        <v>42193.652777777781</v>
      </c>
      <c r="Y320" t="s">
        <v>36</v>
      </c>
      <c r="Z320" t="s">
        <v>36</v>
      </c>
      <c r="AA320" t="s">
        <v>36</v>
      </c>
      <c r="AB320" t="s">
        <v>36</v>
      </c>
      <c r="AC320" t="s">
        <v>36</v>
      </c>
      <c r="AD320" t="s">
        <v>36</v>
      </c>
      <c r="AE320" t="s">
        <v>36</v>
      </c>
      <c r="AF320" s="1">
        <v>43671.583333333336</v>
      </c>
      <c r="AG320" t="s">
        <v>36</v>
      </c>
      <c r="AH320" t="s">
        <v>36</v>
      </c>
      <c r="AI320" s="1">
        <v>43647.486111111109</v>
      </c>
      <c r="AJ320" s="1">
        <v>43647.486111111109</v>
      </c>
    </row>
    <row r="321" spans="1:36" x14ac:dyDescent="0.35">
      <c r="A321">
        <v>3749</v>
      </c>
      <c r="B321" t="s">
        <v>328</v>
      </c>
      <c r="C321" t="s">
        <v>36</v>
      </c>
      <c r="D321" s="1">
        <v>42087.777777777781</v>
      </c>
      <c r="E321" t="s">
        <v>36</v>
      </c>
      <c r="F321" t="s">
        <v>36</v>
      </c>
      <c r="G321" s="1">
        <v>43647.486111111109</v>
      </c>
      <c r="H321" t="s">
        <v>36</v>
      </c>
      <c r="I321" t="s">
        <v>36</v>
      </c>
      <c r="J321" t="s">
        <v>36</v>
      </c>
      <c r="K321" t="s">
        <v>36</v>
      </c>
      <c r="L321" t="s">
        <v>36</v>
      </c>
      <c r="M321" t="s">
        <v>36</v>
      </c>
      <c r="N321" s="1">
        <v>43948.465277777781</v>
      </c>
      <c r="O321" s="1">
        <v>42206.583333333336</v>
      </c>
      <c r="P321" s="1">
        <v>43647.486111111109</v>
      </c>
      <c r="Q321" t="s">
        <v>36</v>
      </c>
      <c r="R321" t="s">
        <v>36</v>
      </c>
      <c r="S321" s="1">
        <v>43466.638888888891</v>
      </c>
      <c r="T321" s="1">
        <v>43647.486111111109</v>
      </c>
      <c r="U321" t="s">
        <v>36</v>
      </c>
      <c r="V321" t="s">
        <v>36</v>
      </c>
      <c r="W321" t="s">
        <v>36</v>
      </c>
      <c r="X321" s="1">
        <v>42193.652777777781</v>
      </c>
      <c r="Y321" t="s">
        <v>36</v>
      </c>
      <c r="Z321" t="s">
        <v>36</v>
      </c>
      <c r="AA321" t="s">
        <v>36</v>
      </c>
      <c r="AB321" t="s">
        <v>36</v>
      </c>
      <c r="AC321" t="s">
        <v>36</v>
      </c>
      <c r="AD321" t="s">
        <v>36</v>
      </c>
      <c r="AE321" t="s">
        <v>36</v>
      </c>
      <c r="AF321" s="1">
        <v>43671.583333333336</v>
      </c>
      <c r="AG321" t="s">
        <v>36</v>
      </c>
      <c r="AH321" t="s">
        <v>36</v>
      </c>
      <c r="AI321" s="1">
        <v>43647.486111111109</v>
      </c>
      <c r="AJ321" s="1">
        <v>43647.486111111109</v>
      </c>
    </row>
    <row r="322" spans="1:36" x14ac:dyDescent="0.35">
      <c r="A322">
        <v>101</v>
      </c>
      <c r="B322" t="s">
        <v>109</v>
      </c>
      <c r="C322" t="s">
        <v>36</v>
      </c>
      <c r="D322" s="1">
        <v>42058.680555555555</v>
      </c>
      <c r="E322" t="s">
        <v>36</v>
      </c>
      <c r="F322" t="s">
        <v>36</v>
      </c>
      <c r="G322" s="1">
        <v>41426</v>
      </c>
      <c r="H322" t="s">
        <v>36</v>
      </c>
      <c r="I322" t="s">
        <v>36</v>
      </c>
      <c r="J322" s="1">
        <v>39843.305555555555</v>
      </c>
      <c r="K322" t="s">
        <v>36</v>
      </c>
      <c r="L322" t="s">
        <v>36</v>
      </c>
      <c r="M322" t="s">
        <v>36</v>
      </c>
      <c r="N322" s="1">
        <v>42735.993055555555</v>
      </c>
      <c r="O322" s="1">
        <v>42206.583333333336</v>
      </c>
      <c r="P322" s="1">
        <v>43059.576388888891</v>
      </c>
      <c r="Q322" t="s">
        <v>36</v>
      </c>
      <c r="R322" t="s">
        <v>36</v>
      </c>
      <c r="S322" t="s">
        <v>36</v>
      </c>
      <c r="T322" s="1">
        <v>42528.291666666664</v>
      </c>
      <c r="U322" t="s">
        <v>36</v>
      </c>
      <c r="V322" t="s">
        <v>36</v>
      </c>
      <c r="W322" t="s">
        <v>36</v>
      </c>
      <c r="X322" s="1">
        <v>42193.652777777781</v>
      </c>
      <c r="Y322" t="s">
        <v>36</v>
      </c>
      <c r="Z322" t="s">
        <v>36</v>
      </c>
      <c r="AA322" t="s">
        <v>36</v>
      </c>
      <c r="AB322" t="s">
        <v>36</v>
      </c>
      <c r="AC322" t="s">
        <v>36</v>
      </c>
      <c r="AD322" t="s">
        <v>36</v>
      </c>
      <c r="AE322" t="s">
        <v>36</v>
      </c>
      <c r="AF322" s="1">
        <v>42058.680555555555</v>
      </c>
      <c r="AG322" s="32">
        <v>43040</v>
      </c>
      <c r="AH322" t="s">
        <v>36</v>
      </c>
      <c r="AI322" s="1">
        <v>41426</v>
      </c>
      <c r="AJ322" s="1">
        <v>43059.576388888891</v>
      </c>
    </row>
    <row r="323" spans="1:36" x14ac:dyDescent="0.35">
      <c r="A323">
        <v>2839</v>
      </c>
      <c r="B323" t="s">
        <v>900</v>
      </c>
      <c r="C323" t="s">
        <v>36</v>
      </c>
      <c r="D323" t="s">
        <v>36</v>
      </c>
      <c r="E323" t="s">
        <v>36</v>
      </c>
      <c r="F323" t="s">
        <v>36</v>
      </c>
      <c r="G323" s="1">
        <v>43530</v>
      </c>
      <c r="H323" t="s">
        <v>36</v>
      </c>
      <c r="I323" t="s">
        <v>36</v>
      </c>
      <c r="J323" t="s">
        <v>36</v>
      </c>
      <c r="K323" t="s">
        <v>36</v>
      </c>
      <c r="L323" t="s">
        <v>36</v>
      </c>
      <c r="M323" t="s">
        <v>36</v>
      </c>
      <c r="N323" s="1">
        <v>43948.465277777781</v>
      </c>
      <c r="O323" s="1">
        <v>42206.583333333336</v>
      </c>
      <c r="P323" s="1">
        <v>43559</v>
      </c>
      <c r="Q323" t="s">
        <v>36</v>
      </c>
      <c r="R323" t="s">
        <v>36</v>
      </c>
      <c r="S323" t="s">
        <v>36</v>
      </c>
      <c r="T323" s="1">
        <v>43557</v>
      </c>
      <c r="U323" t="s">
        <v>36</v>
      </c>
      <c r="V323" t="s">
        <v>36</v>
      </c>
      <c r="W323" t="s">
        <v>36</v>
      </c>
      <c r="X323" t="s">
        <v>36</v>
      </c>
      <c r="Y323" t="s">
        <v>36</v>
      </c>
      <c r="Z323" t="s">
        <v>36</v>
      </c>
      <c r="AA323" t="s">
        <v>36</v>
      </c>
      <c r="AB323" t="s">
        <v>36</v>
      </c>
      <c r="AC323" t="s">
        <v>36</v>
      </c>
      <c r="AD323" t="s">
        <v>36</v>
      </c>
      <c r="AE323" t="s">
        <v>36</v>
      </c>
      <c r="AF323" s="1">
        <v>43529</v>
      </c>
      <c r="AG323" t="s">
        <v>36</v>
      </c>
      <c r="AH323" t="s">
        <v>36</v>
      </c>
      <c r="AI323" s="1">
        <v>43530</v>
      </c>
      <c r="AJ323" s="1">
        <v>43528</v>
      </c>
    </row>
    <row r="324" spans="1:36" x14ac:dyDescent="0.35">
      <c r="A324">
        <v>2840</v>
      </c>
      <c r="B324" t="s">
        <v>901</v>
      </c>
      <c r="C324" t="s">
        <v>36</v>
      </c>
      <c r="D324" t="s">
        <v>36</v>
      </c>
      <c r="E324" t="s">
        <v>36</v>
      </c>
      <c r="F324" t="s">
        <v>36</v>
      </c>
      <c r="G324" s="1">
        <v>43530</v>
      </c>
      <c r="H324" t="s">
        <v>36</v>
      </c>
      <c r="I324" t="s">
        <v>36</v>
      </c>
      <c r="J324" t="s">
        <v>36</v>
      </c>
      <c r="K324" t="s">
        <v>36</v>
      </c>
      <c r="L324" t="s">
        <v>36</v>
      </c>
      <c r="M324" t="s">
        <v>36</v>
      </c>
      <c r="N324" s="1">
        <v>43948.465277777781</v>
      </c>
      <c r="O324" s="1">
        <v>42206.583333333336</v>
      </c>
      <c r="P324" s="1">
        <v>43557</v>
      </c>
      <c r="Q324" t="s">
        <v>36</v>
      </c>
      <c r="R324" t="s">
        <v>36</v>
      </c>
      <c r="S324" t="s">
        <v>36</v>
      </c>
      <c r="T324" s="1">
        <v>43557</v>
      </c>
      <c r="U324" t="s">
        <v>36</v>
      </c>
      <c r="V324" t="s">
        <v>36</v>
      </c>
      <c r="W324" t="s">
        <v>36</v>
      </c>
      <c r="X324" t="s">
        <v>36</v>
      </c>
      <c r="Y324" t="s">
        <v>36</v>
      </c>
      <c r="Z324" t="s">
        <v>36</v>
      </c>
      <c r="AA324" t="s">
        <v>36</v>
      </c>
      <c r="AB324" t="s">
        <v>36</v>
      </c>
      <c r="AC324" t="s">
        <v>36</v>
      </c>
      <c r="AD324" t="s">
        <v>36</v>
      </c>
      <c r="AE324" t="s">
        <v>36</v>
      </c>
      <c r="AF324" s="1">
        <v>43529</v>
      </c>
      <c r="AG324" t="s">
        <v>36</v>
      </c>
      <c r="AH324" t="s">
        <v>36</v>
      </c>
      <c r="AI324" s="1">
        <v>43530</v>
      </c>
      <c r="AJ324" s="1">
        <v>43528</v>
      </c>
    </row>
    <row r="325" spans="1:36" x14ac:dyDescent="0.35">
      <c r="A325">
        <v>3750</v>
      </c>
      <c r="B325" t="s">
        <v>951</v>
      </c>
      <c r="C325" t="s">
        <v>36</v>
      </c>
      <c r="D325" t="s">
        <v>36</v>
      </c>
      <c r="E325" t="s">
        <v>36</v>
      </c>
      <c r="F325" t="s">
        <v>36</v>
      </c>
      <c r="G325" s="1">
        <v>43530</v>
      </c>
      <c r="H325" t="s">
        <v>36</v>
      </c>
      <c r="I325" t="s">
        <v>36</v>
      </c>
      <c r="J325" t="s">
        <v>36</v>
      </c>
      <c r="K325" t="s">
        <v>36</v>
      </c>
      <c r="L325" t="s">
        <v>36</v>
      </c>
      <c r="M325" t="s">
        <v>36</v>
      </c>
      <c r="N325" t="s">
        <v>36</v>
      </c>
      <c r="O325" t="s">
        <v>36</v>
      </c>
      <c r="P325" s="1">
        <v>43557</v>
      </c>
      <c r="Q325" t="s">
        <v>36</v>
      </c>
      <c r="R325" t="s">
        <v>36</v>
      </c>
      <c r="S325" t="s">
        <v>36</v>
      </c>
      <c r="T325" s="1">
        <v>43557</v>
      </c>
      <c r="U325" t="s">
        <v>36</v>
      </c>
      <c r="V325" t="s">
        <v>36</v>
      </c>
      <c r="W325" t="s">
        <v>36</v>
      </c>
      <c r="X325" t="s">
        <v>36</v>
      </c>
      <c r="Y325" t="s">
        <v>36</v>
      </c>
      <c r="Z325" t="s">
        <v>36</v>
      </c>
      <c r="AA325" t="s">
        <v>36</v>
      </c>
      <c r="AB325" t="s">
        <v>36</v>
      </c>
      <c r="AC325" t="s">
        <v>36</v>
      </c>
      <c r="AD325" t="s">
        <v>36</v>
      </c>
      <c r="AE325" t="s">
        <v>36</v>
      </c>
      <c r="AF325" s="1">
        <v>43529</v>
      </c>
      <c r="AG325" t="s">
        <v>36</v>
      </c>
      <c r="AH325" t="s">
        <v>36</v>
      </c>
      <c r="AI325" s="1">
        <v>43530</v>
      </c>
      <c r="AJ325" s="1">
        <v>43528</v>
      </c>
    </row>
    <row r="326" spans="1:36" x14ac:dyDescent="0.35">
      <c r="A326">
        <v>370</v>
      </c>
      <c r="B326" t="s">
        <v>207</v>
      </c>
      <c r="C326" t="s">
        <v>36</v>
      </c>
      <c r="D326" t="s">
        <v>36</v>
      </c>
      <c r="E326" t="s">
        <v>36</v>
      </c>
      <c r="F326" t="s">
        <v>36</v>
      </c>
      <c r="G326" t="s">
        <v>36</v>
      </c>
      <c r="H326" t="s">
        <v>36</v>
      </c>
      <c r="I326" t="s">
        <v>36</v>
      </c>
      <c r="J326" t="s">
        <v>36</v>
      </c>
      <c r="K326" t="s">
        <v>36</v>
      </c>
      <c r="L326" t="s">
        <v>36</v>
      </c>
      <c r="M326" t="s">
        <v>36</v>
      </c>
      <c r="N326" t="s">
        <v>36</v>
      </c>
      <c r="O326" t="s">
        <v>36</v>
      </c>
      <c r="P326" t="s">
        <v>36</v>
      </c>
      <c r="Q326" t="s">
        <v>36</v>
      </c>
      <c r="R326" t="s">
        <v>36</v>
      </c>
      <c r="S326" t="s">
        <v>36</v>
      </c>
      <c r="T326" t="s">
        <v>36</v>
      </c>
      <c r="U326" t="s">
        <v>36</v>
      </c>
      <c r="V326" t="s">
        <v>36</v>
      </c>
      <c r="W326" t="s">
        <v>36</v>
      </c>
      <c r="X326" t="s">
        <v>36</v>
      </c>
      <c r="Y326" t="s">
        <v>36</v>
      </c>
      <c r="Z326" t="s">
        <v>36</v>
      </c>
      <c r="AA326" t="s">
        <v>36</v>
      </c>
      <c r="AB326" t="s">
        <v>36</v>
      </c>
      <c r="AC326" t="s">
        <v>36</v>
      </c>
      <c r="AD326" t="s">
        <v>36</v>
      </c>
      <c r="AE326" t="s">
        <v>36</v>
      </c>
      <c r="AF326" t="s">
        <v>36</v>
      </c>
      <c r="AG326" t="s">
        <v>36</v>
      </c>
      <c r="AH326" t="s">
        <v>36</v>
      </c>
      <c r="AI326" t="s">
        <v>36</v>
      </c>
      <c r="AJ326" t="s">
        <v>36</v>
      </c>
    </row>
    <row r="327" spans="1:36" x14ac:dyDescent="0.35">
      <c r="A327">
        <v>4428</v>
      </c>
      <c r="B327" t="s">
        <v>1197</v>
      </c>
      <c r="C327" t="s">
        <v>36</v>
      </c>
      <c r="D327" t="s">
        <v>36</v>
      </c>
      <c r="E327" t="s">
        <v>36</v>
      </c>
      <c r="F327" t="s">
        <v>36</v>
      </c>
      <c r="G327" t="s">
        <v>36</v>
      </c>
      <c r="H327" t="s">
        <v>36</v>
      </c>
      <c r="I327" t="s">
        <v>36</v>
      </c>
      <c r="J327" t="s">
        <v>36</v>
      </c>
      <c r="K327" t="s">
        <v>36</v>
      </c>
      <c r="L327" t="s">
        <v>36</v>
      </c>
      <c r="M327" t="s">
        <v>36</v>
      </c>
      <c r="N327" t="s">
        <v>36</v>
      </c>
      <c r="O327" t="s">
        <v>36</v>
      </c>
      <c r="P327" t="s">
        <v>36</v>
      </c>
      <c r="Q327" t="s">
        <v>36</v>
      </c>
      <c r="R327" t="s">
        <v>36</v>
      </c>
      <c r="S327" t="s">
        <v>36</v>
      </c>
      <c r="T327" t="s">
        <v>36</v>
      </c>
      <c r="U327" t="s">
        <v>36</v>
      </c>
      <c r="V327" t="s">
        <v>36</v>
      </c>
      <c r="W327" t="s">
        <v>36</v>
      </c>
      <c r="X327" t="s">
        <v>36</v>
      </c>
      <c r="Y327" t="s">
        <v>36</v>
      </c>
      <c r="Z327" t="s">
        <v>36</v>
      </c>
      <c r="AA327" t="s">
        <v>36</v>
      </c>
      <c r="AB327" t="s">
        <v>36</v>
      </c>
      <c r="AC327" t="s">
        <v>36</v>
      </c>
      <c r="AD327" t="s">
        <v>36</v>
      </c>
      <c r="AE327" t="s">
        <v>36</v>
      </c>
      <c r="AF327" t="s">
        <v>36</v>
      </c>
      <c r="AG327" t="s">
        <v>36</v>
      </c>
      <c r="AH327" t="s">
        <v>36</v>
      </c>
      <c r="AI327" t="s">
        <v>36</v>
      </c>
      <c r="AJ327" t="s">
        <v>36</v>
      </c>
    </row>
    <row r="328" spans="1:36" x14ac:dyDescent="0.35">
      <c r="A328">
        <v>4429</v>
      </c>
      <c r="B328" t="s">
        <v>1198</v>
      </c>
      <c r="C328" t="s">
        <v>36</v>
      </c>
      <c r="D328" t="s">
        <v>36</v>
      </c>
      <c r="E328" t="s">
        <v>36</v>
      </c>
      <c r="F328" t="s">
        <v>36</v>
      </c>
      <c r="G328" t="s">
        <v>36</v>
      </c>
      <c r="H328" t="s">
        <v>36</v>
      </c>
      <c r="I328" t="s">
        <v>36</v>
      </c>
      <c r="J328" t="s">
        <v>36</v>
      </c>
      <c r="K328" t="s">
        <v>36</v>
      </c>
      <c r="L328" t="s">
        <v>36</v>
      </c>
      <c r="M328" t="s">
        <v>36</v>
      </c>
      <c r="N328" t="s">
        <v>36</v>
      </c>
      <c r="O328" t="s">
        <v>36</v>
      </c>
      <c r="P328" t="s">
        <v>36</v>
      </c>
      <c r="Q328" t="s">
        <v>36</v>
      </c>
      <c r="R328" t="s">
        <v>36</v>
      </c>
      <c r="S328" t="s">
        <v>36</v>
      </c>
      <c r="T328" t="s">
        <v>36</v>
      </c>
      <c r="U328" t="s">
        <v>36</v>
      </c>
      <c r="V328" t="s">
        <v>36</v>
      </c>
      <c r="W328" t="s">
        <v>36</v>
      </c>
      <c r="X328" t="s">
        <v>36</v>
      </c>
      <c r="Y328" t="s">
        <v>36</v>
      </c>
      <c r="Z328" t="s">
        <v>36</v>
      </c>
      <c r="AA328" t="s">
        <v>36</v>
      </c>
      <c r="AB328" t="s">
        <v>36</v>
      </c>
      <c r="AC328" t="s">
        <v>36</v>
      </c>
      <c r="AD328" t="s">
        <v>36</v>
      </c>
      <c r="AE328" t="s">
        <v>36</v>
      </c>
      <c r="AF328" t="s">
        <v>36</v>
      </c>
      <c r="AG328" t="s">
        <v>36</v>
      </c>
      <c r="AH328" t="s">
        <v>36</v>
      </c>
      <c r="AI328" t="s">
        <v>36</v>
      </c>
      <c r="AJ328" t="s">
        <v>36</v>
      </c>
    </row>
    <row r="329" spans="1:36" x14ac:dyDescent="0.35">
      <c r="A329">
        <v>4430</v>
      </c>
      <c r="B329" t="s">
        <v>1199</v>
      </c>
      <c r="C329" t="s">
        <v>36</v>
      </c>
      <c r="D329" t="s">
        <v>36</v>
      </c>
      <c r="E329" t="s">
        <v>36</v>
      </c>
      <c r="F329" t="s">
        <v>36</v>
      </c>
      <c r="G329" t="s">
        <v>36</v>
      </c>
      <c r="H329" t="s">
        <v>36</v>
      </c>
      <c r="I329" t="s">
        <v>36</v>
      </c>
      <c r="J329" t="s">
        <v>36</v>
      </c>
      <c r="K329" t="s">
        <v>36</v>
      </c>
      <c r="L329" t="s">
        <v>36</v>
      </c>
      <c r="M329" t="s">
        <v>36</v>
      </c>
      <c r="N329" t="s">
        <v>36</v>
      </c>
      <c r="O329" t="s">
        <v>36</v>
      </c>
      <c r="P329" t="s">
        <v>36</v>
      </c>
      <c r="Q329" t="s">
        <v>36</v>
      </c>
      <c r="R329" t="s">
        <v>36</v>
      </c>
      <c r="S329" t="s">
        <v>36</v>
      </c>
      <c r="T329" t="s">
        <v>36</v>
      </c>
      <c r="U329" t="s">
        <v>36</v>
      </c>
      <c r="V329" t="s">
        <v>36</v>
      </c>
      <c r="W329" t="s">
        <v>36</v>
      </c>
      <c r="X329" t="s">
        <v>36</v>
      </c>
      <c r="Y329" t="s">
        <v>36</v>
      </c>
      <c r="Z329" t="s">
        <v>36</v>
      </c>
      <c r="AA329" t="s">
        <v>36</v>
      </c>
      <c r="AB329" t="s">
        <v>36</v>
      </c>
      <c r="AC329" t="s">
        <v>36</v>
      </c>
      <c r="AD329" t="s">
        <v>36</v>
      </c>
      <c r="AE329" t="s">
        <v>36</v>
      </c>
      <c r="AF329" t="s">
        <v>36</v>
      </c>
      <c r="AG329" t="s">
        <v>36</v>
      </c>
      <c r="AH329" t="s">
        <v>36</v>
      </c>
      <c r="AI329" t="s">
        <v>36</v>
      </c>
      <c r="AJ329" t="s">
        <v>36</v>
      </c>
    </row>
    <row r="330" spans="1:36" x14ac:dyDescent="0.35">
      <c r="A330">
        <v>326</v>
      </c>
      <c r="B330" t="s">
        <v>194</v>
      </c>
      <c r="C330" t="s">
        <v>36</v>
      </c>
      <c r="D330" t="s">
        <v>36</v>
      </c>
      <c r="E330" t="s">
        <v>36</v>
      </c>
      <c r="F330" t="s">
        <v>36</v>
      </c>
      <c r="G330" s="1">
        <v>41426</v>
      </c>
      <c r="H330" t="s">
        <v>36</v>
      </c>
      <c r="I330" t="s">
        <v>36</v>
      </c>
      <c r="J330" t="s">
        <v>36</v>
      </c>
      <c r="K330" t="s">
        <v>36</v>
      </c>
      <c r="L330" t="s">
        <v>36</v>
      </c>
      <c r="M330" t="s">
        <v>36</v>
      </c>
      <c r="N330" t="s">
        <v>36</v>
      </c>
      <c r="O330" t="s">
        <v>36</v>
      </c>
      <c r="P330" s="1">
        <v>43059.576388888891</v>
      </c>
      <c r="Q330" t="s">
        <v>36</v>
      </c>
      <c r="R330" t="s">
        <v>36</v>
      </c>
      <c r="S330" t="s">
        <v>36</v>
      </c>
      <c r="T330" s="1">
        <v>42528.291666666664</v>
      </c>
      <c r="U330" t="s">
        <v>36</v>
      </c>
      <c r="V330" t="s">
        <v>36</v>
      </c>
      <c r="W330" t="s">
        <v>36</v>
      </c>
      <c r="X330" t="s">
        <v>36</v>
      </c>
      <c r="Y330" t="s">
        <v>36</v>
      </c>
      <c r="Z330" t="s">
        <v>36</v>
      </c>
      <c r="AA330" t="s">
        <v>36</v>
      </c>
      <c r="AB330" t="s">
        <v>36</v>
      </c>
      <c r="AC330" t="s">
        <v>36</v>
      </c>
      <c r="AD330" t="s">
        <v>36</v>
      </c>
      <c r="AE330" t="s">
        <v>36</v>
      </c>
      <c r="AF330" s="1">
        <v>42058.680555555555</v>
      </c>
      <c r="AG330" s="32">
        <v>43040</v>
      </c>
      <c r="AH330" t="s">
        <v>36</v>
      </c>
      <c r="AI330" s="1">
        <v>41426</v>
      </c>
      <c r="AJ330" s="1">
        <v>43059.576388888891</v>
      </c>
    </row>
    <row r="331" spans="1:36" x14ac:dyDescent="0.35">
      <c r="A331">
        <v>295</v>
      </c>
      <c r="B331" t="s">
        <v>175</v>
      </c>
      <c r="C331" t="s">
        <v>36</v>
      </c>
      <c r="D331" t="s">
        <v>36</v>
      </c>
      <c r="E331" t="s">
        <v>36</v>
      </c>
      <c r="F331" t="s">
        <v>36</v>
      </c>
      <c r="G331" t="s">
        <v>36</v>
      </c>
      <c r="H331" t="s">
        <v>36</v>
      </c>
      <c r="I331" t="s">
        <v>36</v>
      </c>
      <c r="J331" t="s">
        <v>36</v>
      </c>
      <c r="K331" t="s">
        <v>36</v>
      </c>
      <c r="L331" t="s">
        <v>36</v>
      </c>
      <c r="M331" t="s">
        <v>36</v>
      </c>
      <c r="N331" t="s">
        <v>36</v>
      </c>
      <c r="O331" t="s">
        <v>36</v>
      </c>
      <c r="P331" t="s">
        <v>36</v>
      </c>
      <c r="Q331" t="s">
        <v>36</v>
      </c>
      <c r="R331" t="s">
        <v>36</v>
      </c>
      <c r="S331" t="s">
        <v>36</v>
      </c>
      <c r="T331" t="s">
        <v>36</v>
      </c>
      <c r="U331" t="s">
        <v>36</v>
      </c>
      <c r="V331" t="s">
        <v>36</v>
      </c>
      <c r="W331" t="s">
        <v>36</v>
      </c>
      <c r="X331" t="s">
        <v>36</v>
      </c>
      <c r="Y331" t="s">
        <v>36</v>
      </c>
      <c r="Z331" t="s">
        <v>36</v>
      </c>
      <c r="AA331" t="s">
        <v>36</v>
      </c>
      <c r="AB331" t="s">
        <v>36</v>
      </c>
      <c r="AC331" t="s">
        <v>36</v>
      </c>
      <c r="AD331" t="s">
        <v>36</v>
      </c>
      <c r="AE331" t="s">
        <v>36</v>
      </c>
      <c r="AF331" t="s">
        <v>36</v>
      </c>
      <c r="AG331" t="s">
        <v>36</v>
      </c>
      <c r="AH331" t="s">
        <v>36</v>
      </c>
      <c r="AI331" t="s">
        <v>36</v>
      </c>
      <c r="AJ331" t="s">
        <v>36</v>
      </c>
    </row>
    <row r="332" spans="1:36" x14ac:dyDescent="0.35">
      <c r="A332">
        <v>296</v>
      </c>
      <c r="B332" t="s">
        <v>176</v>
      </c>
      <c r="C332" t="s">
        <v>36</v>
      </c>
      <c r="D332" t="s">
        <v>36</v>
      </c>
      <c r="E332" t="s">
        <v>36</v>
      </c>
      <c r="F332" t="s">
        <v>36</v>
      </c>
      <c r="G332" t="s">
        <v>36</v>
      </c>
      <c r="H332" t="s">
        <v>36</v>
      </c>
      <c r="I332" t="s">
        <v>36</v>
      </c>
      <c r="J332" t="s">
        <v>36</v>
      </c>
      <c r="K332" t="s">
        <v>36</v>
      </c>
      <c r="L332" t="s">
        <v>36</v>
      </c>
      <c r="M332" t="s">
        <v>36</v>
      </c>
      <c r="N332" t="s">
        <v>36</v>
      </c>
      <c r="O332" t="s">
        <v>36</v>
      </c>
      <c r="P332" t="s">
        <v>36</v>
      </c>
      <c r="Q332" t="s">
        <v>36</v>
      </c>
      <c r="R332" t="s">
        <v>36</v>
      </c>
      <c r="S332" t="s">
        <v>36</v>
      </c>
      <c r="T332" t="s">
        <v>36</v>
      </c>
      <c r="U332" t="s">
        <v>36</v>
      </c>
      <c r="V332" t="s">
        <v>36</v>
      </c>
      <c r="W332" t="s">
        <v>36</v>
      </c>
      <c r="X332" t="s">
        <v>36</v>
      </c>
      <c r="Y332" t="s">
        <v>36</v>
      </c>
      <c r="Z332" t="s">
        <v>36</v>
      </c>
      <c r="AA332" t="s">
        <v>36</v>
      </c>
      <c r="AB332" t="s">
        <v>36</v>
      </c>
      <c r="AC332" t="s">
        <v>36</v>
      </c>
      <c r="AD332" t="s">
        <v>36</v>
      </c>
      <c r="AE332" t="s">
        <v>36</v>
      </c>
      <c r="AF332" t="s">
        <v>36</v>
      </c>
      <c r="AG332" t="s">
        <v>36</v>
      </c>
      <c r="AH332" t="s">
        <v>36</v>
      </c>
      <c r="AI332" t="s">
        <v>36</v>
      </c>
      <c r="AJ332" t="s">
        <v>36</v>
      </c>
    </row>
    <row r="333" spans="1:36" x14ac:dyDescent="0.35">
      <c r="A333">
        <v>154</v>
      </c>
      <c r="B333" t="s">
        <v>126</v>
      </c>
      <c r="C333" t="s">
        <v>36</v>
      </c>
      <c r="D333" s="1">
        <v>42058.680555555555</v>
      </c>
      <c r="E333" t="s">
        <v>36</v>
      </c>
      <c r="F333" t="s">
        <v>36</v>
      </c>
      <c r="G333" s="1">
        <v>41426</v>
      </c>
      <c r="H333" t="s">
        <v>36</v>
      </c>
      <c r="I333" t="s">
        <v>36</v>
      </c>
      <c r="J333" t="s">
        <v>36</v>
      </c>
      <c r="K333" t="s">
        <v>36</v>
      </c>
      <c r="L333" t="s">
        <v>36</v>
      </c>
      <c r="M333" t="s">
        <v>36</v>
      </c>
      <c r="N333" s="1">
        <v>42735.993055555555</v>
      </c>
      <c r="O333" s="1">
        <v>42206.590277777781</v>
      </c>
      <c r="P333" s="1">
        <v>43059.576388888891</v>
      </c>
      <c r="Q333" t="s">
        <v>36</v>
      </c>
      <c r="R333" t="s">
        <v>36</v>
      </c>
      <c r="S333" t="s">
        <v>36</v>
      </c>
      <c r="T333" s="1">
        <v>42528.291666666664</v>
      </c>
      <c r="U333" t="s">
        <v>36</v>
      </c>
      <c r="V333" t="s">
        <v>36</v>
      </c>
      <c r="W333" t="s">
        <v>36</v>
      </c>
      <c r="X333" s="1">
        <v>42193.659722222219</v>
      </c>
      <c r="Y333" t="s">
        <v>36</v>
      </c>
      <c r="Z333" t="s">
        <v>36</v>
      </c>
      <c r="AA333" t="s">
        <v>36</v>
      </c>
      <c r="AB333" t="s">
        <v>36</v>
      </c>
      <c r="AC333" t="s">
        <v>36</v>
      </c>
      <c r="AD333" t="s">
        <v>36</v>
      </c>
      <c r="AE333" t="s">
        <v>36</v>
      </c>
      <c r="AF333" s="1">
        <v>42058.680555555555</v>
      </c>
      <c r="AG333" s="32">
        <v>43040</v>
      </c>
      <c r="AH333" t="s">
        <v>36</v>
      </c>
      <c r="AI333" s="1">
        <v>41426</v>
      </c>
      <c r="AJ333" s="1">
        <v>43059.576388888891</v>
      </c>
    </row>
    <row r="334" spans="1:36" x14ac:dyDescent="0.35">
      <c r="A334">
        <v>398</v>
      </c>
      <c r="B334" t="s">
        <v>225</v>
      </c>
      <c r="C334" t="s">
        <v>36</v>
      </c>
      <c r="D334" t="s">
        <v>36</v>
      </c>
      <c r="E334" t="s">
        <v>36</v>
      </c>
      <c r="F334" t="s">
        <v>36</v>
      </c>
      <c r="G334" s="1">
        <v>41426</v>
      </c>
      <c r="H334" t="s">
        <v>36</v>
      </c>
      <c r="I334" t="s">
        <v>36</v>
      </c>
      <c r="J334" t="s">
        <v>36</v>
      </c>
      <c r="K334" t="s">
        <v>36</v>
      </c>
      <c r="L334" t="s">
        <v>36</v>
      </c>
      <c r="M334" t="s">
        <v>36</v>
      </c>
      <c r="N334" t="s">
        <v>36</v>
      </c>
      <c r="O334" t="s">
        <v>36</v>
      </c>
      <c r="P334" s="1">
        <v>43059.576388888891</v>
      </c>
      <c r="Q334" t="s">
        <v>36</v>
      </c>
      <c r="R334" t="s">
        <v>36</v>
      </c>
      <c r="S334" t="s">
        <v>36</v>
      </c>
      <c r="T334" s="1">
        <v>42528.291666666664</v>
      </c>
      <c r="U334" t="s">
        <v>36</v>
      </c>
      <c r="V334" t="s">
        <v>36</v>
      </c>
      <c r="W334" t="s">
        <v>36</v>
      </c>
      <c r="X334" t="s">
        <v>36</v>
      </c>
      <c r="Y334" t="s">
        <v>36</v>
      </c>
      <c r="Z334" t="s">
        <v>36</v>
      </c>
      <c r="AA334" t="s">
        <v>36</v>
      </c>
      <c r="AB334" t="s">
        <v>36</v>
      </c>
      <c r="AC334" t="s">
        <v>36</v>
      </c>
      <c r="AD334" t="s">
        <v>36</v>
      </c>
      <c r="AE334" t="s">
        <v>36</v>
      </c>
      <c r="AF334" s="1">
        <v>42058.680555555555</v>
      </c>
      <c r="AG334" s="32">
        <v>43040</v>
      </c>
      <c r="AH334" t="s">
        <v>36</v>
      </c>
      <c r="AI334" s="1">
        <v>41426</v>
      </c>
      <c r="AJ334" s="1">
        <v>43059.576388888891</v>
      </c>
    </row>
    <row r="335" spans="1:36" x14ac:dyDescent="0.35">
      <c r="A335">
        <v>55</v>
      </c>
      <c r="B335" t="s">
        <v>89</v>
      </c>
      <c r="C335" t="s">
        <v>36</v>
      </c>
      <c r="D335" t="s">
        <v>36</v>
      </c>
      <c r="E335" t="s">
        <v>36</v>
      </c>
      <c r="F335" t="s">
        <v>36</v>
      </c>
      <c r="G335" t="s">
        <v>36</v>
      </c>
      <c r="H335" t="s">
        <v>36</v>
      </c>
      <c r="I335" t="s">
        <v>36</v>
      </c>
      <c r="J335" t="s">
        <v>36</v>
      </c>
      <c r="K335" t="s">
        <v>36</v>
      </c>
      <c r="L335" t="s">
        <v>36</v>
      </c>
      <c r="M335" t="s">
        <v>36</v>
      </c>
      <c r="N335" t="s">
        <v>36</v>
      </c>
      <c r="O335" t="s">
        <v>36</v>
      </c>
      <c r="P335" t="s">
        <v>36</v>
      </c>
      <c r="Q335" s="1">
        <v>42470.777777777781</v>
      </c>
      <c r="R335" t="s">
        <v>36</v>
      </c>
      <c r="S335" t="s">
        <v>36</v>
      </c>
      <c r="T335" t="s">
        <v>36</v>
      </c>
      <c r="U335" t="s">
        <v>36</v>
      </c>
      <c r="V335" t="s">
        <v>36</v>
      </c>
      <c r="W335" t="s">
        <v>36</v>
      </c>
      <c r="X335" t="s">
        <v>36</v>
      </c>
      <c r="Y335" t="s">
        <v>36</v>
      </c>
      <c r="Z335" t="s">
        <v>36</v>
      </c>
      <c r="AA335" t="s">
        <v>36</v>
      </c>
      <c r="AB335" t="s">
        <v>36</v>
      </c>
      <c r="AC335" t="s">
        <v>36</v>
      </c>
      <c r="AD335" t="s">
        <v>36</v>
      </c>
      <c r="AE335" t="s">
        <v>36</v>
      </c>
      <c r="AF335" t="s">
        <v>36</v>
      </c>
      <c r="AG335" t="s">
        <v>36</v>
      </c>
      <c r="AH335" t="s">
        <v>36</v>
      </c>
      <c r="AI335" t="s">
        <v>36</v>
      </c>
      <c r="AJ335" t="s">
        <v>36</v>
      </c>
    </row>
    <row r="336" spans="1:36" x14ac:dyDescent="0.35">
      <c r="A336">
        <v>58</v>
      </c>
      <c r="B336" t="s">
        <v>92</v>
      </c>
      <c r="C336" t="s">
        <v>36</v>
      </c>
      <c r="D336" t="s">
        <v>36</v>
      </c>
      <c r="E336" t="s">
        <v>36</v>
      </c>
      <c r="F336" t="s">
        <v>36</v>
      </c>
      <c r="G336" t="s">
        <v>36</v>
      </c>
      <c r="H336" t="s">
        <v>36</v>
      </c>
      <c r="I336" t="s">
        <v>36</v>
      </c>
      <c r="J336" t="s">
        <v>36</v>
      </c>
      <c r="K336" t="s">
        <v>36</v>
      </c>
      <c r="L336" t="s">
        <v>36</v>
      </c>
      <c r="M336" t="s">
        <v>36</v>
      </c>
      <c r="N336" t="s">
        <v>36</v>
      </c>
      <c r="O336" t="s">
        <v>36</v>
      </c>
      <c r="P336" t="s">
        <v>36</v>
      </c>
      <c r="Q336" s="1">
        <v>42470.777777777781</v>
      </c>
      <c r="R336" t="s">
        <v>36</v>
      </c>
      <c r="S336" t="s">
        <v>36</v>
      </c>
      <c r="T336" t="s">
        <v>36</v>
      </c>
      <c r="U336" t="s">
        <v>36</v>
      </c>
      <c r="V336" t="s">
        <v>36</v>
      </c>
      <c r="W336" t="s">
        <v>36</v>
      </c>
      <c r="X336" t="s">
        <v>36</v>
      </c>
      <c r="Y336" t="s">
        <v>36</v>
      </c>
      <c r="Z336" t="s">
        <v>36</v>
      </c>
      <c r="AA336" t="s">
        <v>36</v>
      </c>
      <c r="AB336" t="s">
        <v>36</v>
      </c>
      <c r="AC336" t="s">
        <v>36</v>
      </c>
      <c r="AD336" t="s">
        <v>36</v>
      </c>
      <c r="AE336" t="s">
        <v>36</v>
      </c>
      <c r="AF336" t="s">
        <v>36</v>
      </c>
      <c r="AG336" t="s">
        <v>36</v>
      </c>
      <c r="AH336" t="s">
        <v>36</v>
      </c>
      <c r="AI336" t="s">
        <v>36</v>
      </c>
      <c r="AJ336" t="s">
        <v>36</v>
      </c>
    </row>
    <row r="337" spans="1:36" x14ac:dyDescent="0.35">
      <c r="A337">
        <v>57</v>
      </c>
      <c r="B337" t="s">
        <v>91</v>
      </c>
      <c r="C337" t="s">
        <v>36</v>
      </c>
      <c r="D337" t="s">
        <v>36</v>
      </c>
      <c r="E337" t="s">
        <v>36</v>
      </c>
      <c r="F337" t="s">
        <v>36</v>
      </c>
      <c r="G337" t="s">
        <v>36</v>
      </c>
      <c r="H337" t="s">
        <v>36</v>
      </c>
      <c r="I337" t="s">
        <v>36</v>
      </c>
      <c r="J337" t="s">
        <v>36</v>
      </c>
      <c r="K337" t="s">
        <v>36</v>
      </c>
      <c r="L337" t="s">
        <v>36</v>
      </c>
      <c r="M337" t="s">
        <v>36</v>
      </c>
      <c r="N337" t="s">
        <v>36</v>
      </c>
      <c r="O337" t="s">
        <v>36</v>
      </c>
      <c r="P337" t="s">
        <v>36</v>
      </c>
      <c r="Q337" s="1">
        <v>42470.777777777781</v>
      </c>
      <c r="R337" t="s">
        <v>36</v>
      </c>
      <c r="S337" t="s">
        <v>36</v>
      </c>
      <c r="T337" t="s">
        <v>36</v>
      </c>
      <c r="U337" t="s">
        <v>36</v>
      </c>
      <c r="V337" t="s">
        <v>36</v>
      </c>
      <c r="W337" t="s">
        <v>36</v>
      </c>
      <c r="X337" t="s">
        <v>36</v>
      </c>
      <c r="Y337" t="s">
        <v>36</v>
      </c>
      <c r="Z337" t="s">
        <v>36</v>
      </c>
      <c r="AA337" t="s">
        <v>36</v>
      </c>
      <c r="AB337" t="s">
        <v>36</v>
      </c>
      <c r="AC337" t="s">
        <v>36</v>
      </c>
      <c r="AD337" t="s">
        <v>36</v>
      </c>
      <c r="AE337" t="s">
        <v>36</v>
      </c>
      <c r="AF337" t="s">
        <v>36</v>
      </c>
      <c r="AG337" t="s">
        <v>36</v>
      </c>
      <c r="AH337" t="s">
        <v>36</v>
      </c>
      <c r="AI337" t="s">
        <v>36</v>
      </c>
      <c r="AJ337" t="s">
        <v>36</v>
      </c>
    </row>
    <row r="338" spans="1:36" x14ac:dyDescent="0.35">
      <c r="A338">
        <v>56</v>
      </c>
      <c r="B338" t="s">
        <v>90</v>
      </c>
      <c r="C338" t="s">
        <v>36</v>
      </c>
      <c r="D338" t="s">
        <v>36</v>
      </c>
      <c r="E338" t="s">
        <v>36</v>
      </c>
      <c r="F338" t="s">
        <v>36</v>
      </c>
      <c r="G338" t="s">
        <v>36</v>
      </c>
      <c r="H338" t="s">
        <v>36</v>
      </c>
      <c r="I338" t="s">
        <v>36</v>
      </c>
      <c r="J338" t="s">
        <v>36</v>
      </c>
      <c r="K338" t="s">
        <v>36</v>
      </c>
      <c r="L338" t="s">
        <v>36</v>
      </c>
      <c r="M338" t="s">
        <v>36</v>
      </c>
      <c r="N338" t="s">
        <v>36</v>
      </c>
      <c r="O338" t="s">
        <v>36</v>
      </c>
      <c r="P338" t="s">
        <v>36</v>
      </c>
      <c r="Q338" s="1">
        <v>42470.777777777781</v>
      </c>
      <c r="R338" t="s">
        <v>36</v>
      </c>
      <c r="S338" t="s">
        <v>36</v>
      </c>
      <c r="T338" t="s">
        <v>36</v>
      </c>
      <c r="U338" t="s">
        <v>36</v>
      </c>
      <c r="V338" t="s">
        <v>36</v>
      </c>
      <c r="W338" t="s">
        <v>36</v>
      </c>
      <c r="X338" t="s">
        <v>36</v>
      </c>
      <c r="Y338" t="s">
        <v>36</v>
      </c>
      <c r="Z338" t="s">
        <v>36</v>
      </c>
      <c r="AA338" t="s">
        <v>36</v>
      </c>
      <c r="AB338" t="s">
        <v>36</v>
      </c>
      <c r="AC338" t="s">
        <v>36</v>
      </c>
      <c r="AD338" t="s">
        <v>36</v>
      </c>
      <c r="AE338" t="s">
        <v>36</v>
      </c>
      <c r="AF338" t="s">
        <v>36</v>
      </c>
      <c r="AG338" t="s">
        <v>36</v>
      </c>
      <c r="AH338" t="s">
        <v>36</v>
      </c>
      <c r="AI338" t="s">
        <v>36</v>
      </c>
      <c r="AJ338" t="s">
        <v>36</v>
      </c>
    </row>
    <row r="339" spans="1:36" x14ac:dyDescent="0.35">
      <c r="A339">
        <v>309</v>
      </c>
      <c r="B339" t="s">
        <v>186</v>
      </c>
      <c r="C339" t="s">
        <v>36</v>
      </c>
      <c r="D339" s="1">
        <v>42058.680555555555</v>
      </c>
      <c r="E339" t="s">
        <v>36</v>
      </c>
      <c r="F339" t="s">
        <v>36</v>
      </c>
      <c r="G339" t="s">
        <v>36</v>
      </c>
      <c r="H339" t="s">
        <v>36</v>
      </c>
      <c r="I339" t="s">
        <v>36</v>
      </c>
      <c r="J339" t="s">
        <v>36</v>
      </c>
      <c r="K339" t="s">
        <v>36</v>
      </c>
      <c r="L339" t="s">
        <v>36</v>
      </c>
      <c r="M339" t="s">
        <v>36</v>
      </c>
      <c r="N339" s="1">
        <v>42735.993055555555</v>
      </c>
      <c r="O339" s="1">
        <v>42206.583333333336</v>
      </c>
      <c r="P339" t="s">
        <v>36</v>
      </c>
      <c r="Q339" t="s">
        <v>36</v>
      </c>
      <c r="R339" t="s">
        <v>36</v>
      </c>
      <c r="S339" t="s">
        <v>36</v>
      </c>
      <c r="T339" t="s">
        <v>36</v>
      </c>
      <c r="U339" t="s">
        <v>36</v>
      </c>
      <c r="V339" t="s">
        <v>36</v>
      </c>
      <c r="W339" t="s">
        <v>36</v>
      </c>
      <c r="X339" s="1">
        <v>42193.652777777781</v>
      </c>
      <c r="Y339" t="s">
        <v>36</v>
      </c>
      <c r="Z339" t="s">
        <v>36</v>
      </c>
      <c r="AA339" t="s">
        <v>36</v>
      </c>
      <c r="AB339" t="s">
        <v>36</v>
      </c>
      <c r="AC339" t="s">
        <v>36</v>
      </c>
      <c r="AD339" t="s">
        <v>36</v>
      </c>
      <c r="AE339" t="s">
        <v>36</v>
      </c>
      <c r="AF339" t="s">
        <v>36</v>
      </c>
      <c r="AG339" t="s">
        <v>36</v>
      </c>
      <c r="AH339" t="s">
        <v>36</v>
      </c>
      <c r="AI339" t="s">
        <v>36</v>
      </c>
      <c r="AJ339" t="s">
        <v>36</v>
      </c>
    </row>
    <row r="340" spans="1:36" x14ac:dyDescent="0.35">
      <c r="A340">
        <v>3763</v>
      </c>
      <c r="B340" t="s">
        <v>963</v>
      </c>
      <c r="C340" t="s">
        <v>36</v>
      </c>
      <c r="D340" s="1">
        <v>42087</v>
      </c>
      <c r="E340" t="s">
        <v>36</v>
      </c>
      <c r="F340" t="s">
        <v>36</v>
      </c>
      <c r="G340" t="s">
        <v>36</v>
      </c>
      <c r="H340" t="s">
        <v>36</v>
      </c>
      <c r="I340" t="s">
        <v>36</v>
      </c>
      <c r="J340" t="s">
        <v>36</v>
      </c>
      <c r="K340" t="s">
        <v>36</v>
      </c>
      <c r="L340" t="s">
        <v>36</v>
      </c>
      <c r="M340" t="s">
        <v>36</v>
      </c>
      <c r="N340" s="1">
        <v>42735.993055555555</v>
      </c>
      <c r="O340" s="1">
        <v>42206.583333333336</v>
      </c>
      <c r="P340" t="s">
        <v>36</v>
      </c>
      <c r="Q340" t="s">
        <v>36</v>
      </c>
      <c r="R340" t="s">
        <v>36</v>
      </c>
      <c r="S340" t="s">
        <v>36</v>
      </c>
      <c r="T340" t="s">
        <v>36</v>
      </c>
      <c r="U340" t="s">
        <v>36</v>
      </c>
      <c r="V340" t="s">
        <v>36</v>
      </c>
      <c r="W340" t="s">
        <v>36</v>
      </c>
      <c r="X340" s="1">
        <v>42193.652777777781</v>
      </c>
      <c r="Y340" t="s">
        <v>36</v>
      </c>
      <c r="Z340" t="s">
        <v>36</v>
      </c>
      <c r="AA340" t="s">
        <v>36</v>
      </c>
      <c r="AB340" t="s">
        <v>36</v>
      </c>
      <c r="AC340" t="s">
        <v>36</v>
      </c>
      <c r="AD340" t="s">
        <v>36</v>
      </c>
      <c r="AE340" t="s">
        <v>36</v>
      </c>
      <c r="AF340" t="s">
        <v>36</v>
      </c>
      <c r="AG340" t="s">
        <v>36</v>
      </c>
      <c r="AH340" t="s">
        <v>36</v>
      </c>
      <c r="AI340" t="s">
        <v>36</v>
      </c>
      <c r="AJ340" t="s">
        <v>36</v>
      </c>
    </row>
    <row r="341" spans="1:36" x14ac:dyDescent="0.35">
      <c r="A341">
        <v>3764</v>
      </c>
      <c r="B341" t="s">
        <v>964</v>
      </c>
      <c r="C341" t="s">
        <v>36</v>
      </c>
      <c r="D341" s="1">
        <v>42087</v>
      </c>
      <c r="E341" t="s">
        <v>36</v>
      </c>
      <c r="F341" t="s">
        <v>36</v>
      </c>
      <c r="G341" t="s">
        <v>36</v>
      </c>
      <c r="H341" t="s">
        <v>36</v>
      </c>
      <c r="I341" t="s">
        <v>36</v>
      </c>
      <c r="J341" t="s">
        <v>36</v>
      </c>
      <c r="K341" t="s">
        <v>36</v>
      </c>
      <c r="L341" t="s">
        <v>36</v>
      </c>
      <c r="M341" t="s">
        <v>36</v>
      </c>
      <c r="N341" s="1">
        <v>42735.993055555555</v>
      </c>
      <c r="O341" s="1">
        <v>42206.583333333336</v>
      </c>
      <c r="P341" t="s">
        <v>36</v>
      </c>
      <c r="Q341" t="s">
        <v>36</v>
      </c>
      <c r="R341" t="s">
        <v>36</v>
      </c>
      <c r="S341" t="s">
        <v>36</v>
      </c>
      <c r="T341" t="s">
        <v>36</v>
      </c>
      <c r="U341" t="s">
        <v>36</v>
      </c>
      <c r="V341" t="s">
        <v>36</v>
      </c>
      <c r="W341" t="s">
        <v>36</v>
      </c>
      <c r="X341" s="1">
        <v>42193.652777777781</v>
      </c>
      <c r="Y341" t="s">
        <v>36</v>
      </c>
      <c r="Z341" t="s">
        <v>36</v>
      </c>
      <c r="AA341" t="s">
        <v>36</v>
      </c>
      <c r="AB341" t="s">
        <v>36</v>
      </c>
      <c r="AC341" t="s">
        <v>36</v>
      </c>
      <c r="AD341" t="s">
        <v>36</v>
      </c>
      <c r="AE341" t="s">
        <v>36</v>
      </c>
      <c r="AF341" t="s">
        <v>36</v>
      </c>
      <c r="AG341" t="s">
        <v>36</v>
      </c>
      <c r="AH341" t="s">
        <v>36</v>
      </c>
      <c r="AI341" t="s">
        <v>36</v>
      </c>
      <c r="AJ341" t="s">
        <v>36</v>
      </c>
    </row>
    <row r="342" spans="1:36" x14ac:dyDescent="0.35">
      <c r="A342">
        <v>3765</v>
      </c>
      <c r="B342" t="s">
        <v>965</v>
      </c>
      <c r="C342" t="s">
        <v>36</v>
      </c>
      <c r="D342" s="1">
        <v>42087</v>
      </c>
      <c r="E342" t="s">
        <v>36</v>
      </c>
      <c r="F342" t="s">
        <v>36</v>
      </c>
      <c r="G342" t="s">
        <v>36</v>
      </c>
      <c r="H342" t="s">
        <v>36</v>
      </c>
      <c r="I342" t="s">
        <v>36</v>
      </c>
      <c r="J342" t="s">
        <v>36</v>
      </c>
      <c r="K342" t="s">
        <v>36</v>
      </c>
      <c r="L342" t="s">
        <v>36</v>
      </c>
      <c r="M342" t="s">
        <v>36</v>
      </c>
      <c r="N342" s="1">
        <v>42735.993055555555</v>
      </c>
      <c r="O342" s="1">
        <v>42206.583333333336</v>
      </c>
      <c r="P342" t="s">
        <v>36</v>
      </c>
      <c r="Q342" t="s">
        <v>36</v>
      </c>
      <c r="R342" t="s">
        <v>36</v>
      </c>
      <c r="S342" t="s">
        <v>36</v>
      </c>
      <c r="T342" t="s">
        <v>36</v>
      </c>
      <c r="U342" t="s">
        <v>36</v>
      </c>
      <c r="V342" t="s">
        <v>36</v>
      </c>
      <c r="W342" t="s">
        <v>36</v>
      </c>
      <c r="X342" s="1">
        <v>42193.652777777781</v>
      </c>
      <c r="Y342" t="s">
        <v>36</v>
      </c>
      <c r="Z342" t="s">
        <v>36</v>
      </c>
      <c r="AA342" t="s">
        <v>36</v>
      </c>
      <c r="AB342" t="s">
        <v>36</v>
      </c>
      <c r="AC342" t="s">
        <v>36</v>
      </c>
      <c r="AD342" t="s">
        <v>36</v>
      </c>
      <c r="AE342" t="s">
        <v>36</v>
      </c>
      <c r="AF342" t="s">
        <v>36</v>
      </c>
      <c r="AG342" t="s">
        <v>36</v>
      </c>
      <c r="AH342" t="s">
        <v>36</v>
      </c>
      <c r="AI342" t="s">
        <v>36</v>
      </c>
      <c r="AJ342" t="s">
        <v>36</v>
      </c>
    </row>
    <row r="343" spans="1:36" x14ac:dyDescent="0.35">
      <c r="A343">
        <v>517</v>
      </c>
      <c r="B343" t="s">
        <v>293</v>
      </c>
      <c r="C343" t="s">
        <v>36</v>
      </c>
      <c r="D343" t="s">
        <v>36</v>
      </c>
      <c r="E343" t="s">
        <v>36</v>
      </c>
      <c r="F343" t="s">
        <v>36</v>
      </c>
      <c r="G343" t="s">
        <v>36</v>
      </c>
      <c r="H343" t="s">
        <v>36</v>
      </c>
      <c r="I343" t="s">
        <v>36</v>
      </c>
      <c r="J343" t="s">
        <v>36</v>
      </c>
      <c r="K343" t="s">
        <v>36</v>
      </c>
      <c r="L343" t="s">
        <v>36</v>
      </c>
      <c r="M343" t="s">
        <v>36</v>
      </c>
      <c r="N343" t="s">
        <v>36</v>
      </c>
      <c r="O343" t="s">
        <v>36</v>
      </c>
      <c r="P343" t="s">
        <v>36</v>
      </c>
      <c r="Q343" t="s">
        <v>36</v>
      </c>
      <c r="R343" t="s">
        <v>36</v>
      </c>
      <c r="S343" t="s">
        <v>36</v>
      </c>
      <c r="T343" t="s">
        <v>36</v>
      </c>
      <c r="U343" t="s">
        <v>36</v>
      </c>
      <c r="V343" t="s">
        <v>36</v>
      </c>
      <c r="W343" t="s">
        <v>36</v>
      </c>
      <c r="X343" t="s">
        <v>36</v>
      </c>
      <c r="Y343" t="s">
        <v>36</v>
      </c>
      <c r="Z343" t="s">
        <v>36</v>
      </c>
      <c r="AA343" t="s">
        <v>36</v>
      </c>
      <c r="AB343" t="s">
        <v>36</v>
      </c>
      <c r="AC343" t="s">
        <v>36</v>
      </c>
      <c r="AD343" t="s">
        <v>36</v>
      </c>
      <c r="AE343" t="s">
        <v>36</v>
      </c>
      <c r="AF343" t="s">
        <v>36</v>
      </c>
      <c r="AG343" t="s">
        <v>36</v>
      </c>
      <c r="AH343" t="s">
        <v>36</v>
      </c>
      <c r="AI343" t="s">
        <v>36</v>
      </c>
      <c r="AJ343" t="s">
        <v>36</v>
      </c>
    </row>
    <row r="344" spans="1:36" x14ac:dyDescent="0.35">
      <c r="A344">
        <v>1436</v>
      </c>
      <c r="B344" t="s">
        <v>307</v>
      </c>
      <c r="C344" t="s">
        <v>36</v>
      </c>
      <c r="D344" t="s">
        <v>36</v>
      </c>
      <c r="E344" t="s">
        <v>36</v>
      </c>
      <c r="F344" t="s">
        <v>36</v>
      </c>
      <c r="G344" t="s">
        <v>36</v>
      </c>
      <c r="H344" t="s">
        <v>36</v>
      </c>
      <c r="I344" t="s">
        <v>36</v>
      </c>
      <c r="J344" t="s">
        <v>36</v>
      </c>
      <c r="K344" t="s">
        <v>36</v>
      </c>
      <c r="L344" t="s">
        <v>36</v>
      </c>
      <c r="M344" t="s">
        <v>36</v>
      </c>
      <c r="N344" t="s">
        <v>36</v>
      </c>
      <c r="O344" t="s">
        <v>36</v>
      </c>
      <c r="P344" t="s">
        <v>36</v>
      </c>
      <c r="Q344" t="s">
        <v>36</v>
      </c>
      <c r="R344" t="s">
        <v>36</v>
      </c>
      <c r="S344" t="s">
        <v>36</v>
      </c>
      <c r="T344" t="s">
        <v>36</v>
      </c>
      <c r="U344" t="s">
        <v>36</v>
      </c>
      <c r="V344" t="s">
        <v>36</v>
      </c>
      <c r="W344" t="s">
        <v>36</v>
      </c>
      <c r="X344" t="s">
        <v>36</v>
      </c>
      <c r="Y344" t="s">
        <v>36</v>
      </c>
      <c r="Z344" t="s">
        <v>36</v>
      </c>
      <c r="AA344" t="s">
        <v>36</v>
      </c>
      <c r="AB344" t="s">
        <v>36</v>
      </c>
      <c r="AC344" t="s">
        <v>36</v>
      </c>
      <c r="AD344" t="s">
        <v>36</v>
      </c>
      <c r="AE344" t="s">
        <v>36</v>
      </c>
      <c r="AF344" t="s">
        <v>36</v>
      </c>
      <c r="AG344" t="s">
        <v>36</v>
      </c>
      <c r="AH344" t="s">
        <v>36</v>
      </c>
      <c r="AI344" t="s">
        <v>36</v>
      </c>
      <c r="AJ344" t="s">
        <v>36</v>
      </c>
    </row>
    <row r="345" spans="1:36" x14ac:dyDescent="0.35">
      <c r="A345">
        <v>1437</v>
      </c>
      <c r="B345" t="s">
        <v>308</v>
      </c>
      <c r="C345" t="s">
        <v>36</v>
      </c>
      <c r="D345" t="s">
        <v>36</v>
      </c>
      <c r="E345" t="s">
        <v>36</v>
      </c>
      <c r="F345" t="s">
        <v>36</v>
      </c>
      <c r="G345" t="s">
        <v>36</v>
      </c>
      <c r="H345" t="s">
        <v>36</v>
      </c>
      <c r="I345" t="s">
        <v>36</v>
      </c>
      <c r="J345" t="s">
        <v>36</v>
      </c>
      <c r="K345" t="s">
        <v>36</v>
      </c>
      <c r="L345" t="s">
        <v>36</v>
      </c>
      <c r="M345" t="s">
        <v>36</v>
      </c>
      <c r="N345" t="s">
        <v>36</v>
      </c>
      <c r="O345" t="s">
        <v>36</v>
      </c>
      <c r="P345" t="s">
        <v>36</v>
      </c>
      <c r="Q345" t="s">
        <v>36</v>
      </c>
      <c r="R345" t="s">
        <v>36</v>
      </c>
      <c r="S345" t="s">
        <v>36</v>
      </c>
      <c r="T345" t="s">
        <v>36</v>
      </c>
      <c r="U345" t="s">
        <v>36</v>
      </c>
      <c r="V345" t="s">
        <v>36</v>
      </c>
      <c r="W345" t="s">
        <v>36</v>
      </c>
      <c r="X345" t="s">
        <v>36</v>
      </c>
      <c r="Y345" t="s">
        <v>36</v>
      </c>
      <c r="Z345" t="s">
        <v>36</v>
      </c>
      <c r="AA345" t="s">
        <v>36</v>
      </c>
      <c r="AB345" t="s">
        <v>36</v>
      </c>
      <c r="AC345" t="s">
        <v>36</v>
      </c>
      <c r="AD345" t="s">
        <v>36</v>
      </c>
      <c r="AE345" t="s">
        <v>36</v>
      </c>
      <c r="AF345" t="s">
        <v>36</v>
      </c>
      <c r="AG345" t="s">
        <v>36</v>
      </c>
      <c r="AH345" t="s">
        <v>36</v>
      </c>
      <c r="AI345" t="s">
        <v>36</v>
      </c>
      <c r="AJ345" t="s">
        <v>36</v>
      </c>
    </row>
    <row r="346" spans="1:36" x14ac:dyDescent="0.35">
      <c r="A346">
        <v>1438</v>
      </c>
      <c r="B346" t="s">
        <v>309</v>
      </c>
      <c r="C346" t="s">
        <v>36</v>
      </c>
      <c r="D346" t="s">
        <v>36</v>
      </c>
      <c r="E346" t="s">
        <v>36</v>
      </c>
      <c r="F346" t="s">
        <v>36</v>
      </c>
      <c r="G346" t="s">
        <v>36</v>
      </c>
      <c r="H346" t="s">
        <v>36</v>
      </c>
      <c r="I346" t="s">
        <v>36</v>
      </c>
      <c r="J346" t="s">
        <v>36</v>
      </c>
      <c r="K346" t="s">
        <v>36</v>
      </c>
      <c r="L346" t="s">
        <v>36</v>
      </c>
      <c r="M346" t="s">
        <v>36</v>
      </c>
      <c r="N346" t="s">
        <v>36</v>
      </c>
      <c r="O346" t="s">
        <v>36</v>
      </c>
      <c r="P346" t="s">
        <v>36</v>
      </c>
      <c r="Q346" t="s">
        <v>36</v>
      </c>
      <c r="R346" t="s">
        <v>36</v>
      </c>
      <c r="S346" t="s">
        <v>36</v>
      </c>
      <c r="T346" t="s">
        <v>36</v>
      </c>
      <c r="U346" t="s">
        <v>36</v>
      </c>
      <c r="V346" t="s">
        <v>36</v>
      </c>
      <c r="W346" t="s">
        <v>36</v>
      </c>
      <c r="X346" t="s">
        <v>36</v>
      </c>
      <c r="Y346" t="s">
        <v>36</v>
      </c>
      <c r="Z346" t="s">
        <v>36</v>
      </c>
      <c r="AA346" t="s">
        <v>36</v>
      </c>
      <c r="AB346" t="s">
        <v>36</v>
      </c>
      <c r="AC346" t="s">
        <v>36</v>
      </c>
      <c r="AD346" t="s">
        <v>36</v>
      </c>
      <c r="AE346" t="s">
        <v>36</v>
      </c>
      <c r="AF346" t="s">
        <v>36</v>
      </c>
      <c r="AG346" t="s">
        <v>36</v>
      </c>
      <c r="AH346" t="s">
        <v>36</v>
      </c>
      <c r="AI346" t="s">
        <v>36</v>
      </c>
      <c r="AJ346" t="s">
        <v>36</v>
      </c>
    </row>
    <row r="347" spans="1:36" x14ac:dyDescent="0.35">
      <c r="A347">
        <v>516</v>
      </c>
      <c r="B347" t="s">
        <v>292</v>
      </c>
      <c r="C347" t="s">
        <v>36</v>
      </c>
      <c r="D347" t="s">
        <v>36</v>
      </c>
      <c r="E347" t="s">
        <v>36</v>
      </c>
      <c r="F347" t="s">
        <v>36</v>
      </c>
      <c r="G347" t="s">
        <v>36</v>
      </c>
      <c r="H347" t="s">
        <v>36</v>
      </c>
      <c r="I347" t="s">
        <v>36</v>
      </c>
      <c r="J347" t="s">
        <v>36</v>
      </c>
      <c r="K347" t="s">
        <v>36</v>
      </c>
      <c r="L347" t="s">
        <v>36</v>
      </c>
      <c r="M347" t="s">
        <v>36</v>
      </c>
      <c r="N347" t="s">
        <v>36</v>
      </c>
      <c r="O347" t="s">
        <v>36</v>
      </c>
      <c r="P347" t="s">
        <v>36</v>
      </c>
      <c r="Q347" t="s">
        <v>36</v>
      </c>
      <c r="R347" t="s">
        <v>36</v>
      </c>
      <c r="S347" t="s">
        <v>36</v>
      </c>
      <c r="T347" t="s">
        <v>36</v>
      </c>
      <c r="U347" t="s">
        <v>36</v>
      </c>
      <c r="V347" t="s">
        <v>36</v>
      </c>
      <c r="W347" t="s">
        <v>36</v>
      </c>
      <c r="X347" t="s">
        <v>36</v>
      </c>
      <c r="Y347" t="s">
        <v>36</v>
      </c>
      <c r="Z347" t="s">
        <v>36</v>
      </c>
      <c r="AA347" t="s">
        <v>36</v>
      </c>
      <c r="AB347" t="s">
        <v>36</v>
      </c>
      <c r="AC347" t="s">
        <v>36</v>
      </c>
      <c r="AD347" t="s">
        <v>36</v>
      </c>
      <c r="AE347" t="s">
        <v>36</v>
      </c>
      <c r="AF347" t="s">
        <v>36</v>
      </c>
      <c r="AG347" t="s">
        <v>36</v>
      </c>
      <c r="AH347" t="s">
        <v>36</v>
      </c>
      <c r="AI347" t="s">
        <v>36</v>
      </c>
      <c r="AJ347" t="s">
        <v>36</v>
      </c>
    </row>
    <row r="348" spans="1:36" x14ac:dyDescent="0.35">
      <c r="A348">
        <v>1433</v>
      </c>
      <c r="B348" t="s">
        <v>304</v>
      </c>
      <c r="C348" t="s">
        <v>36</v>
      </c>
      <c r="D348" t="s">
        <v>36</v>
      </c>
      <c r="E348" t="s">
        <v>36</v>
      </c>
      <c r="F348" t="s">
        <v>36</v>
      </c>
      <c r="G348" t="s">
        <v>36</v>
      </c>
      <c r="H348" t="s">
        <v>36</v>
      </c>
      <c r="I348" t="s">
        <v>36</v>
      </c>
      <c r="J348" t="s">
        <v>36</v>
      </c>
      <c r="K348" t="s">
        <v>36</v>
      </c>
      <c r="L348" t="s">
        <v>36</v>
      </c>
      <c r="M348" t="s">
        <v>36</v>
      </c>
      <c r="N348" t="s">
        <v>36</v>
      </c>
      <c r="O348" t="s">
        <v>36</v>
      </c>
      <c r="P348" t="s">
        <v>36</v>
      </c>
      <c r="Q348" t="s">
        <v>36</v>
      </c>
      <c r="R348" t="s">
        <v>36</v>
      </c>
      <c r="S348" t="s">
        <v>36</v>
      </c>
      <c r="T348" t="s">
        <v>36</v>
      </c>
      <c r="U348" t="s">
        <v>36</v>
      </c>
      <c r="V348" t="s">
        <v>36</v>
      </c>
      <c r="W348" t="s">
        <v>36</v>
      </c>
      <c r="X348" t="s">
        <v>36</v>
      </c>
      <c r="Y348" t="s">
        <v>36</v>
      </c>
      <c r="Z348" t="s">
        <v>36</v>
      </c>
      <c r="AA348" t="s">
        <v>36</v>
      </c>
      <c r="AB348" t="s">
        <v>36</v>
      </c>
      <c r="AC348" t="s">
        <v>36</v>
      </c>
      <c r="AD348" t="s">
        <v>36</v>
      </c>
      <c r="AE348" t="s">
        <v>36</v>
      </c>
      <c r="AF348" t="s">
        <v>36</v>
      </c>
      <c r="AG348" t="s">
        <v>36</v>
      </c>
      <c r="AH348" t="s">
        <v>36</v>
      </c>
      <c r="AI348" t="s">
        <v>36</v>
      </c>
      <c r="AJ348" t="s">
        <v>36</v>
      </c>
    </row>
    <row r="349" spans="1:36" x14ac:dyDescent="0.35">
      <c r="A349">
        <v>1434</v>
      </c>
      <c r="B349" t="s">
        <v>305</v>
      </c>
      <c r="C349" t="s">
        <v>36</v>
      </c>
      <c r="D349" t="s">
        <v>36</v>
      </c>
      <c r="E349" t="s">
        <v>36</v>
      </c>
      <c r="F349" t="s">
        <v>36</v>
      </c>
      <c r="G349" t="s">
        <v>36</v>
      </c>
      <c r="H349" t="s">
        <v>36</v>
      </c>
      <c r="I349" t="s">
        <v>36</v>
      </c>
      <c r="J349" t="s">
        <v>36</v>
      </c>
      <c r="K349" t="s">
        <v>36</v>
      </c>
      <c r="L349" t="s">
        <v>36</v>
      </c>
      <c r="M349" t="s">
        <v>36</v>
      </c>
      <c r="N349" t="s">
        <v>36</v>
      </c>
      <c r="O349" t="s">
        <v>36</v>
      </c>
      <c r="P349" t="s">
        <v>36</v>
      </c>
      <c r="Q349" t="s">
        <v>36</v>
      </c>
      <c r="R349" t="s">
        <v>36</v>
      </c>
      <c r="S349" t="s">
        <v>36</v>
      </c>
      <c r="T349" t="s">
        <v>36</v>
      </c>
      <c r="U349" t="s">
        <v>36</v>
      </c>
      <c r="V349" t="s">
        <v>36</v>
      </c>
      <c r="W349" t="s">
        <v>36</v>
      </c>
      <c r="X349" t="s">
        <v>36</v>
      </c>
      <c r="Y349" t="s">
        <v>36</v>
      </c>
      <c r="Z349" t="s">
        <v>36</v>
      </c>
      <c r="AA349" t="s">
        <v>36</v>
      </c>
      <c r="AB349" t="s">
        <v>36</v>
      </c>
      <c r="AC349" t="s">
        <v>36</v>
      </c>
      <c r="AD349" t="s">
        <v>36</v>
      </c>
      <c r="AE349" t="s">
        <v>36</v>
      </c>
      <c r="AF349" t="s">
        <v>36</v>
      </c>
      <c r="AG349" t="s">
        <v>36</v>
      </c>
      <c r="AH349" t="s">
        <v>36</v>
      </c>
      <c r="AI349" t="s">
        <v>36</v>
      </c>
      <c r="AJ349" t="s">
        <v>36</v>
      </c>
    </row>
    <row r="350" spans="1:36" x14ac:dyDescent="0.35">
      <c r="A350">
        <v>1435</v>
      </c>
      <c r="B350" t="s">
        <v>306</v>
      </c>
      <c r="C350" t="s">
        <v>36</v>
      </c>
      <c r="D350" t="s">
        <v>36</v>
      </c>
      <c r="E350" t="s">
        <v>36</v>
      </c>
      <c r="F350" t="s">
        <v>36</v>
      </c>
      <c r="G350" t="s">
        <v>36</v>
      </c>
      <c r="H350" t="s">
        <v>36</v>
      </c>
      <c r="I350" t="s">
        <v>36</v>
      </c>
      <c r="J350" t="s">
        <v>36</v>
      </c>
      <c r="K350" t="s">
        <v>36</v>
      </c>
      <c r="L350" t="s">
        <v>36</v>
      </c>
      <c r="M350" t="s">
        <v>36</v>
      </c>
      <c r="N350" t="s">
        <v>36</v>
      </c>
      <c r="O350" t="s">
        <v>36</v>
      </c>
      <c r="P350" t="s">
        <v>36</v>
      </c>
      <c r="Q350" t="s">
        <v>36</v>
      </c>
      <c r="R350" t="s">
        <v>36</v>
      </c>
      <c r="S350" t="s">
        <v>36</v>
      </c>
      <c r="T350" t="s">
        <v>36</v>
      </c>
      <c r="U350" t="s">
        <v>36</v>
      </c>
      <c r="V350" t="s">
        <v>36</v>
      </c>
      <c r="W350" t="s">
        <v>36</v>
      </c>
      <c r="X350" t="s">
        <v>36</v>
      </c>
      <c r="Y350" t="s">
        <v>36</v>
      </c>
      <c r="Z350" t="s">
        <v>36</v>
      </c>
      <c r="AA350" t="s">
        <v>36</v>
      </c>
      <c r="AB350" t="s">
        <v>36</v>
      </c>
      <c r="AC350" t="s">
        <v>36</v>
      </c>
      <c r="AD350" t="s">
        <v>36</v>
      </c>
      <c r="AE350" t="s">
        <v>36</v>
      </c>
      <c r="AF350" t="s">
        <v>36</v>
      </c>
      <c r="AG350" t="s">
        <v>36</v>
      </c>
      <c r="AH350" t="s">
        <v>36</v>
      </c>
      <c r="AI350" t="s">
        <v>36</v>
      </c>
      <c r="AJ350" t="s">
        <v>36</v>
      </c>
    </row>
    <row r="351" spans="1:36" x14ac:dyDescent="0.35">
      <c r="A351">
        <v>538</v>
      </c>
      <c r="B351" t="s">
        <v>294</v>
      </c>
      <c r="C351" t="s">
        <v>36</v>
      </c>
      <c r="D351" t="s">
        <v>36</v>
      </c>
      <c r="E351" t="s">
        <v>36</v>
      </c>
      <c r="F351" t="s">
        <v>36</v>
      </c>
      <c r="G351" t="s">
        <v>36</v>
      </c>
      <c r="H351" t="s">
        <v>36</v>
      </c>
      <c r="I351" t="s">
        <v>36</v>
      </c>
      <c r="J351" t="s">
        <v>36</v>
      </c>
      <c r="K351" t="s">
        <v>36</v>
      </c>
      <c r="L351" t="s">
        <v>36</v>
      </c>
      <c r="M351" t="s">
        <v>36</v>
      </c>
      <c r="N351" t="s">
        <v>36</v>
      </c>
      <c r="O351" t="s">
        <v>36</v>
      </c>
      <c r="P351" t="s">
        <v>36</v>
      </c>
      <c r="Q351" t="s">
        <v>36</v>
      </c>
      <c r="R351" t="s">
        <v>36</v>
      </c>
      <c r="S351" t="s">
        <v>36</v>
      </c>
      <c r="T351" t="s">
        <v>36</v>
      </c>
      <c r="U351" t="s">
        <v>36</v>
      </c>
      <c r="V351" t="s">
        <v>36</v>
      </c>
      <c r="W351" t="s">
        <v>36</v>
      </c>
      <c r="X351" t="s">
        <v>36</v>
      </c>
      <c r="Y351" t="s">
        <v>36</v>
      </c>
      <c r="Z351" t="s">
        <v>36</v>
      </c>
      <c r="AA351" t="s">
        <v>36</v>
      </c>
      <c r="AB351" t="s">
        <v>36</v>
      </c>
      <c r="AC351" t="s">
        <v>36</v>
      </c>
      <c r="AD351" t="s">
        <v>36</v>
      </c>
      <c r="AE351" t="s">
        <v>36</v>
      </c>
      <c r="AF351" t="s">
        <v>36</v>
      </c>
      <c r="AG351" t="s">
        <v>36</v>
      </c>
      <c r="AH351" t="s">
        <v>36</v>
      </c>
      <c r="AI351" t="s">
        <v>36</v>
      </c>
      <c r="AJ351" t="s">
        <v>36</v>
      </c>
    </row>
    <row r="352" spans="1:36" x14ac:dyDescent="0.35">
      <c r="A352">
        <v>1445</v>
      </c>
      <c r="B352" t="s">
        <v>313</v>
      </c>
      <c r="C352" t="s">
        <v>36</v>
      </c>
      <c r="D352" t="s">
        <v>36</v>
      </c>
      <c r="E352" t="s">
        <v>36</v>
      </c>
      <c r="F352" t="s">
        <v>36</v>
      </c>
      <c r="G352" t="s">
        <v>36</v>
      </c>
      <c r="H352" t="s">
        <v>36</v>
      </c>
      <c r="I352" t="s">
        <v>36</v>
      </c>
      <c r="J352" t="s">
        <v>36</v>
      </c>
      <c r="K352" t="s">
        <v>36</v>
      </c>
      <c r="L352" t="s">
        <v>36</v>
      </c>
      <c r="M352" t="s">
        <v>36</v>
      </c>
      <c r="N352" t="s">
        <v>36</v>
      </c>
      <c r="O352" t="s">
        <v>36</v>
      </c>
      <c r="P352" t="s">
        <v>36</v>
      </c>
      <c r="Q352" t="s">
        <v>36</v>
      </c>
      <c r="R352" t="s">
        <v>36</v>
      </c>
      <c r="S352" t="s">
        <v>36</v>
      </c>
      <c r="T352" t="s">
        <v>36</v>
      </c>
      <c r="U352" t="s">
        <v>36</v>
      </c>
      <c r="V352" t="s">
        <v>36</v>
      </c>
      <c r="W352" t="s">
        <v>36</v>
      </c>
      <c r="X352" t="s">
        <v>36</v>
      </c>
      <c r="Y352" t="s">
        <v>36</v>
      </c>
      <c r="Z352" t="s">
        <v>36</v>
      </c>
      <c r="AA352" t="s">
        <v>36</v>
      </c>
      <c r="AB352" t="s">
        <v>36</v>
      </c>
      <c r="AC352" t="s">
        <v>36</v>
      </c>
      <c r="AD352" t="s">
        <v>36</v>
      </c>
      <c r="AE352" t="s">
        <v>36</v>
      </c>
      <c r="AF352" t="s">
        <v>36</v>
      </c>
      <c r="AG352" t="s">
        <v>36</v>
      </c>
      <c r="AH352" t="s">
        <v>36</v>
      </c>
      <c r="AI352" t="s">
        <v>36</v>
      </c>
      <c r="AJ352" t="s">
        <v>36</v>
      </c>
    </row>
    <row r="353" spans="1:36" x14ac:dyDescent="0.35">
      <c r="A353">
        <v>1446</v>
      </c>
      <c r="B353" t="s">
        <v>314</v>
      </c>
      <c r="C353" t="s">
        <v>36</v>
      </c>
      <c r="D353" t="s">
        <v>36</v>
      </c>
      <c r="E353" t="s">
        <v>36</v>
      </c>
      <c r="F353" t="s">
        <v>36</v>
      </c>
      <c r="G353" t="s">
        <v>36</v>
      </c>
      <c r="H353" t="s">
        <v>36</v>
      </c>
      <c r="I353" t="s">
        <v>36</v>
      </c>
      <c r="J353" t="s">
        <v>36</v>
      </c>
      <c r="K353" t="s">
        <v>36</v>
      </c>
      <c r="L353" t="s">
        <v>36</v>
      </c>
      <c r="M353" t="s">
        <v>36</v>
      </c>
      <c r="N353" t="s">
        <v>36</v>
      </c>
      <c r="O353" t="s">
        <v>36</v>
      </c>
      <c r="P353" t="s">
        <v>36</v>
      </c>
      <c r="Q353" t="s">
        <v>36</v>
      </c>
      <c r="R353" t="s">
        <v>36</v>
      </c>
      <c r="S353" t="s">
        <v>36</v>
      </c>
      <c r="T353" t="s">
        <v>36</v>
      </c>
      <c r="U353" t="s">
        <v>36</v>
      </c>
      <c r="V353" t="s">
        <v>36</v>
      </c>
      <c r="W353" t="s">
        <v>36</v>
      </c>
      <c r="X353" t="s">
        <v>36</v>
      </c>
      <c r="Y353" t="s">
        <v>36</v>
      </c>
      <c r="Z353" t="s">
        <v>36</v>
      </c>
      <c r="AA353" t="s">
        <v>36</v>
      </c>
      <c r="AB353" t="s">
        <v>36</v>
      </c>
      <c r="AC353" t="s">
        <v>36</v>
      </c>
      <c r="AD353" t="s">
        <v>36</v>
      </c>
      <c r="AE353" t="s">
        <v>36</v>
      </c>
      <c r="AF353" t="s">
        <v>36</v>
      </c>
      <c r="AG353" t="s">
        <v>36</v>
      </c>
      <c r="AH353" t="s">
        <v>36</v>
      </c>
      <c r="AI353" t="s">
        <v>36</v>
      </c>
      <c r="AJ353" t="s">
        <v>36</v>
      </c>
    </row>
    <row r="354" spans="1:36" x14ac:dyDescent="0.35">
      <c r="A354">
        <v>1447</v>
      </c>
      <c r="B354" t="s">
        <v>315</v>
      </c>
      <c r="C354" t="s">
        <v>36</v>
      </c>
      <c r="D354" t="s">
        <v>36</v>
      </c>
      <c r="E354" t="s">
        <v>36</v>
      </c>
      <c r="F354" t="s">
        <v>36</v>
      </c>
      <c r="G354" t="s">
        <v>36</v>
      </c>
      <c r="H354" t="s">
        <v>36</v>
      </c>
      <c r="I354" t="s">
        <v>36</v>
      </c>
      <c r="J354" t="s">
        <v>36</v>
      </c>
      <c r="K354" t="s">
        <v>36</v>
      </c>
      <c r="L354" t="s">
        <v>36</v>
      </c>
      <c r="M354" t="s">
        <v>36</v>
      </c>
      <c r="N354" t="s">
        <v>36</v>
      </c>
      <c r="O354" t="s">
        <v>36</v>
      </c>
      <c r="P354" t="s">
        <v>36</v>
      </c>
      <c r="Q354" t="s">
        <v>36</v>
      </c>
      <c r="R354" t="s">
        <v>36</v>
      </c>
      <c r="S354" t="s">
        <v>36</v>
      </c>
      <c r="T354" t="s">
        <v>36</v>
      </c>
      <c r="U354" t="s">
        <v>36</v>
      </c>
      <c r="V354" t="s">
        <v>36</v>
      </c>
      <c r="W354" t="s">
        <v>36</v>
      </c>
      <c r="X354" t="s">
        <v>36</v>
      </c>
      <c r="Y354" t="s">
        <v>36</v>
      </c>
      <c r="Z354" t="s">
        <v>36</v>
      </c>
      <c r="AA354" t="s">
        <v>36</v>
      </c>
      <c r="AB354" t="s">
        <v>36</v>
      </c>
      <c r="AC354" t="s">
        <v>36</v>
      </c>
      <c r="AD354" t="s">
        <v>36</v>
      </c>
      <c r="AE354" t="s">
        <v>36</v>
      </c>
      <c r="AF354" t="s">
        <v>36</v>
      </c>
      <c r="AG354" t="s">
        <v>36</v>
      </c>
      <c r="AH354" t="s">
        <v>36</v>
      </c>
      <c r="AI354" t="s">
        <v>36</v>
      </c>
      <c r="AJ354" t="s">
        <v>36</v>
      </c>
    </row>
    <row r="355" spans="1:36" x14ac:dyDescent="0.35">
      <c r="A355">
        <v>513</v>
      </c>
      <c r="B355" t="s">
        <v>291</v>
      </c>
      <c r="C355" t="s">
        <v>36</v>
      </c>
      <c r="D355" t="s">
        <v>36</v>
      </c>
      <c r="E355" t="s">
        <v>36</v>
      </c>
      <c r="F355" t="s">
        <v>36</v>
      </c>
      <c r="G355" t="s">
        <v>36</v>
      </c>
      <c r="H355" t="s">
        <v>36</v>
      </c>
      <c r="I355" t="s">
        <v>36</v>
      </c>
      <c r="J355" t="s">
        <v>36</v>
      </c>
      <c r="K355" t="s">
        <v>36</v>
      </c>
      <c r="L355" t="s">
        <v>36</v>
      </c>
      <c r="M355" t="s">
        <v>36</v>
      </c>
      <c r="N355" t="s">
        <v>36</v>
      </c>
      <c r="O355" t="s">
        <v>36</v>
      </c>
      <c r="P355" t="s">
        <v>36</v>
      </c>
      <c r="Q355" t="s">
        <v>36</v>
      </c>
      <c r="R355" t="s">
        <v>36</v>
      </c>
      <c r="S355" t="s">
        <v>36</v>
      </c>
      <c r="T355" t="s">
        <v>36</v>
      </c>
      <c r="U355" t="s">
        <v>36</v>
      </c>
      <c r="V355" t="s">
        <v>36</v>
      </c>
      <c r="W355" t="s">
        <v>36</v>
      </c>
      <c r="X355" t="s">
        <v>36</v>
      </c>
      <c r="Y355" t="s">
        <v>36</v>
      </c>
      <c r="Z355" t="s">
        <v>36</v>
      </c>
      <c r="AA355" t="s">
        <v>36</v>
      </c>
      <c r="AB355" t="s">
        <v>36</v>
      </c>
      <c r="AC355" t="s">
        <v>36</v>
      </c>
      <c r="AD355" t="s">
        <v>36</v>
      </c>
      <c r="AE355" t="s">
        <v>36</v>
      </c>
      <c r="AF355" t="s">
        <v>36</v>
      </c>
      <c r="AG355" t="s">
        <v>36</v>
      </c>
      <c r="AH355" t="s">
        <v>36</v>
      </c>
      <c r="AI355" t="s">
        <v>36</v>
      </c>
      <c r="AJ355" t="s">
        <v>36</v>
      </c>
    </row>
    <row r="356" spans="1:36" x14ac:dyDescent="0.35">
      <c r="A356">
        <v>1439</v>
      </c>
      <c r="B356" t="s">
        <v>310</v>
      </c>
      <c r="C356" t="s">
        <v>36</v>
      </c>
      <c r="D356" t="s">
        <v>36</v>
      </c>
      <c r="E356" t="s">
        <v>36</v>
      </c>
      <c r="F356" t="s">
        <v>36</v>
      </c>
      <c r="G356" t="s">
        <v>36</v>
      </c>
      <c r="H356" t="s">
        <v>36</v>
      </c>
      <c r="I356" t="s">
        <v>36</v>
      </c>
      <c r="J356" t="s">
        <v>36</v>
      </c>
      <c r="K356" t="s">
        <v>36</v>
      </c>
      <c r="L356" t="s">
        <v>36</v>
      </c>
      <c r="M356" t="s">
        <v>36</v>
      </c>
      <c r="N356" t="s">
        <v>36</v>
      </c>
      <c r="O356" t="s">
        <v>36</v>
      </c>
      <c r="P356" t="s">
        <v>36</v>
      </c>
      <c r="Q356" t="s">
        <v>36</v>
      </c>
      <c r="R356" t="s">
        <v>36</v>
      </c>
      <c r="S356" t="s">
        <v>36</v>
      </c>
      <c r="T356" t="s">
        <v>36</v>
      </c>
      <c r="U356" t="s">
        <v>36</v>
      </c>
      <c r="V356" t="s">
        <v>36</v>
      </c>
      <c r="W356" t="s">
        <v>36</v>
      </c>
      <c r="X356" t="s">
        <v>36</v>
      </c>
      <c r="Y356" t="s">
        <v>36</v>
      </c>
      <c r="Z356" t="s">
        <v>36</v>
      </c>
      <c r="AA356" t="s">
        <v>36</v>
      </c>
      <c r="AB356" t="s">
        <v>36</v>
      </c>
      <c r="AC356" t="s">
        <v>36</v>
      </c>
      <c r="AD356" t="s">
        <v>36</v>
      </c>
      <c r="AE356" t="s">
        <v>36</v>
      </c>
      <c r="AF356" t="s">
        <v>36</v>
      </c>
      <c r="AG356" t="s">
        <v>36</v>
      </c>
      <c r="AH356" t="s">
        <v>36</v>
      </c>
      <c r="AI356" t="s">
        <v>36</v>
      </c>
      <c r="AJ356" t="s">
        <v>36</v>
      </c>
    </row>
    <row r="357" spans="1:36" x14ac:dyDescent="0.35">
      <c r="A357">
        <v>1440</v>
      </c>
      <c r="B357" t="s">
        <v>311</v>
      </c>
      <c r="C357" t="s">
        <v>36</v>
      </c>
      <c r="D357" t="s">
        <v>36</v>
      </c>
      <c r="E357" t="s">
        <v>36</v>
      </c>
      <c r="F357" t="s">
        <v>36</v>
      </c>
      <c r="G357" t="s">
        <v>36</v>
      </c>
      <c r="H357" t="s">
        <v>36</v>
      </c>
      <c r="I357" t="s">
        <v>36</v>
      </c>
      <c r="J357" t="s">
        <v>36</v>
      </c>
      <c r="K357" t="s">
        <v>36</v>
      </c>
      <c r="L357" t="s">
        <v>36</v>
      </c>
      <c r="M357" t="s">
        <v>36</v>
      </c>
      <c r="N357" t="s">
        <v>36</v>
      </c>
      <c r="O357" t="s">
        <v>36</v>
      </c>
      <c r="P357" t="s">
        <v>36</v>
      </c>
      <c r="Q357" t="s">
        <v>36</v>
      </c>
      <c r="R357" t="s">
        <v>36</v>
      </c>
      <c r="S357" t="s">
        <v>36</v>
      </c>
      <c r="T357" t="s">
        <v>36</v>
      </c>
      <c r="U357" t="s">
        <v>36</v>
      </c>
      <c r="V357" t="s">
        <v>36</v>
      </c>
      <c r="W357" t="s">
        <v>36</v>
      </c>
      <c r="X357" t="s">
        <v>36</v>
      </c>
      <c r="Y357" t="s">
        <v>36</v>
      </c>
      <c r="Z357" t="s">
        <v>36</v>
      </c>
      <c r="AA357" t="s">
        <v>36</v>
      </c>
      <c r="AB357" t="s">
        <v>36</v>
      </c>
      <c r="AC357" t="s">
        <v>36</v>
      </c>
      <c r="AD357" t="s">
        <v>36</v>
      </c>
      <c r="AE357" t="s">
        <v>36</v>
      </c>
      <c r="AF357" t="s">
        <v>36</v>
      </c>
      <c r="AG357" t="s">
        <v>36</v>
      </c>
      <c r="AH357" t="s">
        <v>36</v>
      </c>
      <c r="AI357" t="s">
        <v>36</v>
      </c>
      <c r="AJ357" t="s">
        <v>36</v>
      </c>
    </row>
    <row r="358" spans="1:36" x14ac:dyDescent="0.35">
      <c r="A358">
        <v>1441</v>
      </c>
      <c r="B358" t="s">
        <v>312</v>
      </c>
      <c r="C358" t="s">
        <v>36</v>
      </c>
      <c r="D358" t="s">
        <v>36</v>
      </c>
      <c r="E358" t="s">
        <v>36</v>
      </c>
      <c r="F358" t="s">
        <v>36</v>
      </c>
      <c r="G358" t="s">
        <v>36</v>
      </c>
      <c r="H358" t="s">
        <v>36</v>
      </c>
      <c r="I358" t="s">
        <v>36</v>
      </c>
      <c r="J358" t="s">
        <v>36</v>
      </c>
      <c r="K358" t="s">
        <v>36</v>
      </c>
      <c r="L358" t="s">
        <v>36</v>
      </c>
      <c r="M358" t="s">
        <v>36</v>
      </c>
      <c r="N358" t="s">
        <v>36</v>
      </c>
      <c r="O358" t="s">
        <v>36</v>
      </c>
      <c r="P358" t="s">
        <v>36</v>
      </c>
      <c r="Q358" t="s">
        <v>36</v>
      </c>
      <c r="R358" t="s">
        <v>36</v>
      </c>
      <c r="S358" t="s">
        <v>36</v>
      </c>
      <c r="T358" t="s">
        <v>36</v>
      </c>
      <c r="U358" t="s">
        <v>36</v>
      </c>
      <c r="V358" t="s">
        <v>36</v>
      </c>
      <c r="W358" t="s">
        <v>36</v>
      </c>
      <c r="X358" t="s">
        <v>36</v>
      </c>
      <c r="Y358" t="s">
        <v>36</v>
      </c>
      <c r="Z358" t="s">
        <v>36</v>
      </c>
      <c r="AA358" t="s">
        <v>36</v>
      </c>
      <c r="AB358" t="s">
        <v>36</v>
      </c>
      <c r="AC358" t="s">
        <v>36</v>
      </c>
      <c r="AD358" t="s">
        <v>36</v>
      </c>
      <c r="AE358" t="s">
        <v>36</v>
      </c>
      <c r="AF358" t="s">
        <v>36</v>
      </c>
      <c r="AG358" t="s">
        <v>36</v>
      </c>
      <c r="AH358" t="s">
        <v>36</v>
      </c>
      <c r="AI358" t="s">
        <v>36</v>
      </c>
      <c r="AJ358" t="s">
        <v>36</v>
      </c>
    </row>
    <row r="359" spans="1:36" x14ac:dyDescent="0.35">
      <c r="A359">
        <v>509</v>
      </c>
      <c r="B359" t="s">
        <v>290</v>
      </c>
      <c r="C359" t="s">
        <v>36</v>
      </c>
      <c r="D359" t="s">
        <v>36</v>
      </c>
      <c r="E359" t="s">
        <v>36</v>
      </c>
      <c r="F359" t="s">
        <v>36</v>
      </c>
      <c r="G359" t="s">
        <v>36</v>
      </c>
      <c r="H359" t="s">
        <v>36</v>
      </c>
      <c r="I359" t="s">
        <v>36</v>
      </c>
      <c r="J359" t="s">
        <v>36</v>
      </c>
      <c r="K359" t="s">
        <v>36</v>
      </c>
      <c r="L359" t="s">
        <v>36</v>
      </c>
      <c r="M359" t="s">
        <v>36</v>
      </c>
      <c r="N359" t="s">
        <v>36</v>
      </c>
      <c r="O359" t="s">
        <v>36</v>
      </c>
      <c r="P359" t="s">
        <v>36</v>
      </c>
      <c r="Q359" t="s">
        <v>36</v>
      </c>
      <c r="R359" t="s">
        <v>36</v>
      </c>
      <c r="S359" t="s">
        <v>36</v>
      </c>
      <c r="T359" t="s">
        <v>36</v>
      </c>
      <c r="U359" t="s">
        <v>36</v>
      </c>
      <c r="V359" t="s">
        <v>36</v>
      </c>
      <c r="W359" t="s">
        <v>36</v>
      </c>
      <c r="X359" t="s">
        <v>36</v>
      </c>
      <c r="Y359" t="s">
        <v>36</v>
      </c>
      <c r="Z359" t="s">
        <v>36</v>
      </c>
      <c r="AA359" t="s">
        <v>36</v>
      </c>
      <c r="AB359" t="s">
        <v>36</v>
      </c>
      <c r="AC359" t="s">
        <v>36</v>
      </c>
      <c r="AD359" t="s">
        <v>36</v>
      </c>
      <c r="AE359" t="s">
        <v>36</v>
      </c>
      <c r="AF359" t="s">
        <v>36</v>
      </c>
      <c r="AG359" t="s">
        <v>36</v>
      </c>
      <c r="AH359" t="s">
        <v>36</v>
      </c>
      <c r="AI359" t="s">
        <v>36</v>
      </c>
      <c r="AJ359" t="s">
        <v>36</v>
      </c>
    </row>
    <row r="360" spans="1:36" x14ac:dyDescent="0.35">
      <c r="A360">
        <v>1427</v>
      </c>
      <c r="B360" t="s">
        <v>301</v>
      </c>
      <c r="C360" t="s">
        <v>36</v>
      </c>
      <c r="D360" t="s">
        <v>36</v>
      </c>
      <c r="E360" t="s">
        <v>36</v>
      </c>
      <c r="F360" t="s">
        <v>36</v>
      </c>
      <c r="G360" t="s">
        <v>36</v>
      </c>
      <c r="H360" t="s">
        <v>36</v>
      </c>
      <c r="I360" t="s">
        <v>36</v>
      </c>
      <c r="J360" t="s">
        <v>36</v>
      </c>
      <c r="K360" t="s">
        <v>36</v>
      </c>
      <c r="L360" t="s">
        <v>36</v>
      </c>
      <c r="M360" t="s">
        <v>36</v>
      </c>
      <c r="N360" t="s">
        <v>36</v>
      </c>
      <c r="O360" t="s">
        <v>36</v>
      </c>
      <c r="P360" t="s">
        <v>36</v>
      </c>
      <c r="Q360" t="s">
        <v>36</v>
      </c>
      <c r="R360" t="s">
        <v>36</v>
      </c>
      <c r="S360" t="s">
        <v>36</v>
      </c>
      <c r="T360" t="s">
        <v>36</v>
      </c>
      <c r="U360" t="s">
        <v>36</v>
      </c>
      <c r="V360" t="s">
        <v>36</v>
      </c>
      <c r="W360" t="s">
        <v>36</v>
      </c>
      <c r="X360" t="s">
        <v>36</v>
      </c>
      <c r="Y360" t="s">
        <v>36</v>
      </c>
      <c r="Z360" t="s">
        <v>36</v>
      </c>
      <c r="AA360" t="s">
        <v>36</v>
      </c>
      <c r="AB360" t="s">
        <v>36</v>
      </c>
      <c r="AC360" t="s">
        <v>36</v>
      </c>
      <c r="AD360" t="s">
        <v>36</v>
      </c>
      <c r="AE360" t="s">
        <v>36</v>
      </c>
      <c r="AF360" t="s">
        <v>36</v>
      </c>
      <c r="AG360" t="s">
        <v>36</v>
      </c>
      <c r="AH360" t="s">
        <v>36</v>
      </c>
      <c r="AI360" t="s">
        <v>36</v>
      </c>
      <c r="AJ360" t="s">
        <v>36</v>
      </c>
    </row>
    <row r="361" spans="1:36" x14ac:dyDescent="0.35">
      <c r="A361">
        <v>1428</v>
      </c>
      <c r="B361" t="s">
        <v>302</v>
      </c>
      <c r="C361" t="s">
        <v>36</v>
      </c>
      <c r="D361" t="s">
        <v>36</v>
      </c>
      <c r="E361" t="s">
        <v>36</v>
      </c>
      <c r="F361" t="s">
        <v>36</v>
      </c>
      <c r="G361" t="s">
        <v>36</v>
      </c>
      <c r="H361" t="s">
        <v>36</v>
      </c>
      <c r="I361" t="s">
        <v>36</v>
      </c>
      <c r="J361" t="s">
        <v>36</v>
      </c>
      <c r="K361" t="s">
        <v>36</v>
      </c>
      <c r="L361" t="s">
        <v>36</v>
      </c>
      <c r="M361" t="s">
        <v>36</v>
      </c>
      <c r="N361" t="s">
        <v>36</v>
      </c>
      <c r="O361" t="s">
        <v>36</v>
      </c>
      <c r="P361" t="s">
        <v>36</v>
      </c>
      <c r="Q361" t="s">
        <v>36</v>
      </c>
      <c r="R361" t="s">
        <v>36</v>
      </c>
      <c r="S361" t="s">
        <v>36</v>
      </c>
      <c r="T361" t="s">
        <v>36</v>
      </c>
      <c r="U361" t="s">
        <v>36</v>
      </c>
      <c r="V361" t="s">
        <v>36</v>
      </c>
      <c r="W361" t="s">
        <v>36</v>
      </c>
      <c r="X361" t="s">
        <v>36</v>
      </c>
      <c r="Y361" t="s">
        <v>36</v>
      </c>
      <c r="Z361" t="s">
        <v>36</v>
      </c>
      <c r="AA361" t="s">
        <v>36</v>
      </c>
      <c r="AB361" t="s">
        <v>36</v>
      </c>
      <c r="AC361" t="s">
        <v>36</v>
      </c>
      <c r="AD361" t="s">
        <v>36</v>
      </c>
      <c r="AE361" t="s">
        <v>36</v>
      </c>
      <c r="AF361" t="s">
        <v>36</v>
      </c>
      <c r="AG361" t="s">
        <v>36</v>
      </c>
      <c r="AH361" t="s">
        <v>36</v>
      </c>
      <c r="AI361" t="s">
        <v>36</v>
      </c>
      <c r="AJ361" t="s">
        <v>36</v>
      </c>
    </row>
    <row r="362" spans="1:36" x14ac:dyDescent="0.35">
      <c r="A362">
        <v>1429</v>
      </c>
      <c r="B362" t="s">
        <v>303</v>
      </c>
      <c r="C362" t="s">
        <v>36</v>
      </c>
      <c r="D362" t="s">
        <v>36</v>
      </c>
      <c r="E362" t="s">
        <v>36</v>
      </c>
      <c r="F362" t="s">
        <v>36</v>
      </c>
      <c r="G362" t="s">
        <v>36</v>
      </c>
      <c r="H362" t="s">
        <v>36</v>
      </c>
      <c r="I362" t="s">
        <v>36</v>
      </c>
      <c r="J362" t="s">
        <v>36</v>
      </c>
      <c r="K362" t="s">
        <v>36</v>
      </c>
      <c r="L362" t="s">
        <v>36</v>
      </c>
      <c r="M362" t="s">
        <v>36</v>
      </c>
      <c r="N362" t="s">
        <v>36</v>
      </c>
      <c r="O362" t="s">
        <v>36</v>
      </c>
      <c r="P362" t="s">
        <v>36</v>
      </c>
      <c r="Q362" t="s">
        <v>36</v>
      </c>
      <c r="R362" t="s">
        <v>36</v>
      </c>
      <c r="S362" t="s">
        <v>36</v>
      </c>
      <c r="T362" t="s">
        <v>36</v>
      </c>
      <c r="U362" t="s">
        <v>36</v>
      </c>
      <c r="V362" t="s">
        <v>36</v>
      </c>
      <c r="W362" t="s">
        <v>36</v>
      </c>
      <c r="X362" t="s">
        <v>36</v>
      </c>
      <c r="Y362" t="s">
        <v>36</v>
      </c>
      <c r="Z362" t="s">
        <v>36</v>
      </c>
      <c r="AA362" t="s">
        <v>36</v>
      </c>
      <c r="AB362" t="s">
        <v>36</v>
      </c>
      <c r="AC362" t="s">
        <v>36</v>
      </c>
      <c r="AD362" t="s">
        <v>36</v>
      </c>
      <c r="AE362" t="s">
        <v>36</v>
      </c>
      <c r="AF362" t="s">
        <v>36</v>
      </c>
      <c r="AG362" t="s">
        <v>36</v>
      </c>
      <c r="AH362" t="s">
        <v>36</v>
      </c>
      <c r="AI362" t="s">
        <v>36</v>
      </c>
      <c r="AJ362" t="s">
        <v>36</v>
      </c>
    </row>
    <row r="363" spans="1:36" x14ac:dyDescent="0.35">
      <c r="A363">
        <v>413</v>
      </c>
      <c r="B363" t="s">
        <v>239</v>
      </c>
      <c r="C363" t="s">
        <v>36</v>
      </c>
      <c r="D363" t="s">
        <v>36</v>
      </c>
      <c r="E363" t="s">
        <v>36</v>
      </c>
      <c r="F363" t="s">
        <v>36</v>
      </c>
      <c r="G363" s="1">
        <v>41426</v>
      </c>
      <c r="H363" t="s">
        <v>36</v>
      </c>
      <c r="I363" t="s">
        <v>36</v>
      </c>
      <c r="J363" t="s">
        <v>36</v>
      </c>
      <c r="K363" t="s">
        <v>36</v>
      </c>
      <c r="L363" t="s">
        <v>36</v>
      </c>
      <c r="M363" t="s">
        <v>36</v>
      </c>
      <c r="N363" t="s">
        <v>36</v>
      </c>
      <c r="O363" t="s">
        <v>36</v>
      </c>
      <c r="P363" s="1">
        <v>43059.576388888891</v>
      </c>
      <c r="Q363" t="s">
        <v>36</v>
      </c>
      <c r="R363" t="s">
        <v>36</v>
      </c>
      <c r="S363" t="s">
        <v>36</v>
      </c>
      <c r="T363" s="1">
        <v>42528.291666666664</v>
      </c>
      <c r="U363" t="s">
        <v>36</v>
      </c>
      <c r="V363" t="s">
        <v>36</v>
      </c>
      <c r="W363" t="s">
        <v>36</v>
      </c>
      <c r="X363" t="s">
        <v>36</v>
      </c>
      <c r="Y363" t="s">
        <v>36</v>
      </c>
      <c r="Z363" t="s">
        <v>36</v>
      </c>
      <c r="AA363" t="s">
        <v>36</v>
      </c>
      <c r="AB363" t="s">
        <v>36</v>
      </c>
      <c r="AC363" t="s">
        <v>36</v>
      </c>
      <c r="AD363" t="s">
        <v>36</v>
      </c>
      <c r="AE363" t="s">
        <v>36</v>
      </c>
      <c r="AF363" s="1">
        <v>42058.680555555555</v>
      </c>
      <c r="AG363" t="s">
        <v>36</v>
      </c>
      <c r="AH363" t="s">
        <v>36</v>
      </c>
      <c r="AI363" s="1">
        <v>41426</v>
      </c>
      <c r="AJ363" s="1">
        <v>43059.576388888891</v>
      </c>
    </row>
    <row r="364" spans="1:36" x14ac:dyDescent="0.35">
      <c r="A364">
        <v>4230</v>
      </c>
      <c r="B364" t="s">
        <v>1065</v>
      </c>
      <c r="C364" t="s">
        <v>36</v>
      </c>
      <c r="D364" t="s">
        <v>36</v>
      </c>
      <c r="E364" t="s">
        <v>36</v>
      </c>
      <c r="F364" t="s">
        <v>36</v>
      </c>
      <c r="G364" s="1">
        <v>43530</v>
      </c>
      <c r="H364" t="s">
        <v>36</v>
      </c>
      <c r="I364" t="s">
        <v>36</v>
      </c>
      <c r="J364" t="s">
        <v>36</v>
      </c>
      <c r="K364" t="s">
        <v>36</v>
      </c>
      <c r="L364" t="s">
        <v>36</v>
      </c>
      <c r="M364" t="s">
        <v>36</v>
      </c>
      <c r="N364" t="s">
        <v>36</v>
      </c>
      <c r="O364" t="s">
        <v>36</v>
      </c>
      <c r="P364" s="1">
        <v>43557</v>
      </c>
      <c r="Q364" t="s">
        <v>36</v>
      </c>
      <c r="R364" t="s">
        <v>36</v>
      </c>
      <c r="S364" t="s">
        <v>36</v>
      </c>
      <c r="T364" s="1">
        <v>43557</v>
      </c>
      <c r="U364" t="s">
        <v>36</v>
      </c>
      <c r="V364" t="s">
        <v>36</v>
      </c>
      <c r="W364" t="s">
        <v>36</v>
      </c>
      <c r="X364" t="s">
        <v>36</v>
      </c>
      <c r="Y364" t="s">
        <v>36</v>
      </c>
      <c r="Z364" t="s">
        <v>36</v>
      </c>
      <c r="AA364" t="s">
        <v>36</v>
      </c>
      <c r="AB364" t="s">
        <v>36</v>
      </c>
      <c r="AC364" t="s">
        <v>36</v>
      </c>
      <c r="AD364" t="s">
        <v>36</v>
      </c>
      <c r="AE364" t="s">
        <v>36</v>
      </c>
      <c r="AF364" s="1">
        <v>43529</v>
      </c>
      <c r="AG364" t="s">
        <v>36</v>
      </c>
      <c r="AH364" t="s">
        <v>36</v>
      </c>
      <c r="AI364" s="1">
        <v>43530</v>
      </c>
      <c r="AJ364" s="1">
        <v>43528</v>
      </c>
    </row>
    <row r="365" spans="1:36" x14ac:dyDescent="0.35">
      <c r="A365">
        <v>4231</v>
      </c>
      <c r="B365" t="s">
        <v>1066</v>
      </c>
      <c r="C365" t="s">
        <v>36</v>
      </c>
      <c r="D365" t="s">
        <v>36</v>
      </c>
      <c r="E365" t="s">
        <v>36</v>
      </c>
      <c r="F365" t="s">
        <v>36</v>
      </c>
      <c r="G365" s="1">
        <v>43530</v>
      </c>
      <c r="H365" t="s">
        <v>36</v>
      </c>
      <c r="I365" t="s">
        <v>36</v>
      </c>
      <c r="J365" t="s">
        <v>36</v>
      </c>
      <c r="K365" t="s">
        <v>36</v>
      </c>
      <c r="L365" t="s">
        <v>36</v>
      </c>
      <c r="M365" t="s">
        <v>36</v>
      </c>
      <c r="N365" t="s">
        <v>36</v>
      </c>
      <c r="O365" t="s">
        <v>36</v>
      </c>
      <c r="P365" s="1">
        <v>43556</v>
      </c>
      <c r="Q365" t="s">
        <v>36</v>
      </c>
      <c r="R365" t="s">
        <v>36</v>
      </c>
      <c r="S365" t="s">
        <v>36</v>
      </c>
      <c r="T365" s="1">
        <v>43557</v>
      </c>
      <c r="U365" t="s">
        <v>36</v>
      </c>
      <c r="V365" t="s">
        <v>36</v>
      </c>
      <c r="W365" t="s">
        <v>36</v>
      </c>
      <c r="X365" t="s">
        <v>36</v>
      </c>
      <c r="Y365" t="s">
        <v>36</v>
      </c>
      <c r="Z365" t="s">
        <v>36</v>
      </c>
      <c r="AA365" t="s">
        <v>36</v>
      </c>
      <c r="AB365" t="s">
        <v>36</v>
      </c>
      <c r="AC365" t="s">
        <v>36</v>
      </c>
      <c r="AD365" t="s">
        <v>36</v>
      </c>
      <c r="AE365" t="s">
        <v>36</v>
      </c>
      <c r="AF365" s="1">
        <v>43529</v>
      </c>
      <c r="AG365" t="s">
        <v>36</v>
      </c>
      <c r="AH365" t="s">
        <v>36</v>
      </c>
      <c r="AI365" s="1">
        <v>43530</v>
      </c>
      <c r="AJ365" s="1">
        <v>43528</v>
      </c>
    </row>
    <row r="366" spans="1:36" x14ac:dyDescent="0.35">
      <c r="A366">
        <v>4232</v>
      </c>
      <c r="B366" t="s">
        <v>1067</v>
      </c>
      <c r="C366" t="s">
        <v>36</v>
      </c>
      <c r="D366" t="s">
        <v>36</v>
      </c>
      <c r="E366" t="s">
        <v>36</v>
      </c>
      <c r="F366" t="s">
        <v>36</v>
      </c>
      <c r="G366" s="1">
        <v>43530</v>
      </c>
      <c r="H366" t="s">
        <v>36</v>
      </c>
      <c r="I366" t="s">
        <v>36</v>
      </c>
      <c r="J366" t="s">
        <v>36</v>
      </c>
      <c r="K366" t="s">
        <v>36</v>
      </c>
      <c r="L366" t="s">
        <v>36</v>
      </c>
      <c r="M366" t="s">
        <v>36</v>
      </c>
      <c r="N366" t="s">
        <v>36</v>
      </c>
      <c r="O366" t="s">
        <v>36</v>
      </c>
      <c r="P366" s="1">
        <v>43556</v>
      </c>
      <c r="Q366" t="s">
        <v>36</v>
      </c>
      <c r="R366" t="s">
        <v>36</v>
      </c>
      <c r="S366" t="s">
        <v>36</v>
      </c>
      <c r="T366" s="1">
        <v>43557</v>
      </c>
      <c r="U366" t="s">
        <v>36</v>
      </c>
      <c r="V366" t="s">
        <v>36</v>
      </c>
      <c r="W366" t="s">
        <v>36</v>
      </c>
      <c r="X366" t="s">
        <v>36</v>
      </c>
      <c r="Y366" t="s">
        <v>36</v>
      </c>
      <c r="Z366" t="s">
        <v>36</v>
      </c>
      <c r="AA366" t="s">
        <v>36</v>
      </c>
      <c r="AB366" t="s">
        <v>36</v>
      </c>
      <c r="AC366" t="s">
        <v>36</v>
      </c>
      <c r="AD366" t="s">
        <v>36</v>
      </c>
      <c r="AE366" t="s">
        <v>36</v>
      </c>
      <c r="AF366" s="1">
        <v>43529</v>
      </c>
      <c r="AG366" t="s">
        <v>36</v>
      </c>
      <c r="AH366" t="s">
        <v>36</v>
      </c>
      <c r="AI366" s="1">
        <v>43530</v>
      </c>
      <c r="AJ366" s="1">
        <v>43528</v>
      </c>
    </row>
    <row r="367" spans="1:36" x14ac:dyDescent="0.35">
      <c r="A367">
        <v>414</v>
      </c>
      <c r="B367" t="s">
        <v>240</v>
      </c>
      <c r="C367" t="s">
        <v>36</v>
      </c>
      <c r="D367" t="s">
        <v>36</v>
      </c>
      <c r="E367" t="s">
        <v>36</v>
      </c>
      <c r="F367" t="s">
        <v>36</v>
      </c>
      <c r="G367" s="1">
        <v>41426</v>
      </c>
      <c r="H367" t="s">
        <v>36</v>
      </c>
      <c r="I367" t="s">
        <v>36</v>
      </c>
      <c r="J367" t="s">
        <v>36</v>
      </c>
      <c r="K367" t="s">
        <v>36</v>
      </c>
      <c r="L367" t="s">
        <v>36</v>
      </c>
      <c r="M367" t="s">
        <v>36</v>
      </c>
      <c r="N367" t="s">
        <v>36</v>
      </c>
      <c r="O367" t="s">
        <v>36</v>
      </c>
      <c r="P367" s="1">
        <v>43059.576388888891</v>
      </c>
      <c r="Q367" t="s">
        <v>36</v>
      </c>
      <c r="R367" t="s">
        <v>36</v>
      </c>
      <c r="S367" t="s">
        <v>36</v>
      </c>
      <c r="T367" s="1">
        <v>42528.291666666664</v>
      </c>
      <c r="U367" t="s">
        <v>36</v>
      </c>
      <c r="V367" t="s">
        <v>36</v>
      </c>
      <c r="W367" t="s">
        <v>36</v>
      </c>
      <c r="X367" t="s">
        <v>36</v>
      </c>
      <c r="Y367" t="s">
        <v>36</v>
      </c>
      <c r="Z367" t="s">
        <v>36</v>
      </c>
      <c r="AA367" t="s">
        <v>36</v>
      </c>
      <c r="AB367" t="s">
        <v>36</v>
      </c>
      <c r="AC367" t="s">
        <v>36</v>
      </c>
      <c r="AD367" t="s">
        <v>36</v>
      </c>
      <c r="AE367" t="s">
        <v>36</v>
      </c>
      <c r="AF367" s="1">
        <v>42058.680555555555</v>
      </c>
      <c r="AG367" t="s">
        <v>36</v>
      </c>
      <c r="AH367" t="s">
        <v>36</v>
      </c>
      <c r="AI367" s="1">
        <v>41426</v>
      </c>
      <c r="AJ367" s="1">
        <v>43059.576388888891</v>
      </c>
    </row>
    <row r="368" spans="1:36" x14ac:dyDescent="0.35">
      <c r="A368">
        <v>4233</v>
      </c>
      <c r="B368" t="s">
        <v>1068</v>
      </c>
      <c r="C368" t="s">
        <v>36</v>
      </c>
      <c r="D368" t="s">
        <v>36</v>
      </c>
      <c r="E368" t="s">
        <v>36</v>
      </c>
      <c r="F368" t="s">
        <v>36</v>
      </c>
      <c r="G368" s="1">
        <v>43530</v>
      </c>
      <c r="H368" t="s">
        <v>36</v>
      </c>
      <c r="I368" t="s">
        <v>36</v>
      </c>
      <c r="J368" t="s">
        <v>36</v>
      </c>
      <c r="K368" t="s">
        <v>36</v>
      </c>
      <c r="L368" t="s">
        <v>36</v>
      </c>
      <c r="M368" t="s">
        <v>36</v>
      </c>
      <c r="N368" t="s">
        <v>36</v>
      </c>
      <c r="O368" t="s">
        <v>36</v>
      </c>
      <c r="P368" s="1">
        <v>43557</v>
      </c>
      <c r="Q368" t="s">
        <v>36</v>
      </c>
      <c r="R368" t="s">
        <v>36</v>
      </c>
      <c r="S368" t="s">
        <v>36</v>
      </c>
      <c r="T368" s="1">
        <v>43557</v>
      </c>
      <c r="U368" t="s">
        <v>36</v>
      </c>
      <c r="V368" t="s">
        <v>36</v>
      </c>
      <c r="W368" t="s">
        <v>36</v>
      </c>
      <c r="X368" t="s">
        <v>36</v>
      </c>
      <c r="Y368" t="s">
        <v>36</v>
      </c>
      <c r="Z368" t="s">
        <v>36</v>
      </c>
      <c r="AA368" t="s">
        <v>36</v>
      </c>
      <c r="AB368" t="s">
        <v>36</v>
      </c>
      <c r="AC368" t="s">
        <v>36</v>
      </c>
      <c r="AD368" t="s">
        <v>36</v>
      </c>
      <c r="AE368" t="s">
        <v>36</v>
      </c>
      <c r="AF368" s="1">
        <v>43529</v>
      </c>
      <c r="AG368" t="s">
        <v>36</v>
      </c>
      <c r="AH368" t="s">
        <v>36</v>
      </c>
      <c r="AI368" s="1">
        <v>43530</v>
      </c>
      <c r="AJ368" s="1">
        <v>43528</v>
      </c>
    </row>
    <row r="369" spans="1:36" x14ac:dyDescent="0.35">
      <c r="A369">
        <v>4234</v>
      </c>
      <c r="B369" t="s">
        <v>1069</v>
      </c>
      <c r="C369" t="s">
        <v>36</v>
      </c>
      <c r="D369" t="s">
        <v>36</v>
      </c>
      <c r="E369" t="s">
        <v>36</v>
      </c>
      <c r="F369" t="s">
        <v>36</v>
      </c>
      <c r="G369" s="1">
        <v>43530</v>
      </c>
      <c r="H369" t="s">
        <v>36</v>
      </c>
      <c r="I369" t="s">
        <v>36</v>
      </c>
      <c r="J369" t="s">
        <v>36</v>
      </c>
      <c r="K369" t="s">
        <v>36</v>
      </c>
      <c r="L369" t="s">
        <v>36</v>
      </c>
      <c r="M369" t="s">
        <v>36</v>
      </c>
      <c r="N369" t="s">
        <v>36</v>
      </c>
      <c r="O369" t="s">
        <v>36</v>
      </c>
      <c r="P369" s="1">
        <v>43556</v>
      </c>
      <c r="Q369" t="s">
        <v>36</v>
      </c>
      <c r="R369" t="s">
        <v>36</v>
      </c>
      <c r="S369" t="s">
        <v>36</v>
      </c>
      <c r="T369" s="1">
        <v>43557</v>
      </c>
      <c r="U369" t="s">
        <v>36</v>
      </c>
      <c r="V369" t="s">
        <v>36</v>
      </c>
      <c r="W369" t="s">
        <v>36</v>
      </c>
      <c r="X369" t="s">
        <v>36</v>
      </c>
      <c r="Y369" t="s">
        <v>36</v>
      </c>
      <c r="Z369" t="s">
        <v>36</v>
      </c>
      <c r="AA369" t="s">
        <v>36</v>
      </c>
      <c r="AB369" t="s">
        <v>36</v>
      </c>
      <c r="AC369" t="s">
        <v>36</v>
      </c>
      <c r="AD369" t="s">
        <v>36</v>
      </c>
      <c r="AE369" t="s">
        <v>36</v>
      </c>
      <c r="AF369" s="1">
        <v>43529</v>
      </c>
      <c r="AG369" t="s">
        <v>36</v>
      </c>
      <c r="AH369" t="s">
        <v>36</v>
      </c>
      <c r="AI369" s="1">
        <v>43530</v>
      </c>
      <c r="AJ369" s="1">
        <v>43528</v>
      </c>
    </row>
    <row r="370" spans="1:36" x14ac:dyDescent="0.35">
      <c r="A370">
        <v>4235</v>
      </c>
      <c r="B370" t="s">
        <v>1070</v>
      </c>
      <c r="C370" t="s">
        <v>36</v>
      </c>
      <c r="D370" t="s">
        <v>36</v>
      </c>
      <c r="E370" t="s">
        <v>36</v>
      </c>
      <c r="F370" t="s">
        <v>36</v>
      </c>
      <c r="G370" s="1">
        <v>43530</v>
      </c>
      <c r="H370" t="s">
        <v>36</v>
      </c>
      <c r="I370" t="s">
        <v>36</v>
      </c>
      <c r="J370" t="s">
        <v>36</v>
      </c>
      <c r="K370" t="s">
        <v>36</v>
      </c>
      <c r="L370" t="s">
        <v>36</v>
      </c>
      <c r="M370" t="s">
        <v>36</v>
      </c>
      <c r="N370" t="s">
        <v>36</v>
      </c>
      <c r="O370" t="s">
        <v>36</v>
      </c>
      <c r="P370" s="1">
        <v>43556</v>
      </c>
      <c r="Q370" t="s">
        <v>36</v>
      </c>
      <c r="R370" t="s">
        <v>36</v>
      </c>
      <c r="S370" t="s">
        <v>36</v>
      </c>
      <c r="T370" s="1">
        <v>43557</v>
      </c>
      <c r="U370" t="s">
        <v>36</v>
      </c>
      <c r="V370" t="s">
        <v>36</v>
      </c>
      <c r="W370" t="s">
        <v>36</v>
      </c>
      <c r="X370" t="s">
        <v>36</v>
      </c>
      <c r="Y370" t="s">
        <v>36</v>
      </c>
      <c r="Z370" t="s">
        <v>36</v>
      </c>
      <c r="AA370" t="s">
        <v>36</v>
      </c>
      <c r="AB370" t="s">
        <v>36</v>
      </c>
      <c r="AC370" t="s">
        <v>36</v>
      </c>
      <c r="AD370" t="s">
        <v>36</v>
      </c>
      <c r="AE370" t="s">
        <v>36</v>
      </c>
      <c r="AF370" s="1">
        <v>43529</v>
      </c>
      <c r="AG370" t="s">
        <v>36</v>
      </c>
      <c r="AH370" t="s">
        <v>36</v>
      </c>
      <c r="AI370" s="1">
        <v>43530</v>
      </c>
      <c r="AJ370" s="1">
        <v>43528</v>
      </c>
    </row>
    <row r="371" spans="1:36" x14ac:dyDescent="0.35">
      <c r="A371">
        <v>415</v>
      </c>
      <c r="B371" t="s">
        <v>241</v>
      </c>
      <c r="C371" t="s">
        <v>36</v>
      </c>
      <c r="D371" t="s">
        <v>36</v>
      </c>
      <c r="E371" t="s">
        <v>36</v>
      </c>
      <c r="F371" t="s">
        <v>36</v>
      </c>
      <c r="G371" s="1">
        <v>41426</v>
      </c>
      <c r="H371" t="s">
        <v>36</v>
      </c>
      <c r="I371" t="s">
        <v>36</v>
      </c>
      <c r="J371" t="s">
        <v>36</v>
      </c>
      <c r="K371" t="s">
        <v>36</v>
      </c>
      <c r="L371" t="s">
        <v>36</v>
      </c>
      <c r="M371" t="s">
        <v>36</v>
      </c>
      <c r="N371" t="s">
        <v>36</v>
      </c>
      <c r="O371" t="s">
        <v>36</v>
      </c>
      <c r="P371" s="1">
        <v>43059.576388888891</v>
      </c>
      <c r="Q371" t="s">
        <v>36</v>
      </c>
      <c r="R371" t="s">
        <v>36</v>
      </c>
      <c r="S371" t="s">
        <v>36</v>
      </c>
      <c r="T371" s="1">
        <v>42528.291666666664</v>
      </c>
      <c r="U371" t="s">
        <v>36</v>
      </c>
      <c r="V371" t="s">
        <v>36</v>
      </c>
      <c r="W371" t="s">
        <v>36</v>
      </c>
      <c r="X371" t="s">
        <v>36</v>
      </c>
      <c r="Y371" t="s">
        <v>36</v>
      </c>
      <c r="Z371" t="s">
        <v>36</v>
      </c>
      <c r="AA371" t="s">
        <v>36</v>
      </c>
      <c r="AB371" t="s">
        <v>36</v>
      </c>
      <c r="AC371" t="s">
        <v>36</v>
      </c>
      <c r="AD371" t="s">
        <v>36</v>
      </c>
      <c r="AE371" t="s">
        <v>36</v>
      </c>
      <c r="AF371" s="1">
        <v>42058.680555555555</v>
      </c>
      <c r="AG371" t="s">
        <v>36</v>
      </c>
      <c r="AH371" t="s">
        <v>36</v>
      </c>
      <c r="AI371" s="1">
        <v>41426</v>
      </c>
      <c r="AJ371" s="1">
        <v>43059.576388888891</v>
      </c>
    </row>
    <row r="372" spans="1:36" x14ac:dyDescent="0.35">
      <c r="A372">
        <v>4236</v>
      </c>
      <c r="B372" t="s">
        <v>1071</v>
      </c>
      <c r="C372" t="s">
        <v>36</v>
      </c>
      <c r="D372" t="s">
        <v>36</v>
      </c>
      <c r="E372" t="s">
        <v>36</v>
      </c>
      <c r="F372" t="s">
        <v>36</v>
      </c>
      <c r="G372" s="1">
        <v>43530</v>
      </c>
      <c r="H372" t="s">
        <v>36</v>
      </c>
      <c r="I372" t="s">
        <v>36</v>
      </c>
      <c r="J372" t="s">
        <v>36</v>
      </c>
      <c r="K372" t="s">
        <v>36</v>
      </c>
      <c r="L372" t="s">
        <v>36</v>
      </c>
      <c r="M372" t="s">
        <v>36</v>
      </c>
      <c r="N372" t="s">
        <v>36</v>
      </c>
      <c r="O372" t="s">
        <v>36</v>
      </c>
      <c r="P372" s="1">
        <v>43557</v>
      </c>
      <c r="Q372" t="s">
        <v>36</v>
      </c>
      <c r="R372" t="s">
        <v>36</v>
      </c>
      <c r="S372" t="s">
        <v>36</v>
      </c>
      <c r="T372" s="1">
        <v>43557</v>
      </c>
      <c r="U372" t="s">
        <v>36</v>
      </c>
      <c r="V372" t="s">
        <v>36</v>
      </c>
      <c r="W372" t="s">
        <v>36</v>
      </c>
      <c r="X372" t="s">
        <v>36</v>
      </c>
      <c r="Y372" t="s">
        <v>36</v>
      </c>
      <c r="Z372" t="s">
        <v>36</v>
      </c>
      <c r="AA372" t="s">
        <v>36</v>
      </c>
      <c r="AB372" t="s">
        <v>36</v>
      </c>
      <c r="AC372" t="s">
        <v>36</v>
      </c>
      <c r="AD372" t="s">
        <v>36</v>
      </c>
      <c r="AE372" t="s">
        <v>36</v>
      </c>
      <c r="AF372" s="1">
        <v>43529</v>
      </c>
      <c r="AG372" t="s">
        <v>36</v>
      </c>
      <c r="AH372" t="s">
        <v>36</v>
      </c>
      <c r="AI372" s="1">
        <v>43530</v>
      </c>
      <c r="AJ372" s="1">
        <v>43528</v>
      </c>
    </row>
    <row r="373" spans="1:36" x14ac:dyDescent="0.35">
      <c r="A373">
        <v>4237</v>
      </c>
      <c r="B373" t="s">
        <v>1072</v>
      </c>
      <c r="C373" t="s">
        <v>36</v>
      </c>
      <c r="D373" t="s">
        <v>36</v>
      </c>
      <c r="E373" t="s">
        <v>36</v>
      </c>
      <c r="F373" t="s">
        <v>36</v>
      </c>
      <c r="G373" s="1">
        <v>43530</v>
      </c>
      <c r="H373" t="s">
        <v>36</v>
      </c>
      <c r="I373" t="s">
        <v>36</v>
      </c>
      <c r="J373" t="s">
        <v>36</v>
      </c>
      <c r="K373" t="s">
        <v>36</v>
      </c>
      <c r="L373" t="s">
        <v>36</v>
      </c>
      <c r="M373" t="s">
        <v>36</v>
      </c>
      <c r="N373" t="s">
        <v>36</v>
      </c>
      <c r="O373" t="s">
        <v>36</v>
      </c>
      <c r="P373" s="1">
        <v>43556</v>
      </c>
      <c r="Q373" t="s">
        <v>36</v>
      </c>
      <c r="R373" t="s">
        <v>36</v>
      </c>
      <c r="S373" t="s">
        <v>36</v>
      </c>
      <c r="T373" s="1">
        <v>43557</v>
      </c>
      <c r="U373" t="s">
        <v>36</v>
      </c>
      <c r="V373" t="s">
        <v>36</v>
      </c>
      <c r="W373" t="s">
        <v>36</v>
      </c>
      <c r="X373" t="s">
        <v>36</v>
      </c>
      <c r="Y373" t="s">
        <v>36</v>
      </c>
      <c r="Z373" t="s">
        <v>36</v>
      </c>
      <c r="AA373" t="s">
        <v>36</v>
      </c>
      <c r="AB373" t="s">
        <v>36</v>
      </c>
      <c r="AC373" t="s">
        <v>36</v>
      </c>
      <c r="AD373" t="s">
        <v>36</v>
      </c>
      <c r="AE373" t="s">
        <v>36</v>
      </c>
      <c r="AF373" s="1">
        <v>43529</v>
      </c>
      <c r="AG373" t="s">
        <v>36</v>
      </c>
      <c r="AH373" t="s">
        <v>36</v>
      </c>
      <c r="AI373" s="1">
        <v>43530</v>
      </c>
      <c r="AJ373" s="1">
        <v>43528</v>
      </c>
    </row>
    <row r="374" spans="1:36" x14ac:dyDescent="0.35">
      <c r="A374">
        <v>4238</v>
      </c>
      <c r="B374" t="s">
        <v>1073</v>
      </c>
      <c r="C374" t="s">
        <v>36</v>
      </c>
      <c r="D374" t="s">
        <v>36</v>
      </c>
      <c r="E374" t="s">
        <v>36</v>
      </c>
      <c r="F374" t="s">
        <v>36</v>
      </c>
      <c r="G374" s="1">
        <v>43530</v>
      </c>
      <c r="H374" t="s">
        <v>36</v>
      </c>
      <c r="I374" t="s">
        <v>36</v>
      </c>
      <c r="J374" t="s">
        <v>36</v>
      </c>
      <c r="K374" t="s">
        <v>36</v>
      </c>
      <c r="L374" t="s">
        <v>36</v>
      </c>
      <c r="M374" t="s">
        <v>36</v>
      </c>
      <c r="N374" t="s">
        <v>36</v>
      </c>
      <c r="O374" t="s">
        <v>36</v>
      </c>
      <c r="P374" s="1">
        <v>43556</v>
      </c>
      <c r="Q374" t="s">
        <v>36</v>
      </c>
      <c r="R374" t="s">
        <v>36</v>
      </c>
      <c r="S374" t="s">
        <v>36</v>
      </c>
      <c r="T374" s="1">
        <v>43557</v>
      </c>
      <c r="U374" t="s">
        <v>36</v>
      </c>
      <c r="V374" t="s">
        <v>36</v>
      </c>
      <c r="W374" t="s">
        <v>36</v>
      </c>
      <c r="X374" t="s">
        <v>36</v>
      </c>
      <c r="Y374" t="s">
        <v>36</v>
      </c>
      <c r="Z374" t="s">
        <v>36</v>
      </c>
      <c r="AA374" t="s">
        <v>36</v>
      </c>
      <c r="AB374" t="s">
        <v>36</v>
      </c>
      <c r="AC374" t="s">
        <v>36</v>
      </c>
      <c r="AD374" t="s">
        <v>36</v>
      </c>
      <c r="AE374" t="s">
        <v>36</v>
      </c>
      <c r="AF374" s="1">
        <v>43529</v>
      </c>
      <c r="AG374" t="s">
        <v>36</v>
      </c>
      <c r="AH374" t="s">
        <v>36</v>
      </c>
      <c r="AI374" s="1">
        <v>43530</v>
      </c>
      <c r="AJ374" s="1">
        <v>43528</v>
      </c>
    </row>
    <row r="375" spans="1:36" x14ac:dyDescent="0.35">
      <c r="A375">
        <v>410</v>
      </c>
      <c r="B375" t="s">
        <v>236</v>
      </c>
      <c r="C375" t="s">
        <v>36</v>
      </c>
      <c r="D375" t="s">
        <v>36</v>
      </c>
      <c r="E375" t="s">
        <v>36</v>
      </c>
      <c r="F375" t="s">
        <v>36</v>
      </c>
      <c r="G375" s="1">
        <v>41426</v>
      </c>
      <c r="H375" t="s">
        <v>36</v>
      </c>
      <c r="I375" t="s">
        <v>36</v>
      </c>
      <c r="J375" t="s">
        <v>36</v>
      </c>
      <c r="K375" t="s">
        <v>36</v>
      </c>
      <c r="L375" t="s">
        <v>36</v>
      </c>
      <c r="M375" t="s">
        <v>36</v>
      </c>
      <c r="N375" t="s">
        <v>36</v>
      </c>
      <c r="O375" t="s">
        <v>36</v>
      </c>
      <c r="P375" s="1">
        <v>43059.576388888891</v>
      </c>
      <c r="Q375" t="s">
        <v>36</v>
      </c>
      <c r="R375" t="s">
        <v>36</v>
      </c>
      <c r="S375" t="s">
        <v>36</v>
      </c>
      <c r="T375" s="1">
        <v>42528.291666666664</v>
      </c>
      <c r="U375" t="s">
        <v>36</v>
      </c>
      <c r="V375" t="s">
        <v>36</v>
      </c>
      <c r="W375" t="s">
        <v>36</v>
      </c>
      <c r="X375" t="s">
        <v>36</v>
      </c>
      <c r="Y375" t="s">
        <v>36</v>
      </c>
      <c r="Z375" t="s">
        <v>36</v>
      </c>
      <c r="AA375" t="s">
        <v>36</v>
      </c>
      <c r="AB375" t="s">
        <v>36</v>
      </c>
      <c r="AC375" t="s">
        <v>36</v>
      </c>
      <c r="AD375" t="s">
        <v>36</v>
      </c>
      <c r="AE375" t="s">
        <v>36</v>
      </c>
      <c r="AF375" s="1">
        <v>42058.680555555555</v>
      </c>
      <c r="AG375" t="s">
        <v>36</v>
      </c>
      <c r="AH375" t="s">
        <v>36</v>
      </c>
      <c r="AI375" s="1">
        <v>41426</v>
      </c>
      <c r="AJ375" s="1">
        <v>43059.576388888891</v>
      </c>
    </row>
    <row r="376" spans="1:36" x14ac:dyDescent="0.35">
      <c r="A376">
        <v>4239</v>
      </c>
      <c r="B376" t="s">
        <v>1074</v>
      </c>
      <c r="C376" t="s">
        <v>36</v>
      </c>
      <c r="D376" t="s">
        <v>36</v>
      </c>
      <c r="E376" t="s">
        <v>36</v>
      </c>
      <c r="F376" t="s">
        <v>36</v>
      </c>
      <c r="G376" s="1">
        <v>43530</v>
      </c>
      <c r="H376" t="s">
        <v>36</v>
      </c>
      <c r="I376" t="s">
        <v>36</v>
      </c>
      <c r="J376" t="s">
        <v>36</v>
      </c>
      <c r="K376" t="s">
        <v>36</v>
      </c>
      <c r="L376" t="s">
        <v>36</v>
      </c>
      <c r="M376" t="s">
        <v>36</v>
      </c>
      <c r="N376" t="s">
        <v>36</v>
      </c>
      <c r="O376" t="s">
        <v>36</v>
      </c>
      <c r="P376" s="1">
        <v>43557</v>
      </c>
      <c r="Q376" t="s">
        <v>36</v>
      </c>
      <c r="R376" t="s">
        <v>36</v>
      </c>
      <c r="S376" t="s">
        <v>36</v>
      </c>
      <c r="T376" s="1">
        <v>43557</v>
      </c>
      <c r="U376" t="s">
        <v>36</v>
      </c>
      <c r="V376" t="s">
        <v>36</v>
      </c>
      <c r="W376" t="s">
        <v>36</v>
      </c>
      <c r="X376" t="s">
        <v>36</v>
      </c>
      <c r="Y376" t="s">
        <v>36</v>
      </c>
      <c r="Z376" t="s">
        <v>36</v>
      </c>
      <c r="AA376" t="s">
        <v>36</v>
      </c>
      <c r="AB376" t="s">
        <v>36</v>
      </c>
      <c r="AC376" t="s">
        <v>36</v>
      </c>
      <c r="AD376" t="s">
        <v>36</v>
      </c>
      <c r="AE376" t="s">
        <v>36</v>
      </c>
      <c r="AF376" s="1">
        <v>43529</v>
      </c>
      <c r="AG376" t="s">
        <v>36</v>
      </c>
      <c r="AH376" t="s">
        <v>36</v>
      </c>
      <c r="AI376" s="1">
        <v>43530</v>
      </c>
      <c r="AJ376" s="1">
        <v>43528</v>
      </c>
    </row>
    <row r="377" spans="1:36" x14ac:dyDescent="0.35">
      <c r="A377">
        <v>4240</v>
      </c>
      <c r="B377" t="s">
        <v>1075</v>
      </c>
      <c r="C377" t="s">
        <v>36</v>
      </c>
      <c r="D377" t="s">
        <v>36</v>
      </c>
      <c r="E377" t="s">
        <v>36</v>
      </c>
      <c r="F377" t="s">
        <v>36</v>
      </c>
      <c r="G377" s="1">
        <v>43530</v>
      </c>
      <c r="H377" t="s">
        <v>36</v>
      </c>
      <c r="I377" t="s">
        <v>36</v>
      </c>
      <c r="J377" t="s">
        <v>36</v>
      </c>
      <c r="K377" t="s">
        <v>36</v>
      </c>
      <c r="L377" t="s">
        <v>36</v>
      </c>
      <c r="M377" t="s">
        <v>36</v>
      </c>
      <c r="N377" t="s">
        <v>36</v>
      </c>
      <c r="O377" t="s">
        <v>36</v>
      </c>
      <c r="P377" s="1">
        <v>43556</v>
      </c>
      <c r="Q377" t="s">
        <v>36</v>
      </c>
      <c r="R377" t="s">
        <v>36</v>
      </c>
      <c r="S377" t="s">
        <v>36</v>
      </c>
      <c r="T377" s="1">
        <v>43557</v>
      </c>
      <c r="U377" t="s">
        <v>36</v>
      </c>
      <c r="V377" t="s">
        <v>36</v>
      </c>
      <c r="W377" t="s">
        <v>36</v>
      </c>
      <c r="X377" t="s">
        <v>36</v>
      </c>
      <c r="Y377" t="s">
        <v>36</v>
      </c>
      <c r="Z377" t="s">
        <v>36</v>
      </c>
      <c r="AA377" t="s">
        <v>36</v>
      </c>
      <c r="AB377" t="s">
        <v>36</v>
      </c>
      <c r="AC377" t="s">
        <v>36</v>
      </c>
      <c r="AD377" t="s">
        <v>36</v>
      </c>
      <c r="AE377" t="s">
        <v>36</v>
      </c>
      <c r="AF377" s="1">
        <v>43529</v>
      </c>
      <c r="AG377" t="s">
        <v>36</v>
      </c>
      <c r="AH377" t="s">
        <v>36</v>
      </c>
      <c r="AI377" s="1">
        <v>43530</v>
      </c>
      <c r="AJ377" s="1">
        <v>43528</v>
      </c>
    </row>
    <row r="378" spans="1:36" x14ac:dyDescent="0.35">
      <c r="A378">
        <v>4241</v>
      </c>
      <c r="B378" t="s">
        <v>1076</v>
      </c>
      <c r="C378" t="s">
        <v>36</v>
      </c>
      <c r="D378" t="s">
        <v>36</v>
      </c>
      <c r="E378" t="s">
        <v>36</v>
      </c>
      <c r="F378" t="s">
        <v>36</v>
      </c>
      <c r="G378" s="1">
        <v>43530</v>
      </c>
      <c r="H378" t="s">
        <v>36</v>
      </c>
      <c r="I378" t="s">
        <v>36</v>
      </c>
      <c r="J378" t="s">
        <v>36</v>
      </c>
      <c r="K378" t="s">
        <v>36</v>
      </c>
      <c r="L378" t="s">
        <v>36</v>
      </c>
      <c r="M378" t="s">
        <v>36</v>
      </c>
      <c r="N378" t="s">
        <v>36</v>
      </c>
      <c r="O378" t="s">
        <v>36</v>
      </c>
      <c r="P378" s="1">
        <v>43556</v>
      </c>
      <c r="Q378" t="s">
        <v>36</v>
      </c>
      <c r="R378" t="s">
        <v>36</v>
      </c>
      <c r="S378" t="s">
        <v>36</v>
      </c>
      <c r="T378" s="1">
        <v>43557</v>
      </c>
      <c r="U378" t="s">
        <v>36</v>
      </c>
      <c r="V378" t="s">
        <v>36</v>
      </c>
      <c r="W378" t="s">
        <v>36</v>
      </c>
      <c r="X378" t="s">
        <v>36</v>
      </c>
      <c r="Y378" t="s">
        <v>36</v>
      </c>
      <c r="Z378" t="s">
        <v>36</v>
      </c>
      <c r="AA378" t="s">
        <v>36</v>
      </c>
      <c r="AB378" t="s">
        <v>36</v>
      </c>
      <c r="AC378" t="s">
        <v>36</v>
      </c>
      <c r="AD378" t="s">
        <v>36</v>
      </c>
      <c r="AE378" t="s">
        <v>36</v>
      </c>
      <c r="AF378" s="1">
        <v>43529</v>
      </c>
      <c r="AG378" t="s">
        <v>36</v>
      </c>
      <c r="AH378" t="s">
        <v>36</v>
      </c>
      <c r="AI378" s="1">
        <v>43530</v>
      </c>
      <c r="AJ378" s="1">
        <v>43528</v>
      </c>
    </row>
    <row r="379" spans="1:36" x14ac:dyDescent="0.35">
      <c r="A379">
        <v>411</v>
      </c>
      <c r="B379" t="s">
        <v>237</v>
      </c>
      <c r="C379" t="s">
        <v>36</v>
      </c>
      <c r="D379" t="s">
        <v>36</v>
      </c>
      <c r="E379" t="s">
        <v>36</v>
      </c>
      <c r="F379" t="s">
        <v>36</v>
      </c>
      <c r="G379" s="1">
        <v>41426</v>
      </c>
      <c r="H379" t="s">
        <v>36</v>
      </c>
      <c r="I379" t="s">
        <v>36</v>
      </c>
      <c r="J379" t="s">
        <v>36</v>
      </c>
      <c r="K379" t="s">
        <v>36</v>
      </c>
      <c r="L379" t="s">
        <v>36</v>
      </c>
      <c r="M379" t="s">
        <v>36</v>
      </c>
      <c r="N379" t="s">
        <v>36</v>
      </c>
      <c r="O379" t="s">
        <v>36</v>
      </c>
      <c r="P379" s="1">
        <v>43059.576388888891</v>
      </c>
      <c r="Q379" t="s">
        <v>36</v>
      </c>
      <c r="R379" t="s">
        <v>36</v>
      </c>
      <c r="S379" t="s">
        <v>36</v>
      </c>
      <c r="T379" s="1">
        <v>42528.291666666664</v>
      </c>
      <c r="U379" t="s">
        <v>36</v>
      </c>
      <c r="V379" t="s">
        <v>36</v>
      </c>
      <c r="W379" t="s">
        <v>36</v>
      </c>
      <c r="X379" t="s">
        <v>36</v>
      </c>
      <c r="Y379" t="s">
        <v>36</v>
      </c>
      <c r="Z379" t="s">
        <v>36</v>
      </c>
      <c r="AA379" t="s">
        <v>36</v>
      </c>
      <c r="AB379" t="s">
        <v>36</v>
      </c>
      <c r="AC379" t="s">
        <v>36</v>
      </c>
      <c r="AD379" t="s">
        <v>36</v>
      </c>
      <c r="AE379" t="s">
        <v>36</v>
      </c>
      <c r="AF379" s="1">
        <v>42058.680555555555</v>
      </c>
      <c r="AG379" t="s">
        <v>36</v>
      </c>
      <c r="AH379" t="s">
        <v>36</v>
      </c>
      <c r="AI379" s="1">
        <v>41426</v>
      </c>
      <c r="AJ379" s="1">
        <v>43059.576388888891</v>
      </c>
    </row>
    <row r="380" spans="1:36" x14ac:dyDescent="0.35">
      <c r="A380">
        <v>4242</v>
      </c>
      <c r="B380" t="s">
        <v>1077</v>
      </c>
      <c r="C380" t="s">
        <v>36</v>
      </c>
      <c r="D380" t="s">
        <v>36</v>
      </c>
      <c r="E380" t="s">
        <v>36</v>
      </c>
      <c r="F380" t="s">
        <v>36</v>
      </c>
      <c r="G380" s="1">
        <v>43530</v>
      </c>
      <c r="H380" t="s">
        <v>36</v>
      </c>
      <c r="I380" t="s">
        <v>36</v>
      </c>
      <c r="J380" t="s">
        <v>36</v>
      </c>
      <c r="K380" t="s">
        <v>36</v>
      </c>
      <c r="L380" t="s">
        <v>36</v>
      </c>
      <c r="M380" t="s">
        <v>36</v>
      </c>
      <c r="N380" t="s">
        <v>36</v>
      </c>
      <c r="O380" t="s">
        <v>36</v>
      </c>
      <c r="P380" s="1">
        <v>43557</v>
      </c>
      <c r="Q380" t="s">
        <v>36</v>
      </c>
      <c r="R380" t="s">
        <v>36</v>
      </c>
      <c r="S380" t="s">
        <v>36</v>
      </c>
      <c r="T380" s="1">
        <v>43557</v>
      </c>
      <c r="U380" t="s">
        <v>36</v>
      </c>
      <c r="V380" t="s">
        <v>36</v>
      </c>
      <c r="W380" t="s">
        <v>36</v>
      </c>
      <c r="X380" t="s">
        <v>36</v>
      </c>
      <c r="Y380" t="s">
        <v>36</v>
      </c>
      <c r="Z380" t="s">
        <v>36</v>
      </c>
      <c r="AA380" t="s">
        <v>36</v>
      </c>
      <c r="AB380" t="s">
        <v>36</v>
      </c>
      <c r="AC380" t="s">
        <v>36</v>
      </c>
      <c r="AD380" t="s">
        <v>36</v>
      </c>
      <c r="AE380" t="s">
        <v>36</v>
      </c>
      <c r="AF380" s="1">
        <v>43529</v>
      </c>
      <c r="AG380" t="s">
        <v>36</v>
      </c>
      <c r="AH380" t="s">
        <v>36</v>
      </c>
      <c r="AI380" s="1">
        <v>43530</v>
      </c>
      <c r="AJ380" s="1">
        <v>43528</v>
      </c>
    </row>
    <row r="381" spans="1:36" x14ac:dyDescent="0.35">
      <c r="A381">
        <v>4243</v>
      </c>
      <c r="B381" t="s">
        <v>1078</v>
      </c>
      <c r="C381" t="s">
        <v>36</v>
      </c>
      <c r="D381" t="s">
        <v>36</v>
      </c>
      <c r="E381" t="s">
        <v>36</v>
      </c>
      <c r="F381" t="s">
        <v>36</v>
      </c>
      <c r="G381" s="1">
        <v>43530</v>
      </c>
      <c r="H381" t="s">
        <v>36</v>
      </c>
      <c r="I381" t="s">
        <v>36</v>
      </c>
      <c r="J381" t="s">
        <v>36</v>
      </c>
      <c r="K381" t="s">
        <v>36</v>
      </c>
      <c r="L381" t="s">
        <v>36</v>
      </c>
      <c r="M381" t="s">
        <v>36</v>
      </c>
      <c r="N381" t="s">
        <v>36</v>
      </c>
      <c r="O381" t="s">
        <v>36</v>
      </c>
      <c r="P381" s="1">
        <v>43556</v>
      </c>
      <c r="Q381" t="s">
        <v>36</v>
      </c>
      <c r="R381" t="s">
        <v>36</v>
      </c>
      <c r="S381" t="s">
        <v>36</v>
      </c>
      <c r="T381" s="1">
        <v>43557</v>
      </c>
      <c r="U381" t="s">
        <v>36</v>
      </c>
      <c r="V381" t="s">
        <v>36</v>
      </c>
      <c r="W381" t="s">
        <v>36</v>
      </c>
      <c r="X381" t="s">
        <v>36</v>
      </c>
      <c r="Y381" t="s">
        <v>36</v>
      </c>
      <c r="Z381" t="s">
        <v>36</v>
      </c>
      <c r="AA381" t="s">
        <v>36</v>
      </c>
      <c r="AB381" t="s">
        <v>36</v>
      </c>
      <c r="AC381" t="s">
        <v>36</v>
      </c>
      <c r="AD381" t="s">
        <v>36</v>
      </c>
      <c r="AE381" t="s">
        <v>36</v>
      </c>
      <c r="AF381" s="1">
        <v>43529</v>
      </c>
      <c r="AG381" t="s">
        <v>36</v>
      </c>
      <c r="AH381" t="s">
        <v>36</v>
      </c>
      <c r="AI381" s="1">
        <v>43530</v>
      </c>
      <c r="AJ381" s="1">
        <v>43528</v>
      </c>
    </row>
    <row r="382" spans="1:36" x14ac:dyDescent="0.35">
      <c r="A382">
        <v>4244</v>
      </c>
      <c r="B382" t="s">
        <v>1079</v>
      </c>
      <c r="C382" t="s">
        <v>36</v>
      </c>
      <c r="D382" t="s">
        <v>36</v>
      </c>
      <c r="E382" t="s">
        <v>36</v>
      </c>
      <c r="F382" t="s">
        <v>36</v>
      </c>
      <c r="G382" s="1">
        <v>43530</v>
      </c>
      <c r="H382" t="s">
        <v>36</v>
      </c>
      <c r="I382" t="s">
        <v>36</v>
      </c>
      <c r="J382" t="s">
        <v>36</v>
      </c>
      <c r="K382" t="s">
        <v>36</v>
      </c>
      <c r="L382" t="s">
        <v>36</v>
      </c>
      <c r="M382" t="s">
        <v>36</v>
      </c>
      <c r="N382" t="s">
        <v>36</v>
      </c>
      <c r="O382" t="s">
        <v>36</v>
      </c>
      <c r="P382" s="1">
        <v>43556</v>
      </c>
      <c r="Q382" t="s">
        <v>36</v>
      </c>
      <c r="R382" t="s">
        <v>36</v>
      </c>
      <c r="S382" t="s">
        <v>36</v>
      </c>
      <c r="T382" s="1">
        <v>43557</v>
      </c>
      <c r="U382" t="s">
        <v>36</v>
      </c>
      <c r="V382" t="s">
        <v>36</v>
      </c>
      <c r="W382" t="s">
        <v>36</v>
      </c>
      <c r="X382" t="s">
        <v>36</v>
      </c>
      <c r="Y382" t="s">
        <v>36</v>
      </c>
      <c r="Z382" t="s">
        <v>36</v>
      </c>
      <c r="AA382" t="s">
        <v>36</v>
      </c>
      <c r="AB382" t="s">
        <v>36</v>
      </c>
      <c r="AC382" t="s">
        <v>36</v>
      </c>
      <c r="AD382" t="s">
        <v>36</v>
      </c>
      <c r="AE382" t="s">
        <v>36</v>
      </c>
      <c r="AF382" s="1">
        <v>43529</v>
      </c>
      <c r="AG382" t="s">
        <v>36</v>
      </c>
      <c r="AH382" t="s">
        <v>36</v>
      </c>
      <c r="AI382" s="1">
        <v>43530</v>
      </c>
      <c r="AJ382" s="1">
        <v>43528</v>
      </c>
    </row>
    <row r="383" spans="1:36" x14ac:dyDescent="0.35">
      <c r="A383">
        <v>412</v>
      </c>
      <c r="B383" t="s">
        <v>238</v>
      </c>
      <c r="C383" t="s">
        <v>36</v>
      </c>
      <c r="D383" t="s">
        <v>36</v>
      </c>
      <c r="E383" t="s">
        <v>36</v>
      </c>
      <c r="F383" t="s">
        <v>36</v>
      </c>
      <c r="G383" s="1">
        <v>41426</v>
      </c>
      <c r="H383" t="s">
        <v>36</v>
      </c>
      <c r="I383" t="s">
        <v>36</v>
      </c>
      <c r="J383" t="s">
        <v>36</v>
      </c>
      <c r="K383" t="s">
        <v>36</v>
      </c>
      <c r="L383" t="s">
        <v>36</v>
      </c>
      <c r="M383" t="s">
        <v>36</v>
      </c>
      <c r="N383" t="s">
        <v>36</v>
      </c>
      <c r="O383" t="s">
        <v>36</v>
      </c>
      <c r="P383" s="1">
        <v>43059.576388888891</v>
      </c>
      <c r="Q383" t="s">
        <v>36</v>
      </c>
      <c r="R383" t="s">
        <v>36</v>
      </c>
      <c r="S383" t="s">
        <v>36</v>
      </c>
      <c r="T383" s="1">
        <v>42528.291666666664</v>
      </c>
      <c r="U383" t="s">
        <v>36</v>
      </c>
      <c r="V383" t="s">
        <v>36</v>
      </c>
      <c r="W383" t="s">
        <v>36</v>
      </c>
      <c r="X383" t="s">
        <v>36</v>
      </c>
      <c r="Y383" t="s">
        <v>36</v>
      </c>
      <c r="Z383" t="s">
        <v>36</v>
      </c>
      <c r="AA383" t="s">
        <v>36</v>
      </c>
      <c r="AB383" t="s">
        <v>36</v>
      </c>
      <c r="AC383" t="s">
        <v>36</v>
      </c>
      <c r="AD383" t="s">
        <v>36</v>
      </c>
      <c r="AE383" t="s">
        <v>36</v>
      </c>
      <c r="AF383" s="1">
        <v>42058.680555555555</v>
      </c>
      <c r="AG383" t="s">
        <v>36</v>
      </c>
      <c r="AH383" t="s">
        <v>36</v>
      </c>
      <c r="AI383" s="1">
        <v>41426</v>
      </c>
      <c r="AJ383" s="1">
        <v>43059.576388888891</v>
      </c>
    </row>
    <row r="384" spans="1:36" x14ac:dyDescent="0.35">
      <c r="A384">
        <v>4245</v>
      </c>
      <c r="B384" t="s">
        <v>1080</v>
      </c>
      <c r="C384" t="s">
        <v>36</v>
      </c>
      <c r="D384" t="s">
        <v>36</v>
      </c>
      <c r="E384" t="s">
        <v>36</v>
      </c>
      <c r="F384" t="s">
        <v>36</v>
      </c>
      <c r="G384" s="1">
        <v>43530</v>
      </c>
      <c r="H384" t="s">
        <v>36</v>
      </c>
      <c r="I384" t="s">
        <v>36</v>
      </c>
      <c r="J384" t="s">
        <v>36</v>
      </c>
      <c r="K384" t="s">
        <v>36</v>
      </c>
      <c r="L384" t="s">
        <v>36</v>
      </c>
      <c r="M384" t="s">
        <v>36</v>
      </c>
      <c r="N384" t="s">
        <v>36</v>
      </c>
      <c r="O384" t="s">
        <v>36</v>
      </c>
      <c r="P384" s="1">
        <v>43557</v>
      </c>
      <c r="Q384" t="s">
        <v>36</v>
      </c>
      <c r="R384" t="s">
        <v>36</v>
      </c>
      <c r="S384" t="s">
        <v>36</v>
      </c>
      <c r="T384" s="1">
        <v>43557</v>
      </c>
      <c r="U384" t="s">
        <v>36</v>
      </c>
      <c r="V384" t="s">
        <v>36</v>
      </c>
      <c r="W384" t="s">
        <v>36</v>
      </c>
      <c r="X384" t="s">
        <v>36</v>
      </c>
      <c r="Y384" t="s">
        <v>36</v>
      </c>
      <c r="Z384" t="s">
        <v>36</v>
      </c>
      <c r="AA384" t="s">
        <v>36</v>
      </c>
      <c r="AB384" t="s">
        <v>36</v>
      </c>
      <c r="AC384" t="s">
        <v>36</v>
      </c>
      <c r="AD384" t="s">
        <v>36</v>
      </c>
      <c r="AE384" t="s">
        <v>36</v>
      </c>
      <c r="AF384" s="1">
        <v>43529</v>
      </c>
      <c r="AG384" t="s">
        <v>36</v>
      </c>
      <c r="AH384" t="s">
        <v>36</v>
      </c>
      <c r="AI384" s="1">
        <v>43530</v>
      </c>
      <c r="AJ384" s="1">
        <v>43528</v>
      </c>
    </row>
    <row r="385" spans="1:36" x14ac:dyDescent="0.35">
      <c r="A385">
        <v>4246</v>
      </c>
      <c r="B385" t="s">
        <v>1081</v>
      </c>
      <c r="C385" t="s">
        <v>36</v>
      </c>
      <c r="D385" t="s">
        <v>36</v>
      </c>
      <c r="E385" t="s">
        <v>36</v>
      </c>
      <c r="F385" t="s">
        <v>36</v>
      </c>
      <c r="G385" s="1">
        <v>43530</v>
      </c>
      <c r="H385" t="s">
        <v>36</v>
      </c>
      <c r="I385" t="s">
        <v>36</v>
      </c>
      <c r="J385" t="s">
        <v>36</v>
      </c>
      <c r="K385" t="s">
        <v>36</v>
      </c>
      <c r="L385" t="s">
        <v>36</v>
      </c>
      <c r="M385" t="s">
        <v>36</v>
      </c>
      <c r="N385" t="s">
        <v>36</v>
      </c>
      <c r="O385" t="s">
        <v>36</v>
      </c>
      <c r="P385" s="1">
        <v>43556</v>
      </c>
      <c r="Q385" t="s">
        <v>36</v>
      </c>
      <c r="R385" t="s">
        <v>36</v>
      </c>
      <c r="S385" t="s">
        <v>36</v>
      </c>
      <c r="T385" s="1">
        <v>43557</v>
      </c>
      <c r="U385" t="s">
        <v>36</v>
      </c>
      <c r="V385" t="s">
        <v>36</v>
      </c>
      <c r="W385" t="s">
        <v>36</v>
      </c>
      <c r="X385" t="s">
        <v>36</v>
      </c>
      <c r="Y385" t="s">
        <v>36</v>
      </c>
      <c r="Z385" t="s">
        <v>36</v>
      </c>
      <c r="AA385" t="s">
        <v>36</v>
      </c>
      <c r="AB385" t="s">
        <v>36</v>
      </c>
      <c r="AC385" t="s">
        <v>36</v>
      </c>
      <c r="AD385" t="s">
        <v>36</v>
      </c>
      <c r="AE385" t="s">
        <v>36</v>
      </c>
      <c r="AF385" s="1">
        <v>43529</v>
      </c>
      <c r="AG385" t="s">
        <v>36</v>
      </c>
      <c r="AH385" t="s">
        <v>36</v>
      </c>
      <c r="AI385" s="1">
        <v>43530</v>
      </c>
      <c r="AJ385" s="1">
        <v>43528</v>
      </c>
    </row>
    <row r="386" spans="1:36" x14ac:dyDescent="0.35">
      <c r="A386">
        <v>4247</v>
      </c>
      <c r="B386" t="s">
        <v>1082</v>
      </c>
      <c r="C386" t="s">
        <v>36</v>
      </c>
      <c r="D386" t="s">
        <v>36</v>
      </c>
      <c r="E386" t="s">
        <v>36</v>
      </c>
      <c r="F386" t="s">
        <v>36</v>
      </c>
      <c r="G386" s="1">
        <v>43530</v>
      </c>
      <c r="H386" t="s">
        <v>36</v>
      </c>
      <c r="I386" t="s">
        <v>36</v>
      </c>
      <c r="J386" t="s">
        <v>36</v>
      </c>
      <c r="K386" t="s">
        <v>36</v>
      </c>
      <c r="L386" t="s">
        <v>36</v>
      </c>
      <c r="M386" t="s">
        <v>36</v>
      </c>
      <c r="N386" t="s">
        <v>36</v>
      </c>
      <c r="O386" t="s">
        <v>36</v>
      </c>
      <c r="P386" s="1">
        <v>43556</v>
      </c>
      <c r="Q386" t="s">
        <v>36</v>
      </c>
      <c r="R386" t="s">
        <v>36</v>
      </c>
      <c r="S386" t="s">
        <v>36</v>
      </c>
      <c r="T386" s="1">
        <v>43557</v>
      </c>
      <c r="U386" t="s">
        <v>36</v>
      </c>
      <c r="V386" t="s">
        <v>36</v>
      </c>
      <c r="W386" t="s">
        <v>36</v>
      </c>
      <c r="X386" t="s">
        <v>36</v>
      </c>
      <c r="Y386" t="s">
        <v>36</v>
      </c>
      <c r="Z386" t="s">
        <v>36</v>
      </c>
      <c r="AA386" t="s">
        <v>36</v>
      </c>
      <c r="AB386" t="s">
        <v>36</v>
      </c>
      <c r="AC386" t="s">
        <v>36</v>
      </c>
      <c r="AD386" t="s">
        <v>36</v>
      </c>
      <c r="AE386" t="s">
        <v>36</v>
      </c>
      <c r="AF386" s="1">
        <v>43529</v>
      </c>
      <c r="AG386" t="s">
        <v>36</v>
      </c>
      <c r="AH386" t="s">
        <v>36</v>
      </c>
      <c r="AI386" s="1">
        <v>43530</v>
      </c>
      <c r="AJ386" s="1">
        <v>43528</v>
      </c>
    </row>
    <row r="387" spans="1:36" x14ac:dyDescent="0.35">
      <c r="A387">
        <v>24</v>
      </c>
      <c r="B387" t="s">
        <v>59</v>
      </c>
      <c r="C387" t="s">
        <v>36</v>
      </c>
      <c r="D387" t="s">
        <v>36</v>
      </c>
      <c r="E387" t="s">
        <v>36</v>
      </c>
      <c r="F387" t="s">
        <v>36</v>
      </c>
      <c r="G387" t="s">
        <v>36</v>
      </c>
      <c r="H387" t="s">
        <v>36</v>
      </c>
      <c r="I387" t="s">
        <v>36</v>
      </c>
      <c r="J387" t="s">
        <v>36</v>
      </c>
      <c r="K387" t="s">
        <v>36</v>
      </c>
      <c r="L387" t="s">
        <v>36</v>
      </c>
      <c r="M387" t="s">
        <v>36</v>
      </c>
      <c r="N387" t="s">
        <v>36</v>
      </c>
      <c r="O387" t="s">
        <v>36</v>
      </c>
      <c r="P387" t="s">
        <v>36</v>
      </c>
      <c r="Q387" s="1">
        <v>40911.534722222219</v>
      </c>
      <c r="R387" t="s">
        <v>36</v>
      </c>
      <c r="S387" t="s">
        <v>36</v>
      </c>
      <c r="T387" t="s">
        <v>36</v>
      </c>
      <c r="U387" t="s">
        <v>36</v>
      </c>
      <c r="V387" t="s">
        <v>36</v>
      </c>
      <c r="W387" t="s">
        <v>36</v>
      </c>
      <c r="X387" t="s">
        <v>36</v>
      </c>
      <c r="Y387" t="s">
        <v>36</v>
      </c>
      <c r="Z387" t="s">
        <v>36</v>
      </c>
      <c r="AA387" t="s">
        <v>36</v>
      </c>
      <c r="AB387" t="s">
        <v>36</v>
      </c>
      <c r="AC387" t="s">
        <v>36</v>
      </c>
      <c r="AD387" t="s">
        <v>36</v>
      </c>
      <c r="AE387" t="s">
        <v>36</v>
      </c>
      <c r="AF387" t="s">
        <v>36</v>
      </c>
      <c r="AG387" t="s">
        <v>36</v>
      </c>
      <c r="AH387" t="s">
        <v>36</v>
      </c>
      <c r="AI387" t="s">
        <v>36</v>
      </c>
      <c r="AJ387" t="s">
        <v>36</v>
      </c>
    </row>
    <row r="388" spans="1:36" x14ac:dyDescent="0.35">
      <c r="A388">
        <v>4154</v>
      </c>
      <c r="B388" t="s">
        <v>1035</v>
      </c>
      <c r="C388" t="s">
        <v>36</v>
      </c>
      <c r="D388" t="s">
        <v>36</v>
      </c>
      <c r="E388" t="s">
        <v>36</v>
      </c>
      <c r="F388" t="s">
        <v>36</v>
      </c>
      <c r="G388" t="s">
        <v>36</v>
      </c>
      <c r="H388" t="s">
        <v>36</v>
      </c>
      <c r="I388" t="s">
        <v>36</v>
      </c>
      <c r="J388" t="s">
        <v>36</v>
      </c>
      <c r="K388" t="s">
        <v>36</v>
      </c>
      <c r="L388" t="s">
        <v>36</v>
      </c>
      <c r="M388" t="s">
        <v>36</v>
      </c>
      <c r="N388" t="s">
        <v>36</v>
      </c>
      <c r="O388" t="s">
        <v>36</v>
      </c>
      <c r="P388" t="s">
        <v>36</v>
      </c>
      <c r="Q388" s="1">
        <v>43856.458333333336</v>
      </c>
      <c r="R388" t="s">
        <v>36</v>
      </c>
      <c r="S388" t="s">
        <v>36</v>
      </c>
      <c r="T388" t="s">
        <v>36</v>
      </c>
      <c r="U388" t="s">
        <v>36</v>
      </c>
      <c r="V388" t="s">
        <v>36</v>
      </c>
      <c r="W388" t="s">
        <v>36</v>
      </c>
      <c r="X388" t="s">
        <v>36</v>
      </c>
      <c r="Y388" t="s">
        <v>36</v>
      </c>
      <c r="Z388" t="s">
        <v>36</v>
      </c>
      <c r="AA388" t="s">
        <v>36</v>
      </c>
      <c r="AB388" t="s">
        <v>36</v>
      </c>
      <c r="AC388" t="s">
        <v>36</v>
      </c>
      <c r="AD388" t="s">
        <v>36</v>
      </c>
      <c r="AE388" t="s">
        <v>36</v>
      </c>
      <c r="AF388" t="s">
        <v>36</v>
      </c>
      <c r="AG388" t="s">
        <v>36</v>
      </c>
      <c r="AH388" t="s">
        <v>36</v>
      </c>
      <c r="AI388" t="s">
        <v>36</v>
      </c>
      <c r="AJ388" t="s">
        <v>36</v>
      </c>
    </row>
    <row r="389" spans="1:36" x14ac:dyDescent="0.35">
      <c r="A389">
        <v>4155</v>
      </c>
      <c r="B389" t="s">
        <v>1036</v>
      </c>
      <c r="C389" t="s">
        <v>36</v>
      </c>
      <c r="D389" t="s">
        <v>36</v>
      </c>
      <c r="E389" t="s">
        <v>36</v>
      </c>
      <c r="F389" t="s">
        <v>36</v>
      </c>
      <c r="G389" t="s">
        <v>36</v>
      </c>
      <c r="H389" t="s">
        <v>36</v>
      </c>
      <c r="I389" t="s">
        <v>36</v>
      </c>
      <c r="J389" t="s">
        <v>36</v>
      </c>
      <c r="K389" t="s">
        <v>36</v>
      </c>
      <c r="L389" t="s">
        <v>36</v>
      </c>
      <c r="M389" t="s">
        <v>36</v>
      </c>
      <c r="N389" t="s">
        <v>36</v>
      </c>
      <c r="O389" t="s">
        <v>36</v>
      </c>
      <c r="P389" t="s">
        <v>36</v>
      </c>
      <c r="Q389" s="1">
        <v>43856.458333333336</v>
      </c>
      <c r="R389" t="s">
        <v>36</v>
      </c>
      <c r="S389" t="s">
        <v>36</v>
      </c>
      <c r="T389" t="s">
        <v>36</v>
      </c>
      <c r="U389" t="s">
        <v>36</v>
      </c>
      <c r="V389" t="s">
        <v>36</v>
      </c>
      <c r="W389" t="s">
        <v>36</v>
      </c>
      <c r="X389" t="s">
        <v>36</v>
      </c>
      <c r="Y389" t="s">
        <v>36</v>
      </c>
      <c r="Z389" t="s">
        <v>36</v>
      </c>
      <c r="AA389" t="s">
        <v>36</v>
      </c>
      <c r="AB389" t="s">
        <v>36</v>
      </c>
      <c r="AC389" t="s">
        <v>36</v>
      </c>
      <c r="AD389" t="s">
        <v>36</v>
      </c>
      <c r="AE389" t="s">
        <v>36</v>
      </c>
      <c r="AF389" t="s">
        <v>36</v>
      </c>
      <c r="AG389" t="s">
        <v>36</v>
      </c>
      <c r="AH389" t="s">
        <v>36</v>
      </c>
      <c r="AI389" t="s">
        <v>36</v>
      </c>
      <c r="AJ389" t="s">
        <v>36</v>
      </c>
    </row>
    <row r="390" spans="1:36" x14ac:dyDescent="0.35">
      <c r="A390">
        <v>4156</v>
      </c>
      <c r="B390" t="s">
        <v>1037</v>
      </c>
      <c r="C390" t="s">
        <v>36</v>
      </c>
      <c r="D390" t="s">
        <v>36</v>
      </c>
      <c r="E390" t="s">
        <v>36</v>
      </c>
      <c r="F390" t="s">
        <v>36</v>
      </c>
      <c r="G390" t="s">
        <v>36</v>
      </c>
      <c r="H390" t="s">
        <v>36</v>
      </c>
      <c r="I390" t="s">
        <v>36</v>
      </c>
      <c r="J390" t="s">
        <v>36</v>
      </c>
      <c r="K390" t="s">
        <v>36</v>
      </c>
      <c r="L390" t="s">
        <v>36</v>
      </c>
      <c r="M390" t="s">
        <v>36</v>
      </c>
      <c r="N390" t="s">
        <v>36</v>
      </c>
      <c r="O390" t="s">
        <v>36</v>
      </c>
      <c r="P390" t="s">
        <v>36</v>
      </c>
      <c r="Q390" s="1">
        <v>43856.458333333336</v>
      </c>
      <c r="R390" t="s">
        <v>36</v>
      </c>
      <c r="S390" t="s">
        <v>36</v>
      </c>
      <c r="T390" t="s">
        <v>36</v>
      </c>
      <c r="U390" t="s">
        <v>36</v>
      </c>
      <c r="V390" t="s">
        <v>36</v>
      </c>
      <c r="W390" t="s">
        <v>36</v>
      </c>
      <c r="X390" t="s">
        <v>36</v>
      </c>
      <c r="Y390" t="s">
        <v>36</v>
      </c>
      <c r="Z390" t="s">
        <v>36</v>
      </c>
      <c r="AA390" t="s">
        <v>36</v>
      </c>
      <c r="AB390" t="s">
        <v>36</v>
      </c>
      <c r="AC390" t="s">
        <v>36</v>
      </c>
      <c r="AD390" t="s">
        <v>36</v>
      </c>
      <c r="AE390" t="s">
        <v>36</v>
      </c>
      <c r="AF390" t="s">
        <v>36</v>
      </c>
      <c r="AG390" t="s">
        <v>36</v>
      </c>
      <c r="AH390" t="s">
        <v>36</v>
      </c>
      <c r="AI390" t="s">
        <v>36</v>
      </c>
      <c r="AJ390" t="s">
        <v>36</v>
      </c>
    </row>
    <row r="391" spans="1:36" x14ac:dyDescent="0.35">
      <c r="A391">
        <v>26</v>
      </c>
      <c r="B391" t="s">
        <v>61</v>
      </c>
      <c r="C391" t="s">
        <v>36</v>
      </c>
      <c r="D391" t="s">
        <v>36</v>
      </c>
      <c r="E391" t="s">
        <v>36</v>
      </c>
      <c r="F391" t="s">
        <v>36</v>
      </c>
      <c r="G391" t="s">
        <v>36</v>
      </c>
      <c r="H391" t="s">
        <v>36</v>
      </c>
      <c r="I391" t="s">
        <v>36</v>
      </c>
      <c r="J391" t="s">
        <v>36</v>
      </c>
      <c r="K391" t="s">
        <v>36</v>
      </c>
      <c r="L391" t="s">
        <v>36</v>
      </c>
      <c r="M391" t="s">
        <v>36</v>
      </c>
      <c r="N391" t="s">
        <v>36</v>
      </c>
      <c r="O391" t="s">
        <v>36</v>
      </c>
      <c r="P391" t="s">
        <v>36</v>
      </c>
      <c r="Q391" s="1">
        <v>40911.534722222219</v>
      </c>
      <c r="R391" t="s">
        <v>36</v>
      </c>
      <c r="S391" t="s">
        <v>36</v>
      </c>
      <c r="T391" t="s">
        <v>36</v>
      </c>
      <c r="U391" t="s">
        <v>36</v>
      </c>
      <c r="V391" t="s">
        <v>36</v>
      </c>
      <c r="W391" t="s">
        <v>36</v>
      </c>
      <c r="X391" t="s">
        <v>36</v>
      </c>
      <c r="Y391" t="s">
        <v>36</v>
      </c>
      <c r="Z391" t="s">
        <v>36</v>
      </c>
      <c r="AA391" t="s">
        <v>36</v>
      </c>
      <c r="AB391" t="s">
        <v>36</v>
      </c>
      <c r="AC391" t="s">
        <v>36</v>
      </c>
      <c r="AD391" t="s">
        <v>36</v>
      </c>
      <c r="AE391" t="s">
        <v>36</v>
      </c>
      <c r="AF391" t="s">
        <v>36</v>
      </c>
      <c r="AG391" t="s">
        <v>36</v>
      </c>
      <c r="AH391" t="s">
        <v>36</v>
      </c>
      <c r="AI391" t="s">
        <v>36</v>
      </c>
      <c r="AJ391" t="s">
        <v>36</v>
      </c>
    </row>
    <row r="392" spans="1:36" x14ac:dyDescent="0.35">
      <c r="A392">
        <v>3855</v>
      </c>
      <c r="B392" t="s">
        <v>989</v>
      </c>
      <c r="C392" t="s">
        <v>36</v>
      </c>
      <c r="D392" t="s">
        <v>36</v>
      </c>
      <c r="E392" t="s">
        <v>36</v>
      </c>
      <c r="F392" t="s">
        <v>36</v>
      </c>
      <c r="G392" t="s">
        <v>36</v>
      </c>
      <c r="H392" t="s">
        <v>36</v>
      </c>
      <c r="I392" t="s">
        <v>36</v>
      </c>
      <c r="J392" t="s">
        <v>36</v>
      </c>
      <c r="K392" t="s">
        <v>36</v>
      </c>
      <c r="L392" t="s">
        <v>36</v>
      </c>
      <c r="M392" t="s">
        <v>36</v>
      </c>
      <c r="N392" t="s">
        <v>36</v>
      </c>
      <c r="O392" t="s">
        <v>36</v>
      </c>
      <c r="P392" t="s">
        <v>36</v>
      </c>
      <c r="Q392" s="1">
        <v>43679.395833333336</v>
      </c>
      <c r="R392" t="s">
        <v>36</v>
      </c>
      <c r="S392" t="s">
        <v>36</v>
      </c>
      <c r="T392" t="s">
        <v>36</v>
      </c>
      <c r="U392" t="s">
        <v>36</v>
      </c>
      <c r="V392" t="s">
        <v>36</v>
      </c>
      <c r="W392" t="s">
        <v>36</v>
      </c>
      <c r="X392" t="s">
        <v>36</v>
      </c>
      <c r="Y392" t="s">
        <v>36</v>
      </c>
      <c r="Z392" t="s">
        <v>36</v>
      </c>
      <c r="AA392" t="s">
        <v>36</v>
      </c>
      <c r="AB392" t="s">
        <v>36</v>
      </c>
      <c r="AC392" t="s">
        <v>36</v>
      </c>
      <c r="AD392" t="s">
        <v>36</v>
      </c>
      <c r="AE392" t="s">
        <v>36</v>
      </c>
      <c r="AF392" t="s">
        <v>36</v>
      </c>
      <c r="AG392" t="s">
        <v>36</v>
      </c>
      <c r="AH392" t="s">
        <v>36</v>
      </c>
      <c r="AI392" t="s">
        <v>36</v>
      </c>
      <c r="AJ392" t="s">
        <v>36</v>
      </c>
    </row>
    <row r="393" spans="1:36" x14ac:dyDescent="0.35">
      <c r="A393">
        <v>3856</v>
      </c>
      <c r="B393" t="s">
        <v>990</v>
      </c>
      <c r="C393" t="s">
        <v>36</v>
      </c>
      <c r="D393" t="s">
        <v>36</v>
      </c>
      <c r="E393" t="s">
        <v>36</v>
      </c>
      <c r="F393" t="s">
        <v>36</v>
      </c>
      <c r="G393" t="s">
        <v>36</v>
      </c>
      <c r="H393" t="s">
        <v>36</v>
      </c>
      <c r="I393" t="s">
        <v>36</v>
      </c>
      <c r="J393" t="s">
        <v>36</v>
      </c>
      <c r="K393" t="s">
        <v>36</v>
      </c>
      <c r="L393" t="s">
        <v>36</v>
      </c>
      <c r="M393" t="s">
        <v>36</v>
      </c>
      <c r="N393" t="s">
        <v>36</v>
      </c>
      <c r="O393" t="s">
        <v>36</v>
      </c>
      <c r="P393" t="s">
        <v>36</v>
      </c>
      <c r="Q393" s="1">
        <v>43679.395833333336</v>
      </c>
      <c r="R393" t="s">
        <v>36</v>
      </c>
      <c r="S393" t="s">
        <v>36</v>
      </c>
      <c r="T393" t="s">
        <v>36</v>
      </c>
      <c r="U393" t="s">
        <v>36</v>
      </c>
      <c r="V393" t="s">
        <v>36</v>
      </c>
      <c r="W393" t="s">
        <v>36</v>
      </c>
      <c r="X393" t="s">
        <v>36</v>
      </c>
      <c r="Y393" t="s">
        <v>36</v>
      </c>
      <c r="Z393" t="s">
        <v>36</v>
      </c>
      <c r="AA393" t="s">
        <v>36</v>
      </c>
      <c r="AB393" t="s">
        <v>36</v>
      </c>
      <c r="AC393" t="s">
        <v>36</v>
      </c>
      <c r="AD393" t="s">
        <v>36</v>
      </c>
      <c r="AE393" t="s">
        <v>36</v>
      </c>
      <c r="AF393" t="s">
        <v>36</v>
      </c>
      <c r="AG393" t="s">
        <v>36</v>
      </c>
      <c r="AH393" t="s">
        <v>36</v>
      </c>
      <c r="AI393" t="s">
        <v>36</v>
      </c>
      <c r="AJ393" t="s">
        <v>36</v>
      </c>
    </row>
    <row r="394" spans="1:36" x14ac:dyDescent="0.35">
      <c r="A394">
        <v>3857</v>
      </c>
      <c r="B394" t="s">
        <v>991</v>
      </c>
      <c r="C394" t="s">
        <v>36</v>
      </c>
      <c r="D394" t="s">
        <v>36</v>
      </c>
      <c r="E394" t="s">
        <v>36</v>
      </c>
      <c r="F394" t="s">
        <v>36</v>
      </c>
      <c r="G394" t="s">
        <v>36</v>
      </c>
      <c r="H394" t="s">
        <v>36</v>
      </c>
      <c r="I394" t="s">
        <v>36</v>
      </c>
      <c r="J394" t="s">
        <v>36</v>
      </c>
      <c r="K394" t="s">
        <v>36</v>
      </c>
      <c r="L394" t="s">
        <v>36</v>
      </c>
      <c r="M394" t="s">
        <v>36</v>
      </c>
      <c r="N394" t="s">
        <v>36</v>
      </c>
      <c r="O394" t="s">
        <v>36</v>
      </c>
      <c r="P394" t="s">
        <v>36</v>
      </c>
      <c r="Q394" s="1">
        <v>43679.395833333336</v>
      </c>
      <c r="R394" t="s">
        <v>36</v>
      </c>
      <c r="S394" t="s">
        <v>36</v>
      </c>
      <c r="T394" t="s">
        <v>36</v>
      </c>
      <c r="U394" t="s">
        <v>36</v>
      </c>
      <c r="V394" t="s">
        <v>36</v>
      </c>
      <c r="W394" t="s">
        <v>36</v>
      </c>
      <c r="X394" t="s">
        <v>36</v>
      </c>
      <c r="Y394" t="s">
        <v>36</v>
      </c>
      <c r="Z394" t="s">
        <v>36</v>
      </c>
      <c r="AA394" t="s">
        <v>36</v>
      </c>
      <c r="AB394" t="s">
        <v>36</v>
      </c>
      <c r="AC394" t="s">
        <v>36</v>
      </c>
      <c r="AD394" t="s">
        <v>36</v>
      </c>
      <c r="AE394" t="s">
        <v>36</v>
      </c>
      <c r="AF394" t="s">
        <v>36</v>
      </c>
      <c r="AG394" t="s">
        <v>36</v>
      </c>
      <c r="AH394" t="s">
        <v>36</v>
      </c>
      <c r="AI394" t="s">
        <v>36</v>
      </c>
      <c r="AJ394" t="s">
        <v>36</v>
      </c>
    </row>
    <row r="395" spans="1:36" x14ac:dyDescent="0.35">
      <c r="A395">
        <v>3</v>
      </c>
      <c r="B395" t="s">
        <v>38</v>
      </c>
      <c r="C395" s="1">
        <v>42528.291666666664</v>
      </c>
      <c r="D395" s="1">
        <v>42058.680555555555</v>
      </c>
      <c r="E395" s="1">
        <v>39245.465277777781</v>
      </c>
      <c r="F395" s="1">
        <v>42735.993055555555</v>
      </c>
      <c r="G395" s="1">
        <v>41426</v>
      </c>
      <c r="H395" s="1">
        <v>43059.576388888891</v>
      </c>
      <c r="I395" s="1">
        <v>38757.354166666664</v>
      </c>
      <c r="J395" s="1">
        <v>39631.4375</v>
      </c>
      <c r="K395" s="1">
        <v>42528.291666666664</v>
      </c>
      <c r="L395" s="1">
        <v>42058.680555555555</v>
      </c>
      <c r="M395" s="1">
        <v>43348.625</v>
      </c>
      <c r="N395" s="1">
        <v>42735.993055555555</v>
      </c>
      <c r="O395" s="1">
        <v>42206.583333333336</v>
      </c>
      <c r="P395" s="1">
        <v>43059.576388888891</v>
      </c>
      <c r="Q395" s="1">
        <v>40215.493055555555</v>
      </c>
      <c r="R395" s="1">
        <v>43329.319444444445</v>
      </c>
      <c r="S395" s="1">
        <v>42735.993055555555</v>
      </c>
      <c r="T395" s="1">
        <v>42528.291666666664</v>
      </c>
      <c r="U395" s="1">
        <v>43054.631944444445</v>
      </c>
      <c r="V395" s="1">
        <v>42473.513888888891</v>
      </c>
      <c r="W395" s="1">
        <v>42735.993055555555</v>
      </c>
      <c r="X395" s="1">
        <v>42193.652777777781</v>
      </c>
      <c r="Y395" t="s">
        <v>36</v>
      </c>
      <c r="Z395" s="1">
        <v>42648.340277777781</v>
      </c>
      <c r="AA395" s="1">
        <v>43054.611111111109</v>
      </c>
      <c r="AB395" s="1">
        <v>41225.597222222219</v>
      </c>
      <c r="AC395" s="1">
        <v>42485.743055555555</v>
      </c>
      <c r="AD395" s="1">
        <v>43009</v>
      </c>
      <c r="AE395" t="s">
        <v>36</v>
      </c>
      <c r="AF395" s="1">
        <v>42058.680555555555</v>
      </c>
      <c r="AG395" s="32">
        <v>43040</v>
      </c>
      <c r="AH395" s="1">
        <v>42735.993055555555</v>
      </c>
      <c r="AI395" s="1">
        <v>41426</v>
      </c>
      <c r="AJ395" s="1">
        <v>43059.576388888891</v>
      </c>
    </row>
    <row r="396" spans="1:36" x14ac:dyDescent="0.35">
      <c r="A396">
        <v>73</v>
      </c>
      <c r="B396" t="s">
        <v>286</v>
      </c>
      <c r="C396" s="1">
        <v>42528.291666666664</v>
      </c>
      <c r="D396" t="s">
        <v>36</v>
      </c>
      <c r="E396" s="1">
        <v>43526.347222222219</v>
      </c>
      <c r="F396" s="1">
        <v>43526.319444444445</v>
      </c>
      <c r="G396" s="1">
        <v>43530</v>
      </c>
      <c r="H396" s="1">
        <v>43626.604166666664</v>
      </c>
      <c r="I396" s="1">
        <v>38757.354166666664</v>
      </c>
      <c r="J396" s="1">
        <v>39631.4375</v>
      </c>
      <c r="K396" s="1">
        <v>42528.291666666664</v>
      </c>
      <c r="L396" s="1">
        <v>42058.680555555555</v>
      </c>
      <c r="M396" s="1">
        <v>43348.625</v>
      </c>
      <c r="N396" t="s">
        <v>36</v>
      </c>
      <c r="O396" t="s">
        <v>36</v>
      </c>
      <c r="P396" s="1">
        <v>43559</v>
      </c>
      <c r="Q396" t="s">
        <v>36</v>
      </c>
      <c r="R396" s="1">
        <v>43329.319444444445</v>
      </c>
      <c r="S396" s="1">
        <v>43467.236111111109</v>
      </c>
      <c r="T396" s="1">
        <v>43557</v>
      </c>
      <c r="U396" s="1">
        <v>43618.270833333336</v>
      </c>
      <c r="V396" s="1">
        <v>42473.513888888891</v>
      </c>
      <c r="W396" s="1">
        <v>42735.993055555555</v>
      </c>
      <c r="X396" t="s">
        <v>36</v>
      </c>
      <c r="Y396" t="s">
        <v>36</v>
      </c>
      <c r="Z396" s="1">
        <v>42648.340277777781</v>
      </c>
      <c r="AA396" s="1">
        <v>43618.263888888891</v>
      </c>
      <c r="AB396" s="1">
        <v>42486.548611111109</v>
      </c>
      <c r="AC396" s="1">
        <v>42485.743055555555</v>
      </c>
      <c r="AD396" s="1">
        <v>43009</v>
      </c>
      <c r="AE396" t="s">
        <v>36</v>
      </c>
      <c r="AF396" s="1">
        <v>43529</v>
      </c>
      <c r="AG396" t="s">
        <v>36</v>
      </c>
      <c r="AH396" s="1">
        <v>43556.604166666664</v>
      </c>
      <c r="AI396" s="1">
        <v>43530</v>
      </c>
      <c r="AJ396" s="1">
        <v>43528</v>
      </c>
    </row>
    <row r="397" spans="1:36" x14ac:dyDescent="0.35">
      <c r="A397">
        <v>72</v>
      </c>
      <c r="B397" t="s">
        <v>285</v>
      </c>
      <c r="C397" s="1">
        <v>42528.291666666664</v>
      </c>
      <c r="D397" t="s">
        <v>36</v>
      </c>
      <c r="E397" s="1">
        <v>43526.347222222219</v>
      </c>
      <c r="F397" s="1">
        <v>43526.319444444445</v>
      </c>
      <c r="G397" s="1">
        <v>43530</v>
      </c>
      <c r="H397" s="1">
        <v>43626.604166666664</v>
      </c>
      <c r="I397" s="1">
        <v>38757.354166666664</v>
      </c>
      <c r="J397" s="1">
        <v>39631.4375</v>
      </c>
      <c r="K397" s="1">
        <v>42528.291666666664</v>
      </c>
      <c r="L397" s="1">
        <v>42058.680555555555</v>
      </c>
      <c r="M397" s="1">
        <v>43348.625</v>
      </c>
      <c r="N397" t="s">
        <v>36</v>
      </c>
      <c r="O397" t="s">
        <v>36</v>
      </c>
      <c r="P397" s="1">
        <v>43557</v>
      </c>
      <c r="Q397" t="s">
        <v>36</v>
      </c>
      <c r="R397" s="1">
        <v>43329.319444444445</v>
      </c>
      <c r="S397" s="1">
        <v>43467.236111111109</v>
      </c>
      <c r="T397" s="1">
        <v>43557</v>
      </c>
      <c r="U397" s="1">
        <v>43618.270833333336</v>
      </c>
      <c r="V397" s="1">
        <v>42473.513888888891</v>
      </c>
      <c r="W397" s="1">
        <v>42735.993055555555</v>
      </c>
      <c r="X397" t="s">
        <v>36</v>
      </c>
      <c r="Y397" t="s">
        <v>36</v>
      </c>
      <c r="Z397" s="1">
        <v>42648.340277777781</v>
      </c>
      <c r="AA397" s="1">
        <v>43618.263888888891</v>
      </c>
      <c r="AB397" s="1">
        <v>42486.548611111109</v>
      </c>
      <c r="AC397" s="1">
        <v>42485.743055555555</v>
      </c>
      <c r="AD397" s="1">
        <v>43009</v>
      </c>
      <c r="AE397" t="s">
        <v>36</v>
      </c>
      <c r="AF397" s="1">
        <v>43529</v>
      </c>
      <c r="AG397" t="s">
        <v>36</v>
      </c>
      <c r="AH397" s="1">
        <v>43556.604166666664</v>
      </c>
      <c r="AI397" s="1">
        <v>43530</v>
      </c>
      <c r="AJ397" s="1">
        <v>43528</v>
      </c>
    </row>
    <row r="398" spans="1:36" x14ac:dyDescent="0.35">
      <c r="A398">
        <v>71</v>
      </c>
      <c r="B398" t="s">
        <v>284</v>
      </c>
      <c r="C398" s="1">
        <v>42528.291666666664</v>
      </c>
      <c r="D398" t="s">
        <v>36</v>
      </c>
      <c r="E398" s="1">
        <v>43526.347222222219</v>
      </c>
      <c r="F398" s="1">
        <v>43526.319444444445</v>
      </c>
      <c r="G398" s="1">
        <v>43530</v>
      </c>
      <c r="H398" s="1">
        <v>43626.604166666664</v>
      </c>
      <c r="I398" s="1">
        <v>38757.354166666664</v>
      </c>
      <c r="J398" s="1">
        <v>39631.4375</v>
      </c>
      <c r="K398" s="1">
        <v>42528.291666666664</v>
      </c>
      <c r="L398" s="1">
        <v>42058.680555555555</v>
      </c>
      <c r="M398" s="1">
        <v>43348.625</v>
      </c>
      <c r="N398" t="s">
        <v>36</v>
      </c>
      <c r="O398" t="s">
        <v>36</v>
      </c>
      <c r="P398" s="1">
        <v>43557</v>
      </c>
      <c r="Q398" t="s">
        <v>36</v>
      </c>
      <c r="R398" s="1">
        <v>43329.319444444445</v>
      </c>
      <c r="S398" s="1">
        <v>43467.236111111109</v>
      </c>
      <c r="T398" s="1">
        <v>43557</v>
      </c>
      <c r="U398" s="1">
        <v>43618.270833333336</v>
      </c>
      <c r="V398" s="1">
        <v>42473.513888888891</v>
      </c>
      <c r="W398" s="1">
        <v>42735.993055555555</v>
      </c>
      <c r="X398" t="s">
        <v>36</v>
      </c>
      <c r="Y398" t="s">
        <v>36</v>
      </c>
      <c r="Z398" s="1">
        <v>42648.340277777781</v>
      </c>
      <c r="AA398" s="1">
        <v>43618.263888888891</v>
      </c>
      <c r="AB398" s="1">
        <v>42486.548611111109</v>
      </c>
      <c r="AC398" s="1">
        <v>42485.743055555555</v>
      </c>
      <c r="AD398" s="1">
        <v>43009</v>
      </c>
      <c r="AE398" t="s">
        <v>36</v>
      </c>
      <c r="AF398" s="1">
        <v>43529</v>
      </c>
      <c r="AG398" t="s">
        <v>36</v>
      </c>
      <c r="AH398" s="1">
        <v>43556.604166666664</v>
      </c>
      <c r="AI398" s="1">
        <v>43530</v>
      </c>
      <c r="AJ398" s="1">
        <v>43528</v>
      </c>
    </row>
    <row r="399" spans="1:36" x14ac:dyDescent="0.35">
      <c r="A399">
        <v>25</v>
      </c>
      <c r="B399" t="s">
        <v>60</v>
      </c>
      <c r="C399" s="1">
        <v>42528.291666666664</v>
      </c>
      <c r="D399" s="1">
        <v>42058.680555555555</v>
      </c>
      <c r="E399" t="s">
        <v>36</v>
      </c>
      <c r="F399" t="s">
        <v>36</v>
      </c>
      <c r="G399" s="1">
        <v>41426</v>
      </c>
      <c r="H399" t="s">
        <v>36</v>
      </c>
      <c r="I399" t="s">
        <v>36</v>
      </c>
      <c r="J399" t="s">
        <v>36</v>
      </c>
      <c r="K399" s="1">
        <v>42528.291666666664</v>
      </c>
      <c r="L399" t="s">
        <v>36</v>
      </c>
      <c r="M399" s="1">
        <v>43348.625</v>
      </c>
      <c r="N399" s="1">
        <v>42735.993055555555</v>
      </c>
      <c r="O399" s="1">
        <v>42206.583333333336</v>
      </c>
      <c r="P399" s="1">
        <v>43059.576388888891</v>
      </c>
      <c r="Q399" s="1">
        <v>40911.534722222219</v>
      </c>
      <c r="R399" t="s">
        <v>36</v>
      </c>
      <c r="S399" t="s">
        <v>36</v>
      </c>
      <c r="T399" s="1">
        <v>42528.291666666664</v>
      </c>
      <c r="U399" t="s">
        <v>36</v>
      </c>
      <c r="V399" s="1">
        <v>42473.513888888891</v>
      </c>
      <c r="W399" t="s">
        <v>36</v>
      </c>
      <c r="X399" s="1">
        <v>42193.652777777781</v>
      </c>
      <c r="Y399" t="s">
        <v>36</v>
      </c>
      <c r="Z399" s="1">
        <v>42648.465277777781</v>
      </c>
      <c r="AA399" t="s">
        <v>36</v>
      </c>
      <c r="AB399" t="s">
        <v>36</v>
      </c>
      <c r="AC399" s="1">
        <v>42485.743055555555</v>
      </c>
      <c r="AD399" s="1">
        <v>43009</v>
      </c>
      <c r="AE399" t="s">
        <v>36</v>
      </c>
      <c r="AF399" s="1">
        <v>42058.680555555555</v>
      </c>
      <c r="AG399" s="32">
        <v>43040</v>
      </c>
      <c r="AH399" t="s">
        <v>36</v>
      </c>
      <c r="AI399" s="1">
        <v>41426</v>
      </c>
      <c r="AJ399" s="1">
        <v>43059.576388888891</v>
      </c>
    </row>
    <row r="400" spans="1:36" x14ac:dyDescent="0.35">
      <c r="A400">
        <v>2833</v>
      </c>
      <c r="B400" t="s">
        <v>894</v>
      </c>
      <c r="C400" s="1">
        <v>43167.576388888891</v>
      </c>
      <c r="D400" t="s">
        <v>36</v>
      </c>
      <c r="E400" t="s">
        <v>36</v>
      </c>
      <c r="F400" t="s">
        <v>36</v>
      </c>
      <c r="G400" s="1">
        <v>43530</v>
      </c>
      <c r="H400" t="s">
        <v>36</v>
      </c>
      <c r="I400" t="s">
        <v>36</v>
      </c>
      <c r="J400" t="s">
        <v>36</v>
      </c>
      <c r="K400" s="1">
        <v>43167.576388888891</v>
      </c>
      <c r="L400" t="s">
        <v>36</v>
      </c>
      <c r="M400" s="1">
        <v>43348.625</v>
      </c>
      <c r="N400" s="1">
        <v>43948.465277777781</v>
      </c>
      <c r="O400" s="1">
        <v>42206.583333333336</v>
      </c>
      <c r="P400" s="1">
        <v>43559</v>
      </c>
      <c r="Q400" s="1">
        <v>43167.576388888891</v>
      </c>
      <c r="R400" t="s">
        <v>36</v>
      </c>
      <c r="S400" t="s">
        <v>36</v>
      </c>
      <c r="T400" s="1">
        <v>43557</v>
      </c>
      <c r="U400" t="s">
        <v>36</v>
      </c>
      <c r="V400" s="1">
        <v>43167.576388888891</v>
      </c>
      <c r="W400" t="s">
        <v>36</v>
      </c>
      <c r="X400" t="s">
        <v>36</v>
      </c>
      <c r="Y400" t="s">
        <v>36</v>
      </c>
      <c r="Z400" s="1">
        <v>43167.576388888891</v>
      </c>
      <c r="AA400" t="s">
        <v>36</v>
      </c>
      <c r="AB400" t="s">
        <v>36</v>
      </c>
      <c r="AC400" s="1">
        <v>43167.576388888891</v>
      </c>
      <c r="AD400" s="1">
        <v>43167.576388888891</v>
      </c>
      <c r="AE400" t="s">
        <v>36</v>
      </c>
      <c r="AF400" s="1">
        <v>43529</v>
      </c>
      <c r="AG400" t="s">
        <v>36</v>
      </c>
      <c r="AH400" t="s">
        <v>36</v>
      </c>
      <c r="AI400" s="1">
        <v>43530</v>
      </c>
      <c r="AJ400" s="1">
        <v>43528</v>
      </c>
    </row>
    <row r="401" spans="1:36" x14ac:dyDescent="0.35">
      <c r="A401">
        <v>2834</v>
      </c>
      <c r="B401" t="s">
        <v>895</v>
      </c>
      <c r="C401" s="1">
        <v>43167.576388888891</v>
      </c>
      <c r="D401" t="s">
        <v>36</v>
      </c>
      <c r="E401" t="s">
        <v>36</v>
      </c>
      <c r="F401" t="s">
        <v>36</v>
      </c>
      <c r="G401" s="1">
        <v>43530</v>
      </c>
      <c r="H401" t="s">
        <v>36</v>
      </c>
      <c r="I401" t="s">
        <v>36</v>
      </c>
      <c r="J401" t="s">
        <v>36</v>
      </c>
      <c r="K401" s="1">
        <v>43167.576388888891</v>
      </c>
      <c r="L401" t="s">
        <v>36</v>
      </c>
      <c r="M401" s="1">
        <v>43348.625</v>
      </c>
      <c r="N401" s="1">
        <v>43948.465277777781</v>
      </c>
      <c r="O401" s="1">
        <v>42206.583333333336</v>
      </c>
      <c r="P401" s="1">
        <v>43557</v>
      </c>
      <c r="Q401" s="1">
        <v>43167.576388888891</v>
      </c>
      <c r="R401" t="s">
        <v>36</v>
      </c>
      <c r="S401" t="s">
        <v>36</v>
      </c>
      <c r="T401" s="1">
        <v>43557</v>
      </c>
      <c r="U401" t="s">
        <v>36</v>
      </c>
      <c r="V401" s="1">
        <v>43167.576388888891</v>
      </c>
      <c r="W401" t="s">
        <v>36</v>
      </c>
      <c r="X401" t="s">
        <v>36</v>
      </c>
      <c r="Y401" t="s">
        <v>36</v>
      </c>
      <c r="Z401" s="1">
        <v>43167.576388888891</v>
      </c>
      <c r="AA401" t="s">
        <v>36</v>
      </c>
      <c r="AB401" t="s">
        <v>36</v>
      </c>
      <c r="AC401" s="1">
        <v>43167.576388888891</v>
      </c>
      <c r="AD401" s="1">
        <v>43167.576388888891</v>
      </c>
      <c r="AE401" t="s">
        <v>36</v>
      </c>
      <c r="AF401" s="1">
        <v>43529</v>
      </c>
      <c r="AG401" t="s">
        <v>36</v>
      </c>
      <c r="AH401" t="s">
        <v>36</v>
      </c>
      <c r="AI401" s="1">
        <v>43530</v>
      </c>
      <c r="AJ401" s="1">
        <v>43528</v>
      </c>
    </row>
    <row r="402" spans="1:36" x14ac:dyDescent="0.35">
      <c r="A402">
        <v>3729</v>
      </c>
      <c r="B402" t="s">
        <v>933</v>
      </c>
      <c r="C402" s="1">
        <v>43643.416666666664</v>
      </c>
      <c r="D402" t="s">
        <v>36</v>
      </c>
      <c r="E402" t="s">
        <v>36</v>
      </c>
      <c r="F402" t="s">
        <v>36</v>
      </c>
      <c r="G402" s="1">
        <v>43530</v>
      </c>
      <c r="H402" t="s">
        <v>36</v>
      </c>
      <c r="I402" t="s">
        <v>36</v>
      </c>
      <c r="J402" t="s">
        <v>36</v>
      </c>
      <c r="K402" s="1">
        <v>43643.416666666664</v>
      </c>
      <c r="L402" t="s">
        <v>36</v>
      </c>
      <c r="M402" s="1">
        <v>43643.416666666664</v>
      </c>
      <c r="N402" t="s">
        <v>36</v>
      </c>
      <c r="O402" t="s">
        <v>36</v>
      </c>
      <c r="P402" s="1">
        <v>43557</v>
      </c>
      <c r="Q402" s="1">
        <v>43643.416666666664</v>
      </c>
      <c r="R402" t="s">
        <v>36</v>
      </c>
      <c r="S402" t="s">
        <v>36</v>
      </c>
      <c r="T402" s="1">
        <v>43557</v>
      </c>
      <c r="U402" t="s">
        <v>36</v>
      </c>
      <c r="V402" s="1">
        <v>43643.416666666664</v>
      </c>
      <c r="W402" t="s">
        <v>36</v>
      </c>
      <c r="X402" t="s">
        <v>36</v>
      </c>
      <c r="Y402" t="s">
        <v>36</v>
      </c>
      <c r="Z402" s="1">
        <v>43643.416666666664</v>
      </c>
      <c r="AA402" t="s">
        <v>36</v>
      </c>
      <c r="AB402" t="s">
        <v>36</v>
      </c>
      <c r="AC402" s="1">
        <v>43643.416666666664</v>
      </c>
      <c r="AD402" s="1">
        <v>43643.416666666664</v>
      </c>
      <c r="AE402" t="s">
        <v>36</v>
      </c>
      <c r="AF402" s="1">
        <v>43529</v>
      </c>
      <c r="AG402" t="s">
        <v>36</v>
      </c>
      <c r="AH402" t="s">
        <v>36</v>
      </c>
      <c r="AI402" s="1">
        <v>43530</v>
      </c>
      <c r="AJ402" s="1">
        <v>43528</v>
      </c>
    </row>
    <row r="403" spans="1:36" x14ac:dyDescent="0.35">
      <c r="A403">
        <v>328</v>
      </c>
      <c r="B403" t="s">
        <v>196</v>
      </c>
      <c r="C403" t="s">
        <v>36</v>
      </c>
      <c r="D403" t="s">
        <v>36</v>
      </c>
      <c r="E403" t="s">
        <v>36</v>
      </c>
      <c r="F403" t="s">
        <v>36</v>
      </c>
      <c r="G403" s="1">
        <v>41426</v>
      </c>
      <c r="H403" t="s">
        <v>36</v>
      </c>
      <c r="I403" t="s">
        <v>36</v>
      </c>
      <c r="J403" t="s">
        <v>36</v>
      </c>
      <c r="K403" t="s">
        <v>36</v>
      </c>
      <c r="L403" t="s">
        <v>36</v>
      </c>
      <c r="M403" t="s">
        <v>36</v>
      </c>
      <c r="N403" t="s">
        <v>36</v>
      </c>
      <c r="O403" t="s">
        <v>36</v>
      </c>
      <c r="P403" s="1">
        <v>43059.576388888891</v>
      </c>
      <c r="Q403" t="s">
        <v>36</v>
      </c>
      <c r="R403" t="s">
        <v>36</v>
      </c>
      <c r="S403" t="s">
        <v>36</v>
      </c>
      <c r="T403" s="1">
        <v>42528.291666666664</v>
      </c>
      <c r="U403" t="s">
        <v>36</v>
      </c>
      <c r="V403" t="s">
        <v>36</v>
      </c>
      <c r="W403" t="s">
        <v>36</v>
      </c>
      <c r="X403" t="s">
        <v>36</v>
      </c>
      <c r="Y403" t="s">
        <v>36</v>
      </c>
      <c r="Z403" t="s">
        <v>36</v>
      </c>
      <c r="AA403" t="s">
        <v>36</v>
      </c>
      <c r="AB403" t="s">
        <v>36</v>
      </c>
      <c r="AC403" t="s">
        <v>36</v>
      </c>
      <c r="AD403" t="s">
        <v>36</v>
      </c>
      <c r="AE403" t="s">
        <v>36</v>
      </c>
      <c r="AF403" s="1">
        <v>42058.680555555555</v>
      </c>
      <c r="AG403" s="32">
        <v>43040</v>
      </c>
      <c r="AH403" t="s">
        <v>36</v>
      </c>
      <c r="AI403" s="1">
        <v>41426</v>
      </c>
      <c r="AJ403" s="1">
        <v>43059.576388888891</v>
      </c>
    </row>
    <row r="404" spans="1:36" x14ac:dyDescent="0.35">
      <c r="A404">
        <v>322</v>
      </c>
      <c r="B404" t="s">
        <v>190</v>
      </c>
      <c r="C404" t="s">
        <v>36</v>
      </c>
      <c r="D404" t="s">
        <v>36</v>
      </c>
      <c r="E404" t="s">
        <v>36</v>
      </c>
      <c r="F404" t="s">
        <v>36</v>
      </c>
      <c r="G404" s="1">
        <v>41426</v>
      </c>
      <c r="H404" t="s">
        <v>36</v>
      </c>
      <c r="I404" t="s">
        <v>36</v>
      </c>
      <c r="J404" t="s">
        <v>36</v>
      </c>
      <c r="K404" t="s">
        <v>36</v>
      </c>
      <c r="L404" t="s">
        <v>36</v>
      </c>
      <c r="M404" t="s">
        <v>36</v>
      </c>
      <c r="N404" t="s">
        <v>36</v>
      </c>
      <c r="O404" t="s">
        <v>36</v>
      </c>
      <c r="P404" s="1">
        <v>43059.576388888891</v>
      </c>
      <c r="Q404" t="s">
        <v>36</v>
      </c>
      <c r="R404" t="s">
        <v>36</v>
      </c>
      <c r="S404" t="s">
        <v>36</v>
      </c>
      <c r="T404" s="1">
        <v>42528.291666666664</v>
      </c>
      <c r="U404" t="s">
        <v>36</v>
      </c>
      <c r="V404" t="s">
        <v>36</v>
      </c>
      <c r="W404" t="s">
        <v>36</v>
      </c>
      <c r="X404" t="s">
        <v>36</v>
      </c>
      <c r="Y404" t="s">
        <v>36</v>
      </c>
      <c r="Z404" t="s">
        <v>36</v>
      </c>
      <c r="AA404" t="s">
        <v>36</v>
      </c>
      <c r="AB404" t="s">
        <v>36</v>
      </c>
      <c r="AC404" t="s">
        <v>36</v>
      </c>
      <c r="AD404" t="s">
        <v>36</v>
      </c>
      <c r="AE404" t="s">
        <v>36</v>
      </c>
      <c r="AF404" s="1">
        <v>42058.680555555555</v>
      </c>
      <c r="AG404" s="32">
        <v>43040</v>
      </c>
      <c r="AH404" t="s">
        <v>36</v>
      </c>
      <c r="AI404" s="1">
        <v>41426</v>
      </c>
      <c r="AJ404" s="1">
        <v>43059.576388888891</v>
      </c>
    </row>
    <row r="405" spans="1:36" x14ac:dyDescent="0.35">
      <c r="A405">
        <v>4186</v>
      </c>
      <c r="B405" t="s">
        <v>1047</v>
      </c>
      <c r="C405" t="s">
        <v>36</v>
      </c>
      <c r="D405" t="s">
        <v>36</v>
      </c>
      <c r="E405" t="s">
        <v>36</v>
      </c>
      <c r="F405" t="s">
        <v>36</v>
      </c>
      <c r="G405" s="1">
        <v>43530</v>
      </c>
      <c r="H405" t="s">
        <v>36</v>
      </c>
      <c r="I405" t="s">
        <v>36</v>
      </c>
      <c r="J405" t="s">
        <v>36</v>
      </c>
      <c r="K405" t="s">
        <v>36</v>
      </c>
      <c r="L405" t="s">
        <v>36</v>
      </c>
      <c r="M405" t="s">
        <v>36</v>
      </c>
      <c r="N405" t="s">
        <v>36</v>
      </c>
      <c r="O405" t="s">
        <v>36</v>
      </c>
      <c r="P405" s="1">
        <v>43559</v>
      </c>
      <c r="Q405" t="s">
        <v>36</v>
      </c>
      <c r="R405" t="s">
        <v>36</v>
      </c>
      <c r="S405" t="s">
        <v>36</v>
      </c>
      <c r="T405" s="1">
        <v>43557</v>
      </c>
      <c r="U405" t="s">
        <v>36</v>
      </c>
      <c r="V405" t="s">
        <v>36</v>
      </c>
      <c r="W405" t="s">
        <v>36</v>
      </c>
      <c r="X405" t="s">
        <v>36</v>
      </c>
      <c r="Y405" t="s">
        <v>36</v>
      </c>
      <c r="Z405" t="s">
        <v>36</v>
      </c>
      <c r="AA405" t="s">
        <v>36</v>
      </c>
      <c r="AB405" t="s">
        <v>36</v>
      </c>
      <c r="AC405" t="s">
        <v>36</v>
      </c>
      <c r="AD405" t="s">
        <v>36</v>
      </c>
      <c r="AE405" t="s">
        <v>36</v>
      </c>
      <c r="AF405" s="1">
        <v>43529</v>
      </c>
      <c r="AG405" t="s">
        <v>36</v>
      </c>
      <c r="AH405" t="s">
        <v>36</v>
      </c>
      <c r="AI405" s="1">
        <v>43530</v>
      </c>
      <c r="AJ405" s="1">
        <v>43528</v>
      </c>
    </row>
    <row r="406" spans="1:36" x14ac:dyDescent="0.35">
      <c r="A406">
        <v>4187</v>
      </c>
      <c r="B406" t="s">
        <v>1048</v>
      </c>
      <c r="C406" t="s">
        <v>36</v>
      </c>
      <c r="D406" t="s">
        <v>36</v>
      </c>
      <c r="E406" t="s">
        <v>36</v>
      </c>
      <c r="F406" t="s">
        <v>36</v>
      </c>
      <c r="G406" s="1">
        <v>43530</v>
      </c>
      <c r="H406" t="s">
        <v>36</v>
      </c>
      <c r="I406" t="s">
        <v>36</v>
      </c>
      <c r="J406" t="s">
        <v>36</v>
      </c>
      <c r="K406" t="s">
        <v>36</v>
      </c>
      <c r="L406" t="s">
        <v>36</v>
      </c>
      <c r="M406" t="s">
        <v>36</v>
      </c>
      <c r="N406" t="s">
        <v>36</v>
      </c>
      <c r="O406" t="s">
        <v>36</v>
      </c>
      <c r="P406" s="1">
        <v>43557</v>
      </c>
      <c r="Q406" t="s">
        <v>36</v>
      </c>
      <c r="R406" t="s">
        <v>36</v>
      </c>
      <c r="S406" t="s">
        <v>36</v>
      </c>
      <c r="T406" s="1">
        <v>43557</v>
      </c>
      <c r="U406" t="s">
        <v>36</v>
      </c>
      <c r="V406" t="s">
        <v>36</v>
      </c>
      <c r="W406" t="s">
        <v>36</v>
      </c>
      <c r="X406" t="s">
        <v>36</v>
      </c>
      <c r="Y406" t="s">
        <v>36</v>
      </c>
      <c r="Z406" t="s">
        <v>36</v>
      </c>
      <c r="AA406" t="s">
        <v>36</v>
      </c>
      <c r="AB406" t="s">
        <v>36</v>
      </c>
      <c r="AC406" t="s">
        <v>36</v>
      </c>
      <c r="AD406" t="s">
        <v>36</v>
      </c>
      <c r="AE406" t="s">
        <v>36</v>
      </c>
      <c r="AF406" s="1">
        <v>43529</v>
      </c>
      <c r="AG406" t="s">
        <v>36</v>
      </c>
      <c r="AH406" t="s">
        <v>36</v>
      </c>
      <c r="AI406" s="1">
        <v>43530</v>
      </c>
      <c r="AJ406" s="1">
        <v>43528</v>
      </c>
    </row>
    <row r="407" spans="1:36" x14ac:dyDescent="0.35">
      <c r="A407">
        <v>4188</v>
      </c>
      <c r="B407" t="s">
        <v>1049</v>
      </c>
      <c r="C407" t="s">
        <v>36</v>
      </c>
      <c r="D407" t="s">
        <v>36</v>
      </c>
      <c r="E407" t="s">
        <v>36</v>
      </c>
      <c r="F407" t="s">
        <v>36</v>
      </c>
      <c r="G407" s="1">
        <v>43530</v>
      </c>
      <c r="H407" t="s">
        <v>36</v>
      </c>
      <c r="I407" t="s">
        <v>36</v>
      </c>
      <c r="J407" t="s">
        <v>36</v>
      </c>
      <c r="K407" t="s">
        <v>36</v>
      </c>
      <c r="L407" t="s">
        <v>36</v>
      </c>
      <c r="M407" t="s">
        <v>36</v>
      </c>
      <c r="N407" t="s">
        <v>36</v>
      </c>
      <c r="O407" t="s">
        <v>36</v>
      </c>
      <c r="P407" s="1">
        <v>43557</v>
      </c>
      <c r="Q407" t="s">
        <v>36</v>
      </c>
      <c r="R407" t="s">
        <v>36</v>
      </c>
      <c r="S407" t="s">
        <v>36</v>
      </c>
      <c r="T407" s="1">
        <v>43557</v>
      </c>
      <c r="U407" t="s">
        <v>36</v>
      </c>
      <c r="V407" t="s">
        <v>36</v>
      </c>
      <c r="W407" t="s">
        <v>36</v>
      </c>
      <c r="X407" t="s">
        <v>36</v>
      </c>
      <c r="Y407" t="s">
        <v>36</v>
      </c>
      <c r="Z407" t="s">
        <v>36</v>
      </c>
      <c r="AA407" t="s">
        <v>36</v>
      </c>
      <c r="AB407" t="s">
        <v>36</v>
      </c>
      <c r="AC407" t="s">
        <v>36</v>
      </c>
      <c r="AD407" t="s">
        <v>36</v>
      </c>
      <c r="AE407" t="s">
        <v>36</v>
      </c>
      <c r="AF407" s="1">
        <v>43529</v>
      </c>
      <c r="AG407" t="s">
        <v>36</v>
      </c>
      <c r="AH407" t="s">
        <v>36</v>
      </c>
      <c r="AI407" s="1">
        <v>43530</v>
      </c>
      <c r="AJ407" s="1">
        <v>43528</v>
      </c>
    </row>
    <row r="408" spans="1:36" x14ac:dyDescent="0.35">
      <c r="A408">
        <v>278</v>
      </c>
      <c r="B408" t="s">
        <v>166</v>
      </c>
      <c r="C408" s="1">
        <v>42544.520833333336</v>
      </c>
      <c r="D408" s="1">
        <v>42486.298611111109</v>
      </c>
      <c r="E408" t="s">
        <v>36</v>
      </c>
      <c r="F408" t="s">
        <v>36</v>
      </c>
      <c r="G408" t="s">
        <v>36</v>
      </c>
      <c r="H408" t="s">
        <v>36</v>
      </c>
      <c r="I408" t="s">
        <v>36</v>
      </c>
      <c r="J408" t="s">
        <v>36</v>
      </c>
      <c r="K408" s="1">
        <v>42528.291666666664</v>
      </c>
      <c r="L408" t="s">
        <v>36</v>
      </c>
      <c r="M408" t="s">
        <v>36</v>
      </c>
      <c r="N408" t="s">
        <v>36</v>
      </c>
      <c r="O408" s="1">
        <v>42376.743055555555</v>
      </c>
      <c r="P408" t="s">
        <v>36</v>
      </c>
      <c r="Q408" t="s">
        <v>36</v>
      </c>
      <c r="R408" t="s">
        <v>36</v>
      </c>
      <c r="S408" t="s">
        <v>36</v>
      </c>
      <c r="T408" t="s">
        <v>36</v>
      </c>
      <c r="U408" t="s">
        <v>36</v>
      </c>
      <c r="V408" s="1">
        <v>42473.520833333336</v>
      </c>
      <c r="W408" t="s">
        <v>36</v>
      </c>
      <c r="X408" s="1">
        <v>42499.215277777781</v>
      </c>
      <c r="Y408" t="s">
        <v>36</v>
      </c>
      <c r="Z408" s="1">
        <v>42647.236111111109</v>
      </c>
      <c r="AA408" t="s">
        <v>36</v>
      </c>
      <c r="AB408" t="s">
        <v>36</v>
      </c>
      <c r="AC408" s="1">
        <v>42485.743055555555</v>
      </c>
      <c r="AD408" s="1">
        <v>43009</v>
      </c>
      <c r="AE408" t="s">
        <v>36</v>
      </c>
      <c r="AF408" t="s">
        <v>36</v>
      </c>
      <c r="AG408" t="s">
        <v>36</v>
      </c>
      <c r="AH408" t="s">
        <v>36</v>
      </c>
      <c r="AI408" t="s">
        <v>36</v>
      </c>
      <c r="AJ408" t="s">
        <v>36</v>
      </c>
    </row>
    <row r="409" spans="1:36" x14ac:dyDescent="0.35">
      <c r="A409">
        <v>308</v>
      </c>
      <c r="B409" t="s">
        <v>185</v>
      </c>
      <c r="C409" t="s">
        <v>36</v>
      </c>
      <c r="D409" s="1">
        <v>42486.298611111109</v>
      </c>
      <c r="E409" t="s">
        <v>36</v>
      </c>
      <c r="F409" t="s">
        <v>36</v>
      </c>
      <c r="G409" t="s">
        <v>36</v>
      </c>
      <c r="H409" t="s">
        <v>36</v>
      </c>
      <c r="I409" t="s">
        <v>36</v>
      </c>
      <c r="J409" t="s">
        <v>36</v>
      </c>
      <c r="K409" t="s">
        <v>36</v>
      </c>
      <c r="L409" t="s">
        <v>36</v>
      </c>
      <c r="M409" t="s">
        <v>36</v>
      </c>
      <c r="N409" t="s">
        <v>36</v>
      </c>
      <c r="O409" t="s">
        <v>36</v>
      </c>
      <c r="P409" t="s">
        <v>36</v>
      </c>
      <c r="Q409" t="s">
        <v>36</v>
      </c>
      <c r="R409" t="s">
        <v>36</v>
      </c>
      <c r="S409" t="s">
        <v>36</v>
      </c>
      <c r="T409" t="s">
        <v>36</v>
      </c>
      <c r="U409" t="s">
        <v>36</v>
      </c>
      <c r="V409" t="s">
        <v>36</v>
      </c>
      <c r="W409" t="s">
        <v>36</v>
      </c>
      <c r="X409" s="1">
        <v>42499.215277777781</v>
      </c>
      <c r="Y409" t="s">
        <v>36</v>
      </c>
      <c r="Z409" t="s">
        <v>36</v>
      </c>
      <c r="AA409" t="s">
        <v>36</v>
      </c>
      <c r="AB409" t="s">
        <v>36</v>
      </c>
      <c r="AC409" t="s">
        <v>36</v>
      </c>
      <c r="AD409" t="s">
        <v>36</v>
      </c>
      <c r="AE409" t="s">
        <v>36</v>
      </c>
      <c r="AF409" t="s">
        <v>36</v>
      </c>
      <c r="AG409" t="s">
        <v>36</v>
      </c>
      <c r="AH409" t="s">
        <v>36</v>
      </c>
      <c r="AI409" t="s">
        <v>36</v>
      </c>
      <c r="AJ409" t="s">
        <v>36</v>
      </c>
    </row>
    <row r="410" spans="1:36" x14ac:dyDescent="0.35">
      <c r="A410">
        <v>52</v>
      </c>
      <c r="B410" t="s">
        <v>87</v>
      </c>
      <c r="C410" t="s">
        <v>36</v>
      </c>
      <c r="D410" s="1">
        <v>42058.680555555555</v>
      </c>
      <c r="E410" t="s">
        <v>36</v>
      </c>
      <c r="F410" t="s">
        <v>36</v>
      </c>
      <c r="G410" s="1">
        <v>41426</v>
      </c>
      <c r="H410" t="s">
        <v>36</v>
      </c>
      <c r="I410" t="s">
        <v>36</v>
      </c>
      <c r="J410" t="s">
        <v>36</v>
      </c>
      <c r="K410" t="s">
        <v>36</v>
      </c>
      <c r="L410" t="s">
        <v>36</v>
      </c>
      <c r="M410" s="1">
        <v>43348.631944444445</v>
      </c>
      <c r="N410" s="1">
        <v>42735.993055555555</v>
      </c>
      <c r="O410" s="1">
        <v>42206.590277777781</v>
      </c>
      <c r="P410" s="1">
        <v>43059.576388888891</v>
      </c>
      <c r="Q410" s="1">
        <v>40215.597222222219</v>
      </c>
      <c r="R410" t="s">
        <v>36</v>
      </c>
      <c r="S410" t="s">
        <v>36</v>
      </c>
      <c r="T410" s="1">
        <v>42528.291666666664</v>
      </c>
      <c r="U410" t="s">
        <v>36</v>
      </c>
      <c r="V410" t="s">
        <v>36</v>
      </c>
      <c r="W410" t="s">
        <v>36</v>
      </c>
      <c r="X410" s="1">
        <v>42193.659722222219</v>
      </c>
      <c r="Y410" t="s">
        <v>36</v>
      </c>
      <c r="Z410" t="s">
        <v>36</v>
      </c>
      <c r="AA410" t="s">
        <v>36</v>
      </c>
      <c r="AB410" t="s">
        <v>36</v>
      </c>
      <c r="AC410" t="s">
        <v>36</v>
      </c>
      <c r="AD410" t="s">
        <v>36</v>
      </c>
      <c r="AE410" t="s">
        <v>36</v>
      </c>
      <c r="AF410" s="1">
        <v>42058.680555555555</v>
      </c>
      <c r="AG410" s="32">
        <v>43040</v>
      </c>
      <c r="AH410" t="s">
        <v>36</v>
      </c>
      <c r="AI410" s="1">
        <v>41426</v>
      </c>
      <c r="AJ410" s="1">
        <v>43059.576388888891</v>
      </c>
    </row>
    <row r="411" spans="1:36" x14ac:dyDescent="0.35">
      <c r="A411">
        <v>403</v>
      </c>
      <c r="B411" t="s">
        <v>230</v>
      </c>
      <c r="C411" t="s">
        <v>36</v>
      </c>
      <c r="D411" t="s">
        <v>36</v>
      </c>
      <c r="E411" t="s">
        <v>36</v>
      </c>
      <c r="F411" t="s">
        <v>36</v>
      </c>
      <c r="G411" s="1">
        <v>41426</v>
      </c>
      <c r="H411" t="s">
        <v>36</v>
      </c>
      <c r="I411" t="s">
        <v>36</v>
      </c>
      <c r="J411" t="s">
        <v>36</v>
      </c>
      <c r="K411" t="s">
        <v>36</v>
      </c>
      <c r="L411" t="s">
        <v>36</v>
      </c>
      <c r="M411" t="s">
        <v>36</v>
      </c>
      <c r="N411" t="s">
        <v>36</v>
      </c>
      <c r="O411" t="s">
        <v>36</v>
      </c>
      <c r="P411" s="1">
        <v>43059.576388888891</v>
      </c>
      <c r="Q411" t="s">
        <v>36</v>
      </c>
      <c r="R411" t="s">
        <v>36</v>
      </c>
      <c r="S411" t="s">
        <v>36</v>
      </c>
      <c r="T411" s="1">
        <v>42528.291666666664</v>
      </c>
      <c r="U411" t="s">
        <v>36</v>
      </c>
      <c r="V411" t="s">
        <v>36</v>
      </c>
      <c r="W411" t="s">
        <v>36</v>
      </c>
      <c r="X411" t="s">
        <v>36</v>
      </c>
      <c r="Y411" t="s">
        <v>36</v>
      </c>
      <c r="Z411" t="s">
        <v>36</v>
      </c>
      <c r="AA411" t="s">
        <v>36</v>
      </c>
      <c r="AB411" t="s">
        <v>36</v>
      </c>
      <c r="AC411" t="s">
        <v>36</v>
      </c>
      <c r="AD411" t="s">
        <v>36</v>
      </c>
      <c r="AE411" t="s">
        <v>36</v>
      </c>
      <c r="AF411" s="1">
        <v>42058.680555555555</v>
      </c>
      <c r="AG411" s="32">
        <v>43040</v>
      </c>
      <c r="AH411" t="s">
        <v>36</v>
      </c>
      <c r="AI411" s="1">
        <v>41426</v>
      </c>
      <c r="AJ411" s="1">
        <v>43059.576388888891</v>
      </c>
    </row>
    <row r="412" spans="1:36" x14ac:dyDescent="0.35">
      <c r="A412">
        <v>402</v>
      </c>
      <c r="B412" t="s">
        <v>229</v>
      </c>
      <c r="C412" t="s">
        <v>36</v>
      </c>
      <c r="D412" t="s">
        <v>36</v>
      </c>
      <c r="E412" t="s">
        <v>36</v>
      </c>
      <c r="F412" t="s">
        <v>36</v>
      </c>
      <c r="G412" s="1">
        <v>41426</v>
      </c>
      <c r="H412" t="s">
        <v>36</v>
      </c>
      <c r="I412" t="s">
        <v>36</v>
      </c>
      <c r="J412" t="s">
        <v>36</v>
      </c>
      <c r="K412" t="s">
        <v>36</v>
      </c>
      <c r="L412" t="s">
        <v>36</v>
      </c>
      <c r="M412" t="s">
        <v>36</v>
      </c>
      <c r="N412" t="s">
        <v>36</v>
      </c>
      <c r="O412" t="s">
        <v>36</v>
      </c>
      <c r="P412" s="1">
        <v>43059.576388888891</v>
      </c>
      <c r="Q412" t="s">
        <v>36</v>
      </c>
      <c r="R412" t="s">
        <v>36</v>
      </c>
      <c r="S412" t="s">
        <v>36</v>
      </c>
      <c r="T412" s="1">
        <v>42528.291666666664</v>
      </c>
      <c r="U412" t="s">
        <v>36</v>
      </c>
      <c r="V412" t="s">
        <v>36</v>
      </c>
      <c r="W412" t="s">
        <v>36</v>
      </c>
      <c r="X412" t="s">
        <v>36</v>
      </c>
      <c r="Y412" t="s">
        <v>36</v>
      </c>
      <c r="Z412" t="s">
        <v>36</v>
      </c>
      <c r="AA412" t="s">
        <v>36</v>
      </c>
      <c r="AB412" t="s">
        <v>36</v>
      </c>
      <c r="AC412" t="s">
        <v>36</v>
      </c>
      <c r="AD412" t="s">
        <v>36</v>
      </c>
      <c r="AE412" t="s">
        <v>36</v>
      </c>
      <c r="AF412" s="1">
        <v>42058.680555555555</v>
      </c>
      <c r="AG412" s="32">
        <v>43040</v>
      </c>
      <c r="AH412" t="s">
        <v>36</v>
      </c>
      <c r="AI412" s="1">
        <v>41426</v>
      </c>
      <c r="AJ412" s="1">
        <v>43059.576388888891</v>
      </c>
    </row>
    <row r="413" spans="1:36" x14ac:dyDescent="0.35">
      <c r="A413">
        <v>400</v>
      </c>
      <c r="B413" t="s">
        <v>227</v>
      </c>
      <c r="C413" t="s">
        <v>36</v>
      </c>
      <c r="D413" t="s">
        <v>36</v>
      </c>
      <c r="E413" t="s">
        <v>36</v>
      </c>
      <c r="F413" t="s">
        <v>36</v>
      </c>
      <c r="G413" s="1">
        <v>41426</v>
      </c>
      <c r="H413" t="s">
        <v>36</v>
      </c>
      <c r="I413" t="s">
        <v>36</v>
      </c>
      <c r="J413" t="s">
        <v>36</v>
      </c>
      <c r="K413" t="s">
        <v>36</v>
      </c>
      <c r="L413" t="s">
        <v>36</v>
      </c>
      <c r="M413" t="s">
        <v>36</v>
      </c>
      <c r="N413" t="s">
        <v>36</v>
      </c>
      <c r="O413" t="s">
        <v>36</v>
      </c>
      <c r="P413" s="1">
        <v>43059.576388888891</v>
      </c>
      <c r="Q413" t="s">
        <v>36</v>
      </c>
      <c r="R413" t="s">
        <v>36</v>
      </c>
      <c r="S413" t="s">
        <v>36</v>
      </c>
      <c r="T413" s="1">
        <v>42528.291666666664</v>
      </c>
      <c r="U413" t="s">
        <v>36</v>
      </c>
      <c r="V413" t="s">
        <v>36</v>
      </c>
      <c r="W413" t="s">
        <v>36</v>
      </c>
      <c r="X413" t="s">
        <v>36</v>
      </c>
      <c r="Y413" t="s">
        <v>36</v>
      </c>
      <c r="Z413" t="s">
        <v>36</v>
      </c>
      <c r="AA413" t="s">
        <v>36</v>
      </c>
      <c r="AB413" t="s">
        <v>36</v>
      </c>
      <c r="AC413" t="s">
        <v>36</v>
      </c>
      <c r="AD413" t="s">
        <v>36</v>
      </c>
      <c r="AE413" t="s">
        <v>36</v>
      </c>
      <c r="AF413" s="1">
        <v>42058.680555555555</v>
      </c>
      <c r="AG413" s="32">
        <v>43040</v>
      </c>
      <c r="AH413" t="s">
        <v>36</v>
      </c>
      <c r="AI413" s="1">
        <v>41426</v>
      </c>
      <c r="AJ413" s="1">
        <v>43059.576388888891</v>
      </c>
    </row>
    <row r="414" spans="1:36" x14ac:dyDescent="0.35">
      <c r="A414">
        <v>401</v>
      </c>
      <c r="B414" t="s">
        <v>228</v>
      </c>
      <c r="C414" t="s">
        <v>36</v>
      </c>
      <c r="D414" t="s">
        <v>36</v>
      </c>
      <c r="E414" t="s">
        <v>36</v>
      </c>
      <c r="F414" t="s">
        <v>36</v>
      </c>
      <c r="G414" s="1">
        <v>41426</v>
      </c>
      <c r="H414" t="s">
        <v>36</v>
      </c>
      <c r="I414" t="s">
        <v>36</v>
      </c>
      <c r="J414" t="s">
        <v>36</v>
      </c>
      <c r="K414" t="s">
        <v>36</v>
      </c>
      <c r="L414" t="s">
        <v>36</v>
      </c>
      <c r="M414" t="s">
        <v>36</v>
      </c>
      <c r="N414" t="s">
        <v>36</v>
      </c>
      <c r="O414" t="s">
        <v>36</v>
      </c>
      <c r="P414" s="1">
        <v>43059.576388888891</v>
      </c>
      <c r="Q414" t="s">
        <v>36</v>
      </c>
      <c r="R414" t="s">
        <v>36</v>
      </c>
      <c r="S414" t="s">
        <v>36</v>
      </c>
      <c r="T414" s="1">
        <v>42528.291666666664</v>
      </c>
      <c r="U414" t="s">
        <v>36</v>
      </c>
      <c r="V414" t="s">
        <v>36</v>
      </c>
      <c r="W414" t="s">
        <v>36</v>
      </c>
      <c r="X414" t="s">
        <v>36</v>
      </c>
      <c r="Y414" t="s">
        <v>36</v>
      </c>
      <c r="Z414" t="s">
        <v>36</v>
      </c>
      <c r="AA414" t="s">
        <v>36</v>
      </c>
      <c r="AB414" t="s">
        <v>36</v>
      </c>
      <c r="AC414" t="s">
        <v>36</v>
      </c>
      <c r="AD414" t="s">
        <v>36</v>
      </c>
      <c r="AE414" t="s">
        <v>36</v>
      </c>
      <c r="AF414" s="1">
        <v>42058.680555555555</v>
      </c>
      <c r="AG414" s="32">
        <v>43040</v>
      </c>
      <c r="AH414" t="s">
        <v>36</v>
      </c>
      <c r="AI414" s="1">
        <v>41426</v>
      </c>
      <c r="AJ414" s="1">
        <v>43059.576388888891</v>
      </c>
    </row>
    <row r="415" spans="1:36" x14ac:dyDescent="0.35">
      <c r="A415">
        <v>1676</v>
      </c>
      <c r="B415" t="s">
        <v>274</v>
      </c>
      <c r="C415" t="s">
        <v>36</v>
      </c>
      <c r="D415" t="s">
        <v>36</v>
      </c>
      <c r="E415" t="s">
        <v>36</v>
      </c>
      <c r="F415" t="s">
        <v>36</v>
      </c>
      <c r="G415" t="s">
        <v>36</v>
      </c>
      <c r="H415" t="s">
        <v>36</v>
      </c>
      <c r="I415" t="s">
        <v>36</v>
      </c>
      <c r="J415" t="s">
        <v>36</v>
      </c>
      <c r="K415" t="s">
        <v>36</v>
      </c>
      <c r="L415" t="s">
        <v>36</v>
      </c>
      <c r="M415" t="s">
        <v>36</v>
      </c>
      <c r="N415" t="s">
        <v>36</v>
      </c>
      <c r="O415" t="s">
        <v>36</v>
      </c>
      <c r="P415" t="s">
        <v>36</v>
      </c>
      <c r="Q415" t="s">
        <v>36</v>
      </c>
      <c r="R415" t="s">
        <v>36</v>
      </c>
      <c r="S415" t="s">
        <v>36</v>
      </c>
      <c r="T415" t="s">
        <v>36</v>
      </c>
      <c r="U415" t="s">
        <v>36</v>
      </c>
      <c r="V415" t="s">
        <v>36</v>
      </c>
      <c r="W415" t="s">
        <v>36</v>
      </c>
      <c r="X415" t="s">
        <v>36</v>
      </c>
      <c r="Y415" t="s">
        <v>36</v>
      </c>
      <c r="Z415" t="s">
        <v>36</v>
      </c>
      <c r="AA415" t="s">
        <v>36</v>
      </c>
      <c r="AB415" t="s">
        <v>36</v>
      </c>
      <c r="AC415" t="s">
        <v>36</v>
      </c>
      <c r="AD415" t="s">
        <v>36</v>
      </c>
      <c r="AE415" t="s">
        <v>36</v>
      </c>
      <c r="AF415" t="s">
        <v>36</v>
      </c>
      <c r="AG415" t="s">
        <v>36</v>
      </c>
      <c r="AH415" t="s">
        <v>36</v>
      </c>
      <c r="AI415" t="s">
        <v>36</v>
      </c>
      <c r="AJ415" t="s">
        <v>36</v>
      </c>
    </row>
    <row r="416" spans="1:36" x14ac:dyDescent="0.35">
      <c r="A416">
        <v>126</v>
      </c>
      <c r="B416" t="s">
        <v>117</v>
      </c>
      <c r="C416" t="s">
        <v>36</v>
      </c>
      <c r="D416" s="1">
        <v>42486.298611111109</v>
      </c>
      <c r="E416" t="s">
        <v>36</v>
      </c>
      <c r="F416" t="s">
        <v>36</v>
      </c>
      <c r="G416" t="s">
        <v>36</v>
      </c>
      <c r="H416" t="s">
        <v>36</v>
      </c>
      <c r="I416" t="s">
        <v>36</v>
      </c>
      <c r="J416" t="s">
        <v>36</v>
      </c>
      <c r="K416" t="s">
        <v>36</v>
      </c>
      <c r="L416" t="s">
        <v>36</v>
      </c>
      <c r="M416" t="s">
        <v>36</v>
      </c>
      <c r="N416" t="s">
        <v>36</v>
      </c>
      <c r="O416" s="1">
        <v>42376.743055555555</v>
      </c>
      <c r="P416" t="s">
        <v>36</v>
      </c>
      <c r="Q416" t="s">
        <v>36</v>
      </c>
      <c r="R416" t="s">
        <v>36</v>
      </c>
      <c r="S416" t="s">
        <v>36</v>
      </c>
      <c r="T416" t="s">
        <v>36</v>
      </c>
      <c r="U416" t="s">
        <v>36</v>
      </c>
      <c r="V416" t="s">
        <v>36</v>
      </c>
      <c r="W416" t="s">
        <v>36</v>
      </c>
      <c r="X416" t="s">
        <v>36</v>
      </c>
      <c r="Y416" t="s">
        <v>36</v>
      </c>
      <c r="Z416" t="s">
        <v>36</v>
      </c>
      <c r="AA416" t="s">
        <v>36</v>
      </c>
      <c r="AB416" t="s">
        <v>36</v>
      </c>
      <c r="AC416" t="s">
        <v>36</v>
      </c>
      <c r="AD416" t="s">
        <v>36</v>
      </c>
      <c r="AE416" t="s">
        <v>36</v>
      </c>
      <c r="AF416" t="s">
        <v>36</v>
      </c>
      <c r="AG416" t="s">
        <v>36</v>
      </c>
      <c r="AH416" t="s">
        <v>36</v>
      </c>
      <c r="AI416" t="s">
        <v>36</v>
      </c>
      <c r="AJ416" t="s">
        <v>36</v>
      </c>
    </row>
    <row r="417" spans="1:36" x14ac:dyDescent="0.35">
      <c r="A417">
        <v>4296</v>
      </c>
      <c r="B417" t="s">
        <v>1107</v>
      </c>
      <c r="C417" t="s">
        <v>36</v>
      </c>
      <c r="D417" s="1">
        <v>43856.5</v>
      </c>
      <c r="E417" t="s">
        <v>36</v>
      </c>
      <c r="F417" t="s">
        <v>36</v>
      </c>
      <c r="G417" t="s">
        <v>36</v>
      </c>
      <c r="H417" t="s">
        <v>36</v>
      </c>
      <c r="I417" t="s">
        <v>36</v>
      </c>
      <c r="J417" t="s">
        <v>36</v>
      </c>
      <c r="K417" t="s">
        <v>36</v>
      </c>
      <c r="L417" t="s">
        <v>36</v>
      </c>
      <c r="M417" t="s">
        <v>36</v>
      </c>
      <c r="N417" t="s">
        <v>36</v>
      </c>
      <c r="O417" s="1">
        <v>43856.5</v>
      </c>
      <c r="P417" t="s">
        <v>36</v>
      </c>
      <c r="Q417" t="s">
        <v>36</v>
      </c>
      <c r="R417" t="s">
        <v>36</v>
      </c>
      <c r="S417" t="s">
        <v>36</v>
      </c>
      <c r="T417" t="s">
        <v>36</v>
      </c>
      <c r="U417" t="s">
        <v>36</v>
      </c>
      <c r="V417" t="s">
        <v>36</v>
      </c>
      <c r="W417" t="s">
        <v>36</v>
      </c>
      <c r="X417" t="s">
        <v>36</v>
      </c>
      <c r="Y417" t="s">
        <v>36</v>
      </c>
      <c r="Z417" t="s">
        <v>36</v>
      </c>
      <c r="AA417" t="s">
        <v>36</v>
      </c>
      <c r="AB417" t="s">
        <v>36</v>
      </c>
      <c r="AC417" t="s">
        <v>36</v>
      </c>
      <c r="AD417" t="s">
        <v>36</v>
      </c>
      <c r="AE417" t="s">
        <v>36</v>
      </c>
      <c r="AF417" t="s">
        <v>36</v>
      </c>
      <c r="AG417" t="s">
        <v>36</v>
      </c>
      <c r="AH417" t="s">
        <v>36</v>
      </c>
      <c r="AI417" t="s">
        <v>36</v>
      </c>
      <c r="AJ417" t="s">
        <v>36</v>
      </c>
    </row>
    <row r="418" spans="1:36" x14ac:dyDescent="0.35">
      <c r="A418">
        <v>4297</v>
      </c>
      <c r="B418" t="s">
        <v>1108</v>
      </c>
      <c r="C418" t="s">
        <v>36</v>
      </c>
      <c r="D418" s="1">
        <v>43856.5</v>
      </c>
      <c r="E418" t="s">
        <v>36</v>
      </c>
      <c r="F418" t="s">
        <v>36</v>
      </c>
      <c r="G418" t="s">
        <v>36</v>
      </c>
      <c r="H418" t="s">
        <v>36</v>
      </c>
      <c r="I418" t="s">
        <v>36</v>
      </c>
      <c r="J418" t="s">
        <v>36</v>
      </c>
      <c r="K418" t="s">
        <v>36</v>
      </c>
      <c r="L418" t="s">
        <v>36</v>
      </c>
      <c r="M418" t="s">
        <v>36</v>
      </c>
      <c r="N418" t="s">
        <v>36</v>
      </c>
      <c r="O418" s="1">
        <v>43856.5</v>
      </c>
      <c r="P418" t="s">
        <v>36</v>
      </c>
      <c r="Q418" t="s">
        <v>36</v>
      </c>
      <c r="R418" t="s">
        <v>36</v>
      </c>
      <c r="S418" t="s">
        <v>36</v>
      </c>
      <c r="T418" t="s">
        <v>36</v>
      </c>
      <c r="U418" t="s">
        <v>36</v>
      </c>
      <c r="V418" t="s">
        <v>36</v>
      </c>
      <c r="W418" t="s">
        <v>36</v>
      </c>
      <c r="X418" t="s">
        <v>36</v>
      </c>
      <c r="Y418" t="s">
        <v>36</v>
      </c>
      <c r="Z418" t="s">
        <v>36</v>
      </c>
      <c r="AA418" t="s">
        <v>36</v>
      </c>
      <c r="AB418" t="s">
        <v>36</v>
      </c>
      <c r="AC418" t="s">
        <v>36</v>
      </c>
      <c r="AD418" t="s">
        <v>36</v>
      </c>
      <c r="AE418" t="s">
        <v>36</v>
      </c>
      <c r="AF418" t="s">
        <v>36</v>
      </c>
      <c r="AG418" t="s">
        <v>36</v>
      </c>
      <c r="AH418" t="s">
        <v>36</v>
      </c>
      <c r="AI418" t="s">
        <v>36</v>
      </c>
      <c r="AJ418" t="s">
        <v>36</v>
      </c>
    </row>
    <row r="419" spans="1:36" x14ac:dyDescent="0.35">
      <c r="A419">
        <v>4298</v>
      </c>
      <c r="B419" t="s">
        <v>1109</v>
      </c>
      <c r="C419" t="s">
        <v>36</v>
      </c>
      <c r="D419" s="1">
        <v>43856.5</v>
      </c>
      <c r="E419" t="s">
        <v>36</v>
      </c>
      <c r="F419" t="s">
        <v>36</v>
      </c>
      <c r="G419" t="s">
        <v>36</v>
      </c>
      <c r="H419" t="s">
        <v>36</v>
      </c>
      <c r="I419" t="s">
        <v>36</v>
      </c>
      <c r="J419" t="s">
        <v>36</v>
      </c>
      <c r="K419" t="s">
        <v>36</v>
      </c>
      <c r="L419" t="s">
        <v>36</v>
      </c>
      <c r="M419" t="s">
        <v>36</v>
      </c>
      <c r="N419" t="s">
        <v>36</v>
      </c>
      <c r="O419" s="1">
        <v>43856.5</v>
      </c>
      <c r="P419" t="s">
        <v>36</v>
      </c>
      <c r="Q419" t="s">
        <v>36</v>
      </c>
      <c r="R419" t="s">
        <v>36</v>
      </c>
      <c r="S419" t="s">
        <v>36</v>
      </c>
      <c r="T419" t="s">
        <v>36</v>
      </c>
      <c r="U419" t="s">
        <v>36</v>
      </c>
      <c r="V419" t="s">
        <v>36</v>
      </c>
      <c r="W419" t="s">
        <v>36</v>
      </c>
      <c r="X419" t="s">
        <v>36</v>
      </c>
      <c r="Y419" t="s">
        <v>36</v>
      </c>
      <c r="Z419" t="s">
        <v>36</v>
      </c>
      <c r="AA419" t="s">
        <v>36</v>
      </c>
      <c r="AB419" t="s">
        <v>36</v>
      </c>
      <c r="AC419" t="s">
        <v>36</v>
      </c>
      <c r="AD419" t="s">
        <v>36</v>
      </c>
      <c r="AE419" t="s">
        <v>36</v>
      </c>
      <c r="AF419" t="s">
        <v>36</v>
      </c>
      <c r="AG419" t="s">
        <v>36</v>
      </c>
      <c r="AH419" t="s">
        <v>36</v>
      </c>
      <c r="AI419" t="s">
        <v>36</v>
      </c>
      <c r="AJ419" t="s">
        <v>36</v>
      </c>
    </row>
    <row r="420" spans="1:36" x14ac:dyDescent="0.35">
      <c r="A420">
        <v>127</v>
      </c>
      <c r="B420" t="s">
        <v>118</v>
      </c>
      <c r="C420" t="s">
        <v>36</v>
      </c>
      <c r="D420" s="1">
        <v>42486.298611111109</v>
      </c>
      <c r="E420" t="s">
        <v>36</v>
      </c>
      <c r="F420" t="s">
        <v>36</v>
      </c>
      <c r="G420" t="s">
        <v>36</v>
      </c>
      <c r="H420" t="s">
        <v>36</v>
      </c>
      <c r="I420" t="s">
        <v>36</v>
      </c>
      <c r="J420" t="s">
        <v>36</v>
      </c>
      <c r="K420" t="s">
        <v>36</v>
      </c>
      <c r="L420" t="s">
        <v>36</v>
      </c>
      <c r="M420" t="s">
        <v>36</v>
      </c>
      <c r="N420" t="s">
        <v>36</v>
      </c>
      <c r="O420" s="1">
        <v>42376.743055555555</v>
      </c>
      <c r="P420" t="s">
        <v>36</v>
      </c>
      <c r="Q420" t="s">
        <v>36</v>
      </c>
      <c r="R420" t="s">
        <v>36</v>
      </c>
      <c r="S420" t="s">
        <v>36</v>
      </c>
      <c r="T420" t="s">
        <v>36</v>
      </c>
      <c r="U420" t="s">
        <v>36</v>
      </c>
      <c r="V420" t="s">
        <v>36</v>
      </c>
      <c r="W420" t="s">
        <v>36</v>
      </c>
      <c r="X420" t="s">
        <v>36</v>
      </c>
      <c r="Y420" t="s">
        <v>36</v>
      </c>
      <c r="Z420" t="s">
        <v>36</v>
      </c>
      <c r="AA420" t="s">
        <v>36</v>
      </c>
      <c r="AB420" t="s">
        <v>36</v>
      </c>
      <c r="AC420" t="s">
        <v>36</v>
      </c>
      <c r="AD420" t="s">
        <v>36</v>
      </c>
      <c r="AE420" t="s">
        <v>36</v>
      </c>
      <c r="AF420" t="s">
        <v>36</v>
      </c>
      <c r="AG420" t="s">
        <v>36</v>
      </c>
      <c r="AH420" t="s">
        <v>36</v>
      </c>
      <c r="AI420" t="s">
        <v>36</v>
      </c>
      <c r="AJ420" t="s">
        <v>36</v>
      </c>
    </row>
    <row r="421" spans="1:36" x14ac:dyDescent="0.35">
      <c r="A421">
        <v>4299</v>
      </c>
      <c r="B421" t="s">
        <v>1110</v>
      </c>
      <c r="C421" t="s">
        <v>36</v>
      </c>
      <c r="D421" s="1">
        <v>43856.5</v>
      </c>
      <c r="E421" t="s">
        <v>36</v>
      </c>
      <c r="F421" t="s">
        <v>36</v>
      </c>
      <c r="G421" t="s">
        <v>36</v>
      </c>
      <c r="H421" t="s">
        <v>36</v>
      </c>
      <c r="I421" t="s">
        <v>36</v>
      </c>
      <c r="J421" t="s">
        <v>36</v>
      </c>
      <c r="K421" t="s">
        <v>36</v>
      </c>
      <c r="L421" t="s">
        <v>36</v>
      </c>
      <c r="M421" t="s">
        <v>36</v>
      </c>
      <c r="N421" t="s">
        <v>36</v>
      </c>
      <c r="O421" s="1">
        <v>43856.5</v>
      </c>
      <c r="P421" t="s">
        <v>36</v>
      </c>
      <c r="Q421" t="s">
        <v>36</v>
      </c>
      <c r="R421" t="s">
        <v>36</v>
      </c>
      <c r="S421" t="s">
        <v>36</v>
      </c>
      <c r="T421" t="s">
        <v>36</v>
      </c>
      <c r="U421" t="s">
        <v>36</v>
      </c>
      <c r="V421" t="s">
        <v>36</v>
      </c>
      <c r="W421" t="s">
        <v>36</v>
      </c>
      <c r="X421" t="s">
        <v>36</v>
      </c>
      <c r="Y421" t="s">
        <v>36</v>
      </c>
      <c r="Z421" t="s">
        <v>36</v>
      </c>
      <c r="AA421" t="s">
        <v>36</v>
      </c>
      <c r="AB421" t="s">
        <v>36</v>
      </c>
      <c r="AC421" t="s">
        <v>36</v>
      </c>
      <c r="AD421" t="s">
        <v>36</v>
      </c>
      <c r="AE421" t="s">
        <v>36</v>
      </c>
      <c r="AF421" t="s">
        <v>36</v>
      </c>
      <c r="AG421" t="s">
        <v>36</v>
      </c>
      <c r="AH421" t="s">
        <v>36</v>
      </c>
      <c r="AI421" t="s">
        <v>36</v>
      </c>
      <c r="AJ421" t="s">
        <v>36</v>
      </c>
    </row>
    <row r="422" spans="1:36" x14ac:dyDescent="0.35">
      <c r="A422">
        <v>4300</v>
      </c>
      <c r="B422" t="s">
        <v>1111</v>
      </c>
      <c r="C422" t="s">
        <v>36</v>
      </c>
      <c r="D422" s="1">
        <v>43856.5</v>
      </c>
      <c r="E422" t="s">
        <v>36</v>
      </c>
      <c r="F422" t="s">
        <v>36</v>
      </c>
      <c r="G422" t="s">
        <v>36</v>
      </c>
      <c r="H422" t="s">
        <v>36</v>
      </c>
      <c r="I422" t="s">
        <v>36</v>
      </c>
      <c r="J422" t="s">
        <v>36</v>
      </c>
      <c r="K422" t="s">
        <v>36</v>
      </c>
      <c r="L422" t="s">
        <v>36</v>
      </c>
      <c r="M422" t="s">
        <v>36</v>
      </c>
      <c r="N422" t="s">
        <v>36</v>
      </c>
      <c r="O422" s="1">
        <v>43856.5</v>
      </c>
      <c r="P422" t="s">
        <v>36</v>
      </c>
      <c r="Q422" t="s">
        <v>36</v>
      </c>
      <c r="R422" t="s">
        <v>36</v>
      </c>
      <c r="S422" t="s">
        <v>36</v>
      </c>
      <c r="T422" t="s">
        <v>36</v>
      </c>
      <c r="U422" t="s">
        <v>36</v>
      </c>
      <c r="V422" t="s">
        <v>36</v>
      </c>
      <c r="W422" t="s">
        <v>36</v>
      </c>
      <c r="X422" t="s">
        <v>36</v>
      </c>
      <c r="Y422" t="s">
        <v>36</v>
      </c>
      <c r="Z422" t="s">
        <v>36</v>
      </c>
      <c r="AA422" t="s">
        <v>36</v>
      </c>
      <c r="AB422" t="s">
        <v>36</v>
      </c>
      <c r="AC422" t="s">
        <v>36</v>
      </c>
      <c r="AD422" t="s">
        <v>36</v>
      </c>
      <c r="AE422" t="s">
        <v>36</v>
      </c>
      <c r="AF422" t="s">
        <v>36</v>
      </c>
      <c r="AG422" t="s">
        <v>36</v>
      </c>
      <c r="AH422" t="s">
        <v>36</v>
      </c>
      <c r="AI422" t="s">
        <v>36</v>
      </c>
      <c r="AJ422" t="s">
        <v>36</v>
      </c>
    </row>
    <row r="423" spans="1:36" x14ac:dyDescent="0.35">
      <c r="A423">
        <v>4301</v>
      </c>
      <c r="B423" t="s">
        <v>1112</v>
      </c>
      <c r="C423" t="s">
        <v>36</v>
      </c>
      <c r="D423" s="1">
        <v>43856.5</v>
      </c>
      <c r="E423" t="s">
        <v>36</v>
      </c>
      <c r="F423" t="s">
        <v>36</v>
      </c>
      <c r="G423" t="s">
        <v>36</v>
      </c>
      <c r="H423" t="s">
        <v>36</v>
      </c>
      <c r="I423" t="s">
        <v>36</v>
      </c>
      <c r="J423" t="s">
        <v>36</v>
      </c>
      <c r="K423" t="s">
        <v>36</v>
      </c>
      <c r="L423" t="s">
        <v>36</v>
      </c>
      <c r="M423" t="s">
        <v>36</v>
      </c>
      <c r="N423" t="s">
        <v>36</v>
      </c>
      <c r="O423" s="1">
        <v>43856.5</v>
      </c>
      <c r="P423" t="s">
        <v>36</v>
      </c>
      <c r="Q423" t="s">
        <v>36</v>
      </c>
      <c r="R423" t="s">
        <v>36</v>
      </c>
      <c r="S423" t="s">
        <v>36</v>
      </c>
      <c r="T423" t="s">
        <v>36</v>
      </c>
      <c r="U423" t="s">
        <v>36</v>
      </c>
      <c r="V423" t="s">
        <v>36</v>
      </c>
      <c r="W423" t="s">
        <v>36</v>
      </c>
      <c r="X423" t="s">
        <v>36</v>
      </c>
      <c r="Y423" t="s">
        <v>36</v>
      </c>
      <c r="Z423" t="s">
        <v>36</v>
      </c>
      <c r="AA423" t="s">
        <v>36</v>
      </c>
      <c r="AB423" t="s">
        <v>36</v>
      </c>
      <c r="AC423" t="s">
        <v>36</v>
      </c>
      <c r="AD423" t="s">
        <v>36</v>
      </c>
      <c r="AE423" t="s">
        <v>36</v>
      </c>
      <c r="AF423" t="s">
        <v>36</v>
      </c>
      <c r="AG423" t="s">
        <v>36</v>
      </c>
      <c r="AH423" t="s">
        <v>36</v>
      </c>
      <c r="AI423" t="s">
        <v>36</v>
      </c>
      <c r="AJ423" t="s">
        <v>36</v>
      </c>
    </row>
    <row r="424" spans="1:36" x14ac:dyDescent="0.35">
      <c r="A424">
        <v>128</v>
      </c>
      <c r="B424" t="s">
        <v>119</v>
      </c>
      <c r="C424" t="s">
        <v>36</v>
      </c>
      <c r="D424" s="1">
        <v>42486.298611111109</v>
      </c>
      <c r="E424" t="s">
        <v>36</v>
      </c>
      <c r="F424" t="s">
        <v>36</v>
      </c>
      <c r="G424" t="s">
        <v>36</v>
      </c>
      <c r="H424" t="s">
        <v>36</v>
      </c>
      <c r="I424" t="s">
        <v>36</v>
      </c>
      <c r="J424" t="s">
        <v>36</v>
      </c>
      <c r="K424" t="s">
        <v>36</v>
      </c>
      <c r="L424" t="s">
        <v>36</v>
      </c>
      <c r="M424" t="s">
        <v>36</v>
      </c>
      <c r="N424" t="s">
        <v>36</v>
      </c>
      <c r="O424" s="1">
        <v>42376.743055555555</v>
      </c>
      <c r="P424" t="s">
        <v>36</v>
      </c>
      <c r="Q424" t="s">
        <v>36</v>
      </c>
      <c r="R424" t="s">
        <v>36</v>
      </c>
      <c r="S424" t="s">
        <v>36</v>
      </c>
      <c r="T424" t="s">
        <v>36</v>
      </c>
      <c r="U424" t="s">
        <v>36</v>
      </c>
      <c r="V424" t="s">
        <v>36</v>
      </c>
      <c r="W424" t="s">
        <v>36</v>
      </c>
      <c r="X424" t="s">
        <v>36</v>
      </c>
      <c r="Y424" t="s">
        <v>36</v>
      </c>
      <c r="Z424" t="s">
        <v>36</v>
      </c>
      <c r="AA424" t="s">
        <v>36</v>
      </c>
      <c r="AB424" t="s">
        <v>36</v>
      </c>
      <c r="AC424" t="s">
        <v>36</v>
      </c>
      <c r="AD424" t="s">
        <v>36</v>
      </c>
      <c r="AE424" t="s">
        <v>36</v>
      </c>
      <c r="AF424" t="s">
        <v>36</v>
      </c>
      <c r="AG424" t="s">
        <v>36</v>
      </c>
      <c r="AH424" t="s">
        <v>36</v>
      </c>
      <c r="AI424" t="s">
        <v>36</v>
      </c>
      <c r="AJ424" t="s">
        <v>36</v>
      </c>
    </row>
    <row r="425" spans="1:36" x14ac:dyDescent="0.35">
      <c r="A425">
        <v>4302</v>
      </c>
      <c r="B425" t="s">
        <v>1113</v>
      </c>
      <c r="C425" t="s">
        <v>36</v>
      </c>
      <c r="D425" s="1">
        <v>43856.5</v>
      </c>
      <c r="E425" t="s">
        <v>36</v>
      </c>
      <c r="F425" t="s">
        <v>36</v>
      </c>
      <c r="G425" t="s">
        <v>36</v>
      </c>
      <c r="H425" t="s">
        <v>36</v>
      </c>
      <c r="I425" t="s">
        <v>36</v>
      </c>
      <c r="J425" t="s">
        <v>36</v>
      </c>
      <c r="K425" t="s">
        <v>36</v>
      </c>
      <c r="L425" t="s">
        <v>36</v>
      </c>
      <c r="M425" t="s">
        <v>36</v>
      </c>
      <c r="N425" t="s">
        <v>36</v>
      </c>
      <c r="O425" s="1">
        <v>43856.5</v>
      </c>
      <c r="P425" t="s">
        <v>36</v>
      </c>
      <c r="Q425" t="s">
        <v>36</v>
      </c>
      <c r="R425" t="s">
        <v>36</v>
      </c>
      <c r="S425" t="s">
        <v>36</v>
      </c>
      <c r="T425" t="s">
        <v>36</v>
      </c>
      <c r="U425" t="s">
        <v>36</v>
      </c>
      <c r="V425" t="s">
        <v>36</v>
      </c>
      <c r="W425" t="s">
        <v>36</v>
      </c>
      <c r="X425" t="s">
        <v>36</v>
      </c>
      <c r="Y425" t="s">
        <v>36</v>
      </c>
      <c r="Z425" t="s">
        <v>36</v>
      </c>
      <c r="AA425" t="s">
        <v>36</v>
      </c>
      <c r="AB425" t="s">
        <v>36</v>
      </c>
      <c r="AC425" t="s">
        <v>36</v>
      </c>
      <c r="AD425" t="s">
        <v>36</v>
      </c>
      <c r="AE425" t="s">
        <v>36</v>
      </c>
      <c r="AF425" t="s">
        <v>36</v>
      </c>
      <c r="AG425" t="s">
        <v>36</v>
      </c>
      <c r="AH425" t="s">
        <v>36</v>
      </c>
      <c r="AI425" t="s">
        <v>36</v>
      </c>
      <c r="AJ425" t="s">
        <v>36</v>
      </c>
    </row>
    <row r="426" spans="1:36" x14ac:dyDescent="0.35">
      <c r="A426">
        <v>4303</v>
      </c>
      <c r="B426" t="s">
        <v>1114</v>
      </c>
      <c r="C426" t="s">
        <v>36</v>
      </c>
      <c r="D426" s="1">
        <v>43856.5</v>
      </c>
      <c r="E426" t="s">
        <v>36</v>
      </c>
      <c r="F426" t="s">
        <v>36</v>
      </c>
      <c r="G426" t="s">
        <v>36</v>
      </c>
      <c r="H426" t="s">
        <v>36</v>
      </c>
      <c r="I426" t="s">
        <v>36</v>
      </c>
      <c r="J426" t="s">
        <v>36</v>
      </c>
      <c r="K426" t="s">
        <v>36</v>
      </c>
      <c r="L426" t="s">
        <v>36</v>
      </c>
      <c r="M426" t="s">
        <v>36</v>
      </c>
      <c r="N426" t="s">
        <v>36</v>
      </c>
      <c r="O426" s="1">
        <v>43856.5</v>
      </c>
      <c r="P426" t="s">
        <v>36</v>
      </c>
      <c r="Q426" t="s">
        <v>36</v>
      </c>
      <c r="R426" t="s">
        <v>36</v>
      </c>
      <c r="S426" t="s">
        <v>36</v>
      </c>
      <c r="T426" t="s">
        <v>36</v>
      </c>
      <c r="U426" t="s">
        <v>36</v>
      </c>
      <c r="V426" t="s">
        <v>36</v>
      </c>
      <c r="W426" t="s">
        <v>36</v>
      </c>
      <c r="X426" t="s">
        <v>36</v>
      </c>
      <c r="Y426" t="s">
        <v>36</v>
      </c>
      <c r="Z426" t="s">
        <v>36</v>
      </c>
      <c r="AA426" t="s">
        <v>36</v>
      </c>
      <c r="AB426" t="s">
        <v>36</v>
      </c>
      <c r="AC426" t="s">
        <v>36</v>
      </c>
      <c r="AD426" t="s">
        <v>36</v>
      </c>
      <c r="AE426" t="s">
        <v>36</v>
      </c>
      <c r="AF426" t="s">
        <v>36</v>
      </c>
      <c r="AG426" t="s">
        <v>36</v>
      </c>
      <c r="AH426" t="s">
        <v>36</v>
      </c>
      <c r="AI426" t="s">
        <v>36</v>
      </c>
      <c r="AJ426" t="s">
        <v>36</v>
      </c>
    </row>
    <row r="427" spans="1:36" x14ac:dyDescent="0.35">
      <c r="A427">
        <v>4304</v>
      </c>
      <c r="B427" t="s">
        <v>1115</v>
      </c>
      <c r="C427" t="s">
        <v>36</v>
      </c>
      <c r="D427" s="1">
        <v>43856.506944444445</v>
      </c>
      <c r="E427" t="s">
        <v>36</v>
      </c>
      <c r="F427" t="s">
        <v>36</v>
      </c>
      <c r="G427" t="s">
        <v>36</v>
      </c>
      <c r="H427" t="s">
        <v>36</v>
      </c>
      <c r="I427" t="s">
        <v>36</v>
      </c>
      <c r="J427" t="s">
        <v>36</v>
      </c>
      <c r="K427" t="s">
        <v>36</v>
      </c>
      <c r="L427" t="s">
        <v>36</v>
      </c>
      <c r="M427" t="s">
        <v>36</v>
      </c>
      <c r="N427" t="s">
        <v>36</v>
      </c>
      <c r="O427" s="1">
        <v>43856.506944444445</v>
      </c>
      <c r="P427" t="s">
        <v>36</v>
      </c>
      <c r="Q427" t="s">
        <v>36</v>
      </c>
      <c r="R427" t="s">
        <v>36</v>
      </c>
      <c r="S427" t="s">
        <v>36</v>
      </c>
      <c r="T427" t="s">
        <v>36</v>
      </c>
      <c r="U427" t="s">
        <v>36</v>
      </c>
      <c r="V427" t="s">
        <v>36</v>
      </c>
      <c r="W427" t="s">
        <v>36</v>
      </c>
      <c r="X427" t="s">
        <v>36</v>
      </c>
      <c r="Y427" t="s">
        <v>36</v>
      </c>
      <c r="Z427" t="s">
        <v>36</v>
      </c>
      <c r="AA427" t="s">
        <v>36</v>
      </c>
      <c r="AB427" t="s">
        <v>36</v>
      </c>
      <c r="AC427" t="s">
        <v>36</v>
      </c>
      <c r="AD427" t="s">
        <v>36</v>
      </c>
      <c r="AE427" t="s">
        <v>36</v>
      </c>
      <c r="AF427" t="s">
        <v>36</v>
      </c>
      <c r="AG427" t="s">
        <v>36</v>
      </c>
      <c r="AH427" t="s">
        <v>36</v>
      </c>
      <c r="AI427" t="s">
        <v>36</v>
      </c>
      <c r="AJ427" t="s">
        <v>36</v>
      </c>
    </row>
    <row r="428" spans="1:36" x14ac:dyDescent="0.35">
      <c r="A428">
        <v>452</v>
      </c>
      <c r="B428" t="s">
        <v>249</v>
      </c>
      <c r="C428" t="s">
        <v>36</v>
      </c>
      <c r="D428" t="s">
        <v>36</v>
      </c>
      <c r="E428" t="s">
        <v>36</v>
      </c>
      <c r="F428" t="s">
        <v>36</v>
      </c>
      <c r="G428" s="1">
        <v>41426</v>
      </c>
      <c r="H428" t="s">
        <v>36</v>
      </c>
      <c r="I428" t="s">
        <v>36</v>
      </c>
      <c r="J428" t="s">
        <v>36</v>
      </c>
      <c r="K428" t="s">
        <v>36</v>
      </c>
      <c r="L428" t="s">
        <v>36</v>
      </c>
      <c r="M428" t="s">
        <v>36</v>
      </c>
      <c r="N428" t="s">
        <v>36</v>
      </c>
      <c r="O428" t="s">
        <v>36</v>
      </c>
      <c r="P428" s="1">
        <v>43059.576388888891</v>
      </c>
      <c r="Q428" t="s">
        <v>36</v>
      </c>
      <c r="R428" t="s">
        <v>36</v>
      </c>
      <c r="S428" t="s">
        <v>36</v>
      </c>
      <c r="T428" s="1">
        <v>42528.291666666664</v>
      </c>
      <c r="U428" t="s">
        <v>36</v>
      </c>
      <c r="V428" t="s">
        <v>36</v>
      </c>
      <c r="W428" t="s">
        <v>36</v>
      </c>
      <c r="X428" t="s">
        <v>36</v>
      </c>
      <c r="Y428" t="s">
        <v>36</v>
      </c>
      <c r="Z428" t="s">
        <v>36</v>
      </c>
      <c r="AA428" t="s">
        <v>36</v>
      </c>
      <c r="AB428" t="s">
        <v>36</v>
      </c>
      <c r="AC428" t="s">
        <v>36</v>
      </c>
      <c r="AD428" t="s">
        <v>36</v>
      </c>
      <c r="AE428" t="s">
        <v>36</v>
      </c>
      <c r="AF428" s="1">
        <v>42058.680555555555</v>
      </c>
      <c r="AG428" t="s">
        <v>36</v>
      </c>
      <c r="AH428" t="s">
        <v>36</v>
      </c>
      <c r="AI428" s="1">
        <v>41426</v>
      </c>
      <c r="AJ428" s="1">
        <v>43059.576388888891</v>
      </c>
    </row>
    <row r="429" spans="1:36" x14ac:dyDescent="0.35">
      <c r="A429">
        <v>4272</v>
      </c>
      <c r="B429" t="s">
        <v>1095</v>
      </c>
      <c r="C429" t="s">
        <v>36</v>
      </c>
      <c r="D429" t="s">
        <v>36</v>
      </c>
      <c r="E429" t="s">
        <v>36</v>
      </c>
      <c r="F429" t="s">
        <v>36</v>
      </c>
      <c r="G429" s="1">
        <v>43530</v>
      </c>
      <c r="H429" t="s">
        <v>36</v>
      </c>
      <c r="I429" t="s">
        <v>36</v>
      </c>
      <c r="J429" t="s">
        <v>36</v>
      </c>
      <c r="K429" t="s">
        <v>36</v>
      </c>
      <c r="L429" t="s">
        <v>36</v>
      </c>
      <c r="M429" t="s">
        <v>36</v>
      </c>
      <c r="N429" t="s">
        <v>36</v>
      </c>
      <c r="O429" t="s">
        <v>36</v>
      </c>
      <c r="P429" s="1">
        <v>43559</v>
      </c>
      <c r="Q429" t="s">
        <v>36</v>
      </c>
      <c r="R429" t="s">
        <v>36</v>
      </c>
      <c r="S429" t="s">
        <v>36</v>
      </c>
      <c r="T429" s="1">
        <v>43557</v>
      </c>
      <c r="U429" t="s">
        <v>36</v>
      </c>
      <c r="V429" t="s">
        <v>36</v>
      </c>
      <c r="W429" t="s">
        <v>36</v>
      </c>
      <c r="X429" t="s">
        <v>36</v>
      </c>
      <c r="Y429" t="s">
        <v>36</v>
      </c>
      <c r="Z429" t="s">
        <v>36</v>
      </c>
      <c r="AA429" t="s">
        <v>36</v>
      </c>
      <c r="AB429" t="s">
        <v>36</v>
      </c>
      <c r="AC429" t="s">
        <v>36</v>
      </c>
      <c r="AD429" t="s">
        <v>36</v>
      </c>
      <c r="AE429" t="s">
        <v>36</v>
      </c>
      <c r="AF429" s="1">
        <v>43529</v>
      </c>
      <c r="AG429" t="s">
        <v>36</v>
      </c>
      <c r="AH429" t="s">
        <v>36</v>
      </c>
      <c r="AI429" s="1">
        <v>43530</v>
      </c>
      <c r="AJ429" s="1">
        <v>43528</v>
      </c>
    </row>
    <row r="430" spans="1:36" x14ac:dyDescent="0.35">
      <c r="A430">
        <v>4273</v>
      </c>
      <c r="B430" t="s">
        <v>1096</v>
      </c>
      <c r="C430" t="s">
        <v>36</v>
      </c>
      <c r="D430" t="s">
        <v>36</v>
      </c>
      <c r="E430" t="s">
        <v>36</v>
      </c>
      <c r="F430" t="s">
        <v>36</v>
      </c>
      <c r="G430" s="1">
        <v>43530</v>
      </c>
      <c r="H430" t="s">
        <v>36</v>
      </c>
      <c r="I430" t="s">
        <v>36</v>
      </c>
      <c r="J430" t="s">
        <v>36</v>
      </c>
      <c r="K430" t="s">
        <v>36</v>
      </c>
      <c r="L430" t="s">
        <v>36</v>
      </c>
      <c r="M430" t="s">
        <v>36</v>
      </c>
      <c r="N430" t="s">
        <v>36</v>
      </c>
      <c r="O430" t="s">
        <v>36</v>
      </c>
      <c r="P430" s="1">
        <v>43557</v>
      </c>
      <c r="Q430" t="s">
        <v>36</v>
      </c>
      <c r="R430" t="s">
        <v>36</v>
      </c>
      <c r="S430" t="s">
        <v>36</v>
      </c>
      <c r="T430" s="1">
        <v>43557</v>
      </c>
      <c r="U430" t="s">
        <v>36</v>
      </c>
      <c r="V430" t="s">
        <v>36</v>
      </c>
      <c r="W430" t="s">
        <v>36</v>
      </c>
      <c r="X430" t="s">
        <v>36</v>
      </c>
      <c r="Y430" t="s">
        <v>36</v>
      </c>
      <c r="Z430" t="s">
        <v>36</v>
      </c>
      <c r="AA430" t="s">
        <v>36</v>
      </c>
      <c r="AB430" t="s">
        <v>36</v>
      </c>
      <c r="AC430" t="s">
        <v>36</v>
      </c>
      <c r="AD430" t="s">
        <v>36</v>
      </c>
      <c r="AE430" t="s">
        <v>36</v>
      </c>
      <c r="AF430" s="1">
        <v>43529</v>
      </c>
      <c r="AG430" t="s">
        <v>36</v>
      </c>
      <c r="AH430" t="s">
        <v>36</v>
      </c>
      <c r="AI430" s="1">
        <v>43530</v>
      </c>
      <c r="AJ430" s="1">
        <v>43528</v>
      </c>
    </row>
    <row r="431" spans="1:36" x14ac:dyDescent="0.35">
      <c r="A431">
        <v>4274</v>
      </c>
      <c r="B431" t="s">
        <v>1097</v>
      </c>
      <c r="C431" t="s">
        <v>36</v>
      </c>
      <c r="D431" t="s">
        <v>36</v>
      </c>
      <c r="E431" t="s">
        <v>36</v>
      </c>
      <c r="F431" t="s">
        <v>36</v>
      </c>
      <c r="G431" s="1">
        <v>43530</v>
      </c>
      <c r="H431" t="s">
        <v>36</v>
      </c>
      <c r="I431" t="s">
        <v>36</v>
      </c>
      <c r="J431" t="s">
        <v>36</v>
      </c>
      <c r="K431" t="s">
        <v>36</v>
      </c>
      <c r="L431" t="s">
        <v>36</v>
      </c>
      <c r="M431" t="s">
        <v>36</v>
      </c>
      <c r="N431" t="s">
        <v>36</v>
      </c>
      <c r="O431" t="s">
        <v>36</v>
      </c>
      <c r="P431" s="1">
        <v>43557</v>
      </c>
      <c r="Q431" t="s">
        <v>36</v>
      </c>
      <c r="R431" t="s">
        <v>36</v>
      </c>
      <c r="S431" t="s">
        <v>36</v>
      </c>
      <c r="T431" s="1">
        <v>43557</v>
      </c>
      <c r="U431" t="s">
        <v>36</v>
      </c>
      <c r="V431" t="s">
        <v>36</v>
      </c>
      <c r="W431" t="s">
        <v>36</v>
      </c>
      <c r="X431" t="s">
        <v>36</v>
      </c>
      <c r="Y431" t="s">
        <v>36</v>
      </c>
      <c r="Z431" t="s">
        <v>36</v>
      </c>
      <c r="AA431" t="s">
        <v>36</v>
      </c>
      <c r="AB431" t="s">
        <v>36</v>
      </c>
      <c r="AC431" t="s">
        <v>36</v>
      </c>
      <c r="AD431" t="s">
        <v>36</v>
      </c>
      <c r="AE431" t="s">
        <v>36</v>
      </c>
      <c r="AF431" s="1">
        <v>43529</v>
      </c>
      <c r="AG431" t="s">
        <v>36</v>
      </c>
      <c r="AH431" t="s">
        <v>36</v>
      </c>
      <c r="AI431" s="1">
        <v>43530</v>
      </c>
      <c r="AJ431" s="1">
        <v>43528</v>
      </c>
    </row>
    <row r="432" spans="1:36" x14ac:dyDescent="0.35">
      <c r="A432">
        <v>453</v>
      </c>
      <c r="B432" t="s">
        <v>250</v>
      </c>
      <c r="C432" t="s">
        <v>36</v>
      </c>
      <c r="D432" t="s">
        <v>36</v>
      </c>
      <c r="E432" t="s">
        <v>36</v>
      </c>
      <c r="F432" t="s">
        <v>36</v>
      </c>
      <c r="G432" s="1">
        <v>41426</v>
      </c>
      <c r="H432" t="s">
        <v>36</v>
      </c>
      <c r="I432" t="s">
        <v>36</v>
      </c>
      <c r="J432" t="s">
        <v>36</v>
      </c>
      <c r="K432" t="s">
        <v>36</v>
      </c>
      <c r="L432" t="s">
        <v>36</v>
      </c>
      <c r="M432" t="s">
        <v>36</v>
      </c>
      <c r="N432" t="s">
        <v>36</v>
      </c>
      <c r="O432" t="s">
        <v>36</v>
      </c>
      <c r="P432" s="1">
        <v>43059.576388888891</v>
      </c>
      <c r="Q432" t="s">
        <v>36</v>
      </c>
      <c r="R432" t="s">
        <v>36</v>
      </c>
      <c r="S432" t="s">
        <v>36</v>
      </c>
      <c r="T432" s="1">
        <v>42528.291666666664</v>
      </c>
      <c r="U432" t="s">
        <v>36</v>
      </c>
      <c r="V432" t="s">
        <v>36</v>
      </c>
      <c r="W432" t="s">
        <v>36</v>
      </c>
      <c r="X432" t="s">
        <v>36</v>
      </c>
      <c r="Y432" t="s">
        <v>36</v>
      </c>
      <c r="Z432" t="s">
        <v>36</v>
      </c>
      <c r="AA432" t="s">
        <v>36</v>
      </c>
      <c r="AB432" t="s">
        <v>36</v>
      </c>
      <c r="AC432" t="s">
        <v>36</v>
      </c>
      <c r="AD432" t="s">
        <v>36</v>
      </c>
      <c r="AE432" t="s">
        <v>36</v>
      </c>
      <c r="AF432" s="1">
        <v>42058.680555555555</v>
      </c>
      <c r="AG432" t="s">
        <v>36</v>
      </c>
      <c r="AH432" t="s">
        <v>36</v>
      </c>
      <c r="AI432" s="1">
        <v>41426</v>
      </c>
      <c r="AJ432" s="1">
        <v>43059.576388888891</v>
      </c>
    </row>
    <row r="433" spans="1:36" x14ac:dyDescent="0.35">
      <c r="A433">
        <v>4275</v>
      </c>
      <c r="B433" t="s">
        <v>1098</v>
      </c>
      <c r="C433" t="s">
        <v>36</v>
      </c>
      <c r="D433" t="s">
        <v>36</v>
      </c>
      <c r="E433" t="s">
        <v>36</v>
      </c>
      <c r="F433" t="s">
        <v>36</v>
      </c>
      <c r="G433" s="1">
        <v>43530</v>
      </c>
      <c r="H433" t="s">
        <v>36</v>
      </c>
      <c r="I433" t="s">
        <v>36</v>
      </c>
      <c r="J433" t="s">
        <v>36</v>
      </c>
      <c r="K433" t="s">
        <v>36</v>
      </c>
      <c r="L433" t="s">
        <v>36</v>
      </c>
      <c r="M433" t="s">
        <v>36</v>
      </c>
      <c r="N433" t="s">
        <v>36</v>
      </c>
      <c r="O433" t="s">
        <v>36</v>
      </c>
      <c r="P433" s="1">
        <v>43559</v>
      </c>
      <c r="Q433" t="s">
        <v>36</v>
      </c>
      <c r="R433" t="s">
        <v>36</v>
      </c>
      <c r="S433" t="s">
        <v>36</v>
      </c>
      <c r="T433" s="1">
        <v>43557</v>
      </c>
      <c r="U433" t="s">
        <v>36</v>
      </c>
      <c r="V433" t="s">
        <v>36</v>
      </c>
      <c r="W433" t="s">
        <v>36</v>
      </c>
      <c r="X433" t="s">
        <v>36</v>
      </c>
      <c r="Y433" t="s">
        <v>36</v>
      </c>
      <c r="Z433" t="s">
        <v>36</v>
      </c>
      <c r="AA433" t="s">
        <v>36</v>
      </c>
      <c r="AB433" t="s">
        <v>36</v>
      </c>
      <c r="AC433" t="s">
        <v>36</v>
      </c>
      <c r="AD433" t="s">
        <v>36</v>
      </c>
      <c r="AE433" t="s">
        <v>36</v>
      </c>
      <c r="AF433" s="1">
        <v>43529</v>
      </c>
      <c r="AG433" t="s">
        <v>36</v>
      </c>
      <c r="AH433" t="s">
        <v>36</v>
      </c>
      <c r="AI433" s="1">
        <v>43530</v>
      </c>
      <c r="AJ433" s="1">
        <v>43528</v>
      </c>
    </row>
    <row r="434" spans="1:36" x14ac:dyDescent="0.35">
      <c r="A434">
        <v>4276</v>
      </c>
      <c r="B434" t="s">
        <v>1099</v>
      </c>
      <c r="C434" t="s">
        <v>36</v>
      </c>
      <c r="D434" t="s">
        <v>36</v>
      </c>
      <c r="E434" t="s">
        <v>36</v>
      </c>
      <c r="F434" t="s">
        <v>36</v>
      </c>
      <c r="G434" s="1">
        <v>43530</v>
      </c>
      <c r="H434" t="s">
        <v>36</v>
      </c>
      <c r="I434" t="s">
        <v>36</v>
      </c>
      <c r="J434" t="s">
        <v>36</v>
      </c>
      <c r="K434" t="s">
        <v>36</v>
      </c>
      <c r="L434" t="s">
        <v>36</v>
      </c>
      <c r="M434" t="s">
        <v>36</v>
      </c>
      <c r="N434" t="s">
        <v>36</v>
      </c>
      <c r="O434" t="s">
        <v>36</v>
      </c>
      <c r="P434" s="1">
        <v>43557</v>
      </c>
      <c r="Q434" t="s">
        <v>36</v>
      </c>
      <c r="R434" t="s">
        <v>36</v>
      </c>
      <c r="S434" t="s">
        <v>36</v>
      </c>
      <c r="T434" s="1">
        <v>43557</v>
      </c>
      <c r="U434" t="s">
        <v>36</v>
      </c>
      <c r="V434" t="s">
        <v>36</v>
      </c>
      <c r="W434" t="s">
        <v>36</v>
      </c>
      <c r="X434" t="s">
        <v>36</v>
      </c>
      <c r="Y434" t="s">
        <v>36</v>
      </c>
      <c r="Z434" t="s">
        <v>36</v>
      </c>
      <c r="AA434" t="s">
        <v>36</v>
      </c>
      <c r="AB434" t="s">
        <v>36</v>
      </c>
      <c r="AC434" t="s">
        <v>36</v>
      </c>
      <c r="AD434" t="s">
        <v>36</v>
      </c>
      <c r="AE434" t="s">
        <v>36</v>
      </c>
      <c r="AF434" s="1">
        <v>43529</v>
      </c>
      <c r="AG434" t="s">
        <v>36</v>
      </c>
      <c r="AH434" t="s">
        <v>36</v>
      </c>
      <c r="AI434" s="1">
        <v>43530</v>
      </c>
      <c r="AJ434" s="1">
        <v>43528</v>
      </c>
    </row>
    <row r="435" spans="1:36" x14ac:dyDescent="0.35">
      <c r="A435">
        <v>4277</v>
      </c>
      <c r="B435" t="s">
        <v>1100</v>
      </c>
      <c r="C435" t="s">
        <v>36</v>
      </c>
      <c r="D435" t="s">
        <v>36</v>
      </c>
      <c r="E435" t="s">
        <v>36</v>
      </c>
      <c r="F435" t="s">
        <v>36</v>
      </c>
      <c r="G435" s="1">
        <v>43530</v>
      </c>
      <c r="H435" t="s">
        <v>36</v>
      </c>
      <c r="I435" t="s">
        <v>36</v>
      </c>
      <c r="J435" t="s">
        <v>36</v>
      </c>
      <c r="K435" t="s">
        <v>36</v>
      </c>
      <c r="L435" t="s">
        <v>36</v>
      </c>
      <c r="M435" t="s">
        <v>36</v>
      </c>
      <c r="N435" t="s">
        <v>36</v>
      </c>
      <c r="O435" t="s">
        <v>36</v>
      </c>
      <c r="P435" s="1">
        <v>43557</v>
      </c>
      <c r="Q435" t="s">
        <v>36</v>
      </c>
      <c r="R435" t="s">
        <v>36</v>
      </c>
      <c r="S435" t="s">
        <v>36</v>
      </c>
      <c r="T435" s="1">
        <v>43557</v>
      </c>
      <c r="U435" t="s">
        <v>36</v>
      </c>
      <c r="V435" t="s">
        <v>36</v>
      </c>
      <c r="W435" t="s">
        <v>36</v>
      </c>
      <c r="X435" t="s">
        <v>36</v>
      </c>
      <c r="Y435" t="s">
        <v>36</v>
      </c>
      <c r="Z435" t="s">
        <v>36</v>
      </c>
      <c r="AA435" t="s">
        <v>36</v>
      </c>
      <c r="AB435" t="s">
        <v>36</v>
      </c>
      <c r="AC435" t="s">
        <v>36</v>
      </c>
      <c r="AD435" t="s">
        <v>36</v>
      </c>
      <c r="AE435" t="s">
        <v>36</v>
      </c>
      <c r="AF435" s="1">
        <v>43529</v>
      </c>
      <c r="AG435" t="s">
        <v>36</v>
      </c>
      <c r="AH435" t="s">
        <v>36</v>
      </c>
      <c r="AI435" s="1">
        <v>43530</v>
      </c>
      <c r="AJ435" s="1">
        <v>43528</v>
      </c>
    </row>
    <row r="436" spans="1:36" x14ac:dyDescent="0.35">
      <c r="A436">
        <v>454</v>
      </c>
      <c r="B436" t="s">
        <v>251</v>
      </c>
      <c r="C436" t="s">
        <v>36</v>
      </c>
      <c r="D436" t="s">
        <v>36</v>
      </c>
      <c r="E436" t="s">
        <v>36</v>
      </c>
      <c r="F436" t="s">
        <v>36</v>
      </c>
      <c r="G436" s="1">
        <v>41426</v>
      </c>
      <c r="H436" t="s">
        <v>36</v>
      </c>
      <c r="I436" t="s">
        <v>36</v>
      </c>
      <c r="J436" t="s">
        <v>36</v>
      </c>
      <c r="K436" t="s">
        <v>36</v>
      </c>
      <c r="L436" t="s">
        <v>36</v>
      </c>
      <c r="M436" t="s">
        <v>36</v>
      </c>
      <c r="N436" t="s">
        <v>36</v>
      </c>
      <c r="O436" t="s">
        <v>36</v>
      </c>
      <c r="P436" s="1">
        <v>43059.576388888891</v>
      </c>
      <c r="Q436" t="s">
        <v>36</v>
      </c>
      <c r="R436" t="s">
        <v>36</v>
      </c>
      <c r="S436" t="s">
        <v>36</v>
      </c>
      <c r="T436" s="1">
        <v>42528.291666666664</v>
      </c>
      <c r="U436" t="s">
        <v>36</v>
      </c>
      <c r="V436" t="s">
        <v>36</v>
      </c>
      <c r="W436" t="s">
        <v>36</v>
      </c>
      <c r="X436" t="s">
        <v>36</v>
      </c>
      <c r="Y436" t="s">
        <v>36</v>
      </c>
      <c r="Z436" t="s">
        <v>36</v>
      </c>
      <c r="AA436" t="s">
        <v>36</v>
      </c>
      <c r="AB436" t="s">
        <v>36</v>
      </c>
      <c r="AC436" t="s">
        <v>36</v>
      </c>
      <c r="AD436" t="s">
        <v>36</v>
      </c>
      <c r="AE436" t="s">
        <v>36</v>
      </c>
      <c r="AF436" s="1">
        <v>42058.680555555555</v>
      </c>
      <c r="AG436" t="s">
        <v>36</v>
      </c>
      <c r="AH436" t="s">
        <v>36</v>
      </c>
      <c r="AI436" s="1">
        <v>41426</v>
      </c>
      <c r="AJ436" s="1">
        <v>43059.576388888891</v>
      </c>
    </row>
    <row r="437" spans="1:36" x14ac:dyDescent="0.35">
      <c r="A437">
        <v>4278</v>
      </c>
      <c r="B437" t="s">
        <v>1101</v>
      </c>
      <c r="C437" t="s">
        <v>36</v>
      </c>
      <c r="D437" t="s">
        <v>36</v>
      </c>
      <c r="E437" t="s">
        <v>36</v>
      </c>
      <c r="F437" t="s">
        <v>36</v>
      </c>
      <c r="G437" s="1">
        <v>43530</v>
      </c>
      <c r="H437" t="s">
        <v>36</v>
      </c>
      <c r="I437" t="s">
        <v>36</v>
      </c>
      <c r="J437" t="s">
        <v>36</v>
      </c>
      <c r="K437" t="s">
        <v>36</v>
      </c>
      <c r="L437" t="s">
        <v>36</v>
      </c>
      <c r="M437" t="s">
        <v>36</v>
      </c>
      <c r="N437" t="s">
        <v>36</v>
      </c>
      <c r="O437" t="s">
        <v>36</v>
      </c>
      <c r="P437" s="1">
        <v>43557</v>
      </c>
      <c r="Q437" t="s">
        <v>36</v>
      </c>
      <c r="R437" t="s">
        <v>36</v>
      </c>
      <c r="S437" t="s">
        <v>36</v>
      </c>
      <c r="T437" s="1">
        <v>43557</v>
      </c>
      <c r="U437" t="s">
        <v>36</v>
      </c>
      <c r="V437" t="s">
        <v>36</v>
      </c>
      <c r="W437" t="s">
        <v>36</v>
      </c>
      <c r="X437" t="s">
        <v>36</v>
      </c>
      <c r="Y437" t="s">
        <v>36</v>
      </c>
      <c r="Z437" t="s">
        <v>36</v>
      </c>
      <c r="AA437" t="s">
        <v>36</v>
      </c>
      <c r="AB437" t="s">
        <v>36</v>
      </c>
      <c r="AC437" t="s">
        <v>36</v>
      </c>
      <c r="AD437" t="s">
        <v>36</v>
      </c>
      <c r="AE437" t="s">
        <v>36</v>
      </c>
      <c r="AF437" s="1">
        <v>43529</v>
      </c>
      <c r="AG437" t="s">
        <v>36</v>
      </c>
      <c r="AH437" t="s">
        <v>36</v>
      </c>
      <c r="AI437" s="1">
        <v>43530</v>
      </c>
      <c r="AJ437" s="1">
        <v>43528</v>
      </c>
    </row>
    <row r="438" spans="1:36" x14ac:dyDescent="0.35">
      <c r="A438">
        <v>4279</v>
      </c>
      <c r="B438" t="s">
        <v>1102</v>
      </c>
      <c r="C438" t="s">
        <v>36</v>
      </c>
      <c r="D438" t="s">
        <v>36</v>
      </c>
      <c r="E438" t="s">
        <v>36</v>
      </c>
      <c r="F438" t="s">
        <v>36</v>
      </c>
      <c r="G438" s="1">
        <v>43530</v>
      </c>
      <c r="H438" t="s">
        <v>36</v>
      </c>
      <c r="I438" t="s">
        <v>36</v>
      </c>
      <c r="J438" t="s">
        <v>36</v>
      </c>
      <c r="K438" t="s">
        <v>36</v>
      </c>
      <c r="L438" t="s">
        <v>36</v>
      </c>
      <c r="M438" t="s">
        <v>36</v>
      </c>
      <c r="N438" t="s">
        <v>36</v>
      </c>
      <c r="O438" t="s">
        <v>36</v>
      </c>
      <c r="P438" s="1">
        <v>43556</v>
      </c>
      <c r="Q438" t="s">
        <v>36</v>
      </c>
      <c r="R438" t="s">
        <v>36</v>
      </c>
      <c r="S438" t="s">
        <v>36</v>
      </c>
      <c r="T438" s="1">
        <v>43557</v>
      </c>
      <c r="U438" t="s">
        <v>36</v>
      </c>
      <c r="V438" t="s">
        <v>36</v>
      </c>
      <c r="W438" t="s">
        <v>36</v>
      </c>
      <c r="X438" t="s">
        <v>36</v>
      </c>
      <c r="Y438" t="s">
        <v>36</v>
      </c>
      <c r="Z438" t="s">
        <v>36</v>
      </c>
      <c r="AA438" t="s">
        <v>36</v>
      </c>
      <c r="AB438" t="s">
        <v>36</v>
      </c>
      <c r="AC438" t="s">
        <v>36</v>
      </c>
      <c r="AD438" t="s">
        <v>36</v>
      </c>
      <c r="AE438" t="s">
        <v>36</v>
      </c>
      <c r="AF438" s="1">
        <v>43529</v>
      </c>
      <c r="AG438" t="s">
        <v>36</v>
      </c>
      <c r="AH438" t="s">
        <v>36</v>
      </c>
      <c r="AI438" s="1">
        <v>43530</v>
      </c>
      <c r="AJ438" s="1">
        <v>43528</v>
      </c>
    </row>
    <row r="439" spans="1:36" x14ac:dyDescent="0.35">
      <c r="A439">
        <v>4280</v>
      </c>
      <c r="B439" t="s">
        <v>1103</v>
      </c>
      <c r="C439" t="s">
        <v>36</v>
      </c>
      <c r="D439" t="s">
        <v>36</v>
      </c>
      <c r="E439" t="s">
        <v>36</v>
      </c>
      <c r="F439" t="s">
        <v>36</v>
      </c>
      <c r="G439" s="1">
        <v>43530</v>
      </c>
      <c r="H439" t="s">
        <v>36</v>
      </c>
      <c r="I439" t="s">
        <v>36</v>
      </c>
      <c r="J439" t="s">
        <v>36</v>
      </c>
      <c r="K439" t="s">
        <v>36</v>
      </c>
      <c r="L439" t="s">
        <v>36</v>
      </c>
      <c r="M439" t="s">
        <v>36</v>
      </c>
      <c r="N439" t="s">
        <v>36</v>
      </c>
      <c r="O439" t="s">
        <v>36</v>
      </c>
      <c r="P439" s="1">
        <v>43556</v>
      </c>
      <c r="Q439" t="s">
        <v>36</v>
      </c>
      <c r="R439" t="s">
        <v>36</v>
      </c>
      <c r="S439" t="s">
        <v>36</v>
      </c>
      <c r="T439" s="1">
        <v>43557</v>
      </c>
      <c r="U439" t="s">
        <v>36</v>
      </c>
      <c r="V439" t="s">
        <v>36</v>
      </c>
      <c r="W439" t="s">
        <v>36</v>
      </c>
      <c r="X439" t="s">
        <v>36</v>
      </c>
      <c r="Y439" t="s">
        <v>36</v>
      </c>
      <c r="Z439" t="s">
        <v>36</v>
      </c>
      <c r="AA439" t="s">
        <v>36</v>
      </c>
      <c r="AB439" t="s">
        <v>36</v>
      </c>
      <c r="AC439" t="s">
        <v>36</v>
      </c>
      <c r="AD439" t="s">
        <v>36</v>
      </c>
      <c r="AE439" t="s">
        <v>36</v>
      </c>
      <c r="AF439" s="1">
        <v>43529</v>
      </c>
      <c r="AG439" t="s">
        <v>36</v>
      </c>
      <c r="AH439" t="s">
        <v>36</v>
      </c>
      <c r="AI439" s="1">
        <v>43530</v>
      </c>
      <c r="AJ439" s="1">
        <v>43528</v>
      </c>
    </row>
    <row r="440" spans="1:36" x14ac:dyDescent="0.35">
      <c r="A440">
        <v>3779</v>
      </c>
      <c r="B440" t="s">
        <v>279</v>
      </c>
      <c r="C440" t="s">
        <v>36</v>
      </c>
      <c r="D440" t="s">
        <v>36</v>
      </c>
      <c r="E440" t="s">
        <v>36</v>
      </c>
      <c r="F440" t="s">
        <v>36</v>
      </c>
      <c r="G440" t="s">
        <v>36</v>
      </c>
      <c r="H440" t="s">
        <v>36</v>
      </c>
      <c r="I440" t="s">
        <v>36</v>
      </c>
      <c r="J440" t="s">
        <v>36</v>
      </c>
      <c r="K440" t="s">
        <v>36</v>
      </c>
      <c r="L440" t="s">
        <v>36</v>
      </c>
      <c r="M440" t="s">
        <v>36</v>
      </c>
      <c r="N440" t="s">
        <v>36</v>
      </c>
      <c r="O440" t="s">
        <v>36</v>
      </c>
      <c r="P440" t="s">
        <v>36</v>
      </c>
      <c r="Q440" t="s">
        <v>36</v>
      </c>
      <c r="R440" t="s">
        <v>36</v>
      </c>
      <c r="S440" s="1">
        <v>43466.631944444445</v>
      </c>
      <c r="T440" t="s">
        <v>36</v>
      </c>
      <c r="U440" t="s">
        <v>36</v>
      </c>
      <c r="V440" t="s">
        <v>36</v>
      </c>
      <c r="W440" t="s">
        <v>36</v>
      </c>
      <c r="X440" t="s">
        <v>36</v>
      </c>
      <c r="Y440" t="s">
        <v>36</v>
      </c>
      <c r="Z440" t="s">
        <v>36</v>
      </c>
      <c r="AA440" t="s">
        <v>36</v>
      </c>
      <c r="AB440" t="s">
        <v>36</v>
      </c>
      <c r="AC440" t="s">
        <v>36</v>
      </c>
      <c r="AD440" t="s">
        <v>36</v>
      </c>
      <c r="AE440" t="s">
        <v>36</v>
      </c>
      <c r="AF440" t="s">
        <v>36</v>
      </c>
      <c r="AG440" t="s">
        <v>36</v>
      </c>
      <c r="AH440" t="s">
        <v>36</v>
      </c>
      <c r="AI440" t="s">
        <v>36</v>
      </c>
      <c r="AJ440" t="s">
        <v>36</v>
      </c>
    </row>
    <row r="441" spans="1:36" x14ac:dyDescent="0.35">
      <c r="A441">
        <v>3781</v>
      </c>
      <c r="B441" t="s">
        <v>979</v>
      </c>
      <c r="C441" t="s">
        <v>36</v>
      </c>
      <c r="D441" t="s">
        <v>36</v>
      </c>
      <c r="E441" t="s">
        <v>36</v>
      </c>
      <c r="F441" t="s">
        <v>36</v>
      </c>
      <c r="G441" t="s">
        <v>36</v>
      </c>
      <c r="H441" t="s">
        <v>36</v>
      </c>
      <c r="I441" t="s">
        <v>36</v>
      </c>
      <c r="J441" t="s">
        <v>36</v>
      </c>
      <c r="K441" t="s">
        <v>36</v>
      </c>
      <c r="L441" t="s">
        <v>36</v>
      </c>
      <c r="M441" t="s">
        <v>36</v>
      </c>
      <c r="N441" t="s">
        <v>36</v>
      </c>
      <c r="O441" t="s">
        <v>36</v>
      </c>
      <c r="P441" t="s">
        <v>36</v>
      </c>
      <c r="Q441" t="s">
        <v>36</v>
      </c>
      <c r="R441" t="s">
        <v>36</v>
      </c>
      <c r="S441" s="1">
        <v>43466.631944444445</v>
      </c>
      <c r="T441" t="s">
        <v>36</v>
      </c>
      <c r="U441" t="s">
        <v>36</v>
      </c>
      <c r="V441" t="s">
        <v>36</v>
      </c>
      <c r="W441" t="s">
        <v>36</v>
      </c>
      <c r="X441" t="s">
        <v>36</v>
      </c>
      <c r="Y441" t="s">
        <v>36</v>
      </c>
      <c r="Z441" t="s">
        <v>36</v>
      </c>
      <c r="AA441" t="s">
        <v>36</v>
      </c>
      <c r="AB441" t="s">
        <v>36</v>
      </c>
      <c r="AC441" t="s">
        <v>36</v>
      </c>
      <c r="AD441" t="s">
        <v>36</v>
      </c>
      <c r="AE441" t="s">
        <v>36</v>
      </c>
      <c r="AF441" t="s">
        <v>36</v>
      </c>
      <c r="AG441" t="s">
        <v>36</v>
      </c>
      <c r="AH441" t="s">
        <v>36</v>
      </c>
      <c r="AI441" t="s">
        <v>36</v>
      </c>
      <c r="AJ441" t="s">
        <v>36</v>
      </c>
    </row>
    <row r="442" spans="1:36" x14ac:dyDescent="0.35">
      <c r="A442">
        <v>3780</v>
      </c>
      <c r="B442" t="s">
        <v>978</v>
      </c>
      <c r="C442" t="s">
        <v>36</v>
      </c>
      <c r="D442" t="s">
        <v>36</v>
      </c>
      <c r="E442" t="s">
        <v>36</v>
      </c>
      <c r="F442" t="s">
        <v>36</v>
      </c>
      <c r="G442" t="s">
        <v>36</v>
      </c>
      <c r="H442" t="s">
        <v>36</v>
      </c>
      <c r="I442" t="s">
        <v>36</v>
      </c>
      <c r="J442" t="s">
        <v>36</v>
      </c>
      <c r="K442" t="s">
        <v>36</v>
      </c>
      <c r="L442" t="s">
        <v>36</v>
      </c>
      <c r="M442" t="s">
        <v>36</v>
      </c>
      <c r="N442" t="s">
        <v>36</v>
      </c>
      <c r="O442" t="s">
        <v>36</v>
      </c>
      <c r="P442" t="s">
        <v>36</v>
      </c>
      <c r="Q442" t="s">
        <v>36</v>
      </c>
      <c r="R442" t="s">
        <v>36</v>
      </c>
      <c r="S442" s="1">
        <v>43466.631944444445</v>
      </c>
      <c r="T442" t="s">
        <v>36</v>
      </c>
      <c r="U442" t="s">
        <v>36</v>
      </c>
      <c r="V442" t="s">
        <v>36</v>
      </c>
      <c r="W442" t="s">
        <v>36</v>
      </c>
      <c r="X442" t="s">
        <v>36</v>
      </c>
      <c r="Y442" t="s">
        <v>36</v>
      </c>
      <c r="Z442" t="s">
        <v>36</v>
      </c>
      <c r="AA442" t="s">
        <v>36</v>
      </c>
      <c r="AB442" t="s">
        <v>36</v>
      </c>
      <c r="AC442" t="s">
        <v>36</v>
      </c>
      <c r="AD442" t="s">
        <v>36</v>
      </c>
      <c r="AE442" t="s">
        <v>36</v>
      </c>
      <c r="AF442" t="s">
        <v>36</v>
      </c>
      <c r="AG442" t="s">
        <v>36</v>
      </c>
      <c r="AH442" t="s">
        <v>36</v>
      </c>
      <c r="AI442" t="s">
        <v>36</v>
      </c>
      <c r="AJ442" t="s">
        <v>36</v>
      </c>
    </row>
    <row r="443" spans="1:36" x14ac:dyDescent="0.35">
      <c r="A443">
        <v>3782</v>
      </c>
      <c r="B443" t="s">
        <v>980</v>
      </c>
      <c r="C443" t="s">
        <v>36</v>
      </c>
      <c r="D443" t="s">
        <v>36</v>
      </c>
      <c r="E443" t="s">
        <v>36</v>
      </c>
      <c r="F443" t="s">
        <v>36</v>
      </c>
      <c r="G443" t="s">
        <v>36</v>
      </c>
      <c r="H443" t="s">
        <v>36</v>
      </c>
      <c r="I443" t="s">
        <v>36</v>
      </c>
      <c r="J443" t="s">
        <v>36</v>
      </c>
      <c r="K443" t="s">
        <v>36</v>
      </c>
      <c r="L443" t="s">
        <v>36</v>
      </c>
      <c r="M443" t="s">
        <v>36</v>
      </c>
      <c r="N443" t="s">
        <v>36</v>
      </c>
      <c r="O443" t="s">
        <v>36</v>
      </c>
      <c r="P443" t="s">
        <v>36</v>
      </c>
      <c r="Q443" t="s">
        <v>36</v>
      </c>
      <c r="R443" t="s">
        <v>36</v>
      </c>
      <c r="S443" s="1">
        <v>43466.631944444445</v>
      </c>
      <c r="T443" t="s">
        <v>36</v>
      </c>
      <c r="U443" t="s">
        <v>36</v>
      </c>
      <c r="V443" t="s">
        <v>36</v>
      </c>
      <c r="W443" t="s">
        <v>36</v>
      </c>
      <c r="X443" t="s">
        <v>36</v>
      </c>
      <c r="Y443" t="s">
        <v>36</v>
      </c>
      <c r="Z443" t="s">
        <v>36</v>
      </c>
      <c r="AA443" t="s">
        <v>36</v>
      </c>
      <c r="AB443" t="s">
        <v>36</v>
      </c>
      <c r="AC443" t="s">
        <v>36</v>
      </c>
      <c r="AD443" t="s">
        <v>36</v>
      </c>
      <c r="AE443" t="s">
        <v>36</v>
      </c>
      <c r="AF443" t="s">
        <v>36</v>
      </c>
      <c r="AG443" t="s">
        <v>36</v>
      </c>
      <c r="AH443" t="s">
        <v>36</v>
      </c>
      <c r="AI443" t="s">
        <v>36</v>
      </c>
      <c r="AJ443" t="s">
        <v>36</v>
      </c>
    </row>
    <row r="444" spans="1:36" x14ac:dyDescent="0.35">
      <c r="A444">
        <v>4098</v>
      </c>
      <c r="B444" t="s">
        <v>1000</v>
      </c>
      <c r="C444" t="s">
        <v>36</v>
      </c>
      <c r="D444" t="s">
        <v>36</v>
      </c>
      <c r="E444" t="s">
        <v>36</v>
      </c>
      <c r="F444" t="s">
        <v>36</v>
      </c>
      <c r="G444" t="s">
        <v>36</v>
      </c>
      <c r="H444" t="s">
        <v>36</v>
      </c>
      <c r="I444" t="s">
        <v>36</v>
      </c>
      <c r="J444" t="s">
        <v>36</v>
      </c>
      <c r="K444" t="s">
        <v>36</v>
      </c>
      <c r="L444" t="s">
        <v>36</v>
      </c>
      <c r="M444" t="s">
        <v>36</v>
      </c>
      <c r="N444" t="s">
        <v>36</v>
      </c>
      <c r="O444" t="s">
        <v>36</v>
      </c>
      <c r="P444" t="s">
        <v>36</v>
      </c>
      <c r="Q444" t="s">
        <v>36</v>
      </c>
      <c r="R444" s="1">
        <v>43854.465277777781</v>
      </c>
      <c r="S444" t="s">
        <v>36</v>
      </c>
      <c r="T444" t="s">
        <v>36</v>
      </c>
      <c r="U444" t="s">
        <v>36</v>
      </c>
      <c r="V444" t="s">
        <v>36</v>
      </c>
      <c r="W444" t="s">
        <v>36</v>
      </c>
      <c r="X444" t="s">
        <v>36</v>
      </c>
      <c r="Y444" t="s">
        <v>36</v>
      </c>
      <c r="Z444" t="s">
        <v>36</v>
      </c>
      <c r="AA444" t="s">
        <v>36</v>
      </c>
      <c r="AB444" t="s">
        <v>36</v>
      </c>
      <c r="AC444" t="s">
        <v>36</v>
      </c>
      <c r="AD444" t="s">
        <v>36</v>
      </c>
      <c r="AE444" t="s">
        <v>36</v>
      </c>
      <c r="AF444" t="s">
        <v>36</v>
      </c>
      <c r="AG444" t="s">
        <v>36</v>
      </c>
      <c r="AH444" t="s">
        <v>36</v>
      </c>
      <c r="AI444" t="s">
        <v>36</v>
      </c>
      <c r="AJ444" t="s">
        <v>36</v>
      </c>
    </row>
    <row r="445" spans="1:36" x14ac:dyDescent="0.35">
      <c r="A445">
        <v>4097</v>
      </c>
      <c r="B445" t="s">
        <v>999</v>
      </c>
      <c r="C445" t="s">
        <v>36</v>
      </c>
      <c r="D445" t="s">
        <v>36</v>
      </c>
      <c r="E445" t="s">
        <v>36</v>
      </c>
      <c r="F445" t="s">
        <v>36</v>
      </c>
      <c r="G445" t="s">
        <v>36</v>
      </c>
      <c r="H445" t="s">
        <v>36</v>
      </c>
      <c r="I445" t="s">
        <v>36</v>
      </c>
      <c r="J445" t="s">
        <v>36</v>
      </c>
      <c r="K445" t="s">
        <v>36</v>
      </c>
      <c r="L445" t="s">
        <v>36</v>
      </c>
      <c r="M445" t="s">
        <v>36</v>
      </c>
      <c r="N445" t="s">
        <v>36</v>
      </c>
      <c r="O445" t="s">
        <v>36</v>
      </c>
      <c r="P445" t="s">
        <v>36</v>
      </c>
      <c r="Q445" t="s">
        <v>36</v>
      </c>
      <c r="R445" s="1">
        <v>43854.465277777781</v>
      </c>
      <c r="S445" t="s">
        <v>36</v>
      </c>
      <c r="T445" t="s">
        <v>36</v>
      </c>
      <c r="U445" t="s">
        <v>36</v>
      </c>
      <c r="V445" t="s">
        <v>36</v>
      </c>
      <c r="W445" t="s">
        <v>36</v>
      </c>
      <c r="X445" t="s">
        <v>36</v>
      </c>
      <c r="Y445" t="s">
        <v>36</v>
      </c>
      <c r="Z445" t="s">
        <v>36</v>
      </c>
      <c r="AA445" t="s">
        <v>36</v>
      </c>
      <c r="AB445" t="s">
        <v>36</v>
      </c>
      <c r="AC445" t="s">
        <v>36</v>
      </c>
      <c r="AD445" t="s">
        <v>36</v>
      </c>
      <c r="AE445" t="s">
        <v>36</v>
      </c>
      <c r="AF445" t="s">
        <v>36</v>
      </c>
      <c r="AG445" t="s">
        <v>36</v>
      </c>
      <c r="AH445" t="s">
        <v>36</v>
      </c>
      <c r="AI445" t="s">
        <v>36</v>
      </c>
      <c r="AJ445" t="s">
        <v>36</v>
      </c>
    </row>
    <row r="446" spans="1:36" x14ac:dyDescent="0.35">
      <c r="A446">
        <v>4099</v>
      </c>
      <c r="B446" t="s">
        <v>1001</v>
      </c>
      <c r="C446" t="s">
        <v>36</v>
      </c>
      <c r="D446" t="s">
        <v>36</v>
      </c>
      <c r="E446" t="s">
        <v>36</v>
      </c>
      <c r="F446" t="s">
        <v>36</v>
      </c>
      <c r="G446" t="s">
        <v>36</v>
      </c>
      <c r="H446" t="s">
        <v>36</v>
      </c>
      <c r="I446" t="s">
        <v>36</v>
      </c>
      <c r="J446" t="s">
        <v>36</v>
      </c>
      <c r="K446" t="s">
        <v>36</v>
      </c>
      <c r="L446" t="s">
        <v>36</v>
      </c>
      <c r="M446" t="s">
        <v>36</v>
      </c>
      <c r="N446" t="s">
        <v>36</v>
      </c>
      <c r="O446" t="s">
        <v>36</v>
      </c>
      <c r="P446" t="s">
        <v>36</v>
      </c>
      <c r="Q446" t="s">
        <v>36</v>
      </c>
      <c r="R446" s="1">
        <v>43854.465277777781</v>
      </c>
      <c r="S446" t="s">
        <v>36</v>
      </c>
      <c r="T446" t="s">
        <v>36</v>
      </c>
      <c r="U446" t="s">
        <v>36</v>
      </c>
      <c r="V446" t="s">
        <v>36</v>
      </c>
      <c r="W446" t="s">
        <v>36</v>
      </c>
      <c r="X446" t="s">
        <v>36</v>
      </c>
      <c r="Y446" t="s">
        <v>36</v>
      </c>
      <c r="Z446" t="s">
        <v>36</v>
      </c>
      <c r="AA446" t="s">
        <v>36</v>
      </c>
      <c r="AB446" t="s">
        <v>36</v>
      </c>
      <c r="AC446" t="s">
        <v>36</v>
      </c>
      <c r="AD446" t="s">
        <v>36</v>
      </c>
      <c r="AE446" t="s">
        <v>36</v>
      </c>
      <c r="AF446" t="s">
        <v>36</v>
      </c>
      <c r="AG446" t="s">
        <v>36</v>
      </c>
      <c r="AH446" t="s">
        <v>36</v>
      </c>
      <c r="AI446" t="s">
        <v>36</v>
      </c>
      <c r="AJ446" t="s">
        <v>36</v>
      </c>
    </row>
    <row r="447" spans="1:36" x14ac:dyDescent="0.35">
      <c r="A447">
        <v>810</v>
      </c>
      <c r="B447" t="s">
        <v>271</v>
      </c>
      <c r="C447" t="s">
        <v>36</v>
      </c>
      <c r="D447" t="s">
        <v>36</v>
      </c>
      <c r="E447" t="s">
        <v>36</v>
      </c>
      <c r="F447" t="s">
        <v>36</v>
      </c>
      <c r="G447" t="s">
        <v>36</v>
      </c>
      <c r="H447" t="s">
        <v>36</v>
      </c>
      <c r="I447" t="s">
        <v>36</v>
      </c>
      <c r="J447" t="s">
        <v>36</v>
      </c>
      <c r="K447" t="s">
        <v>36</v>
      </c>
      <c r="L447" t="s">
        <v>36</v>
      </c>
      <c r="M447" t="s">
        <v>36</v>
      </c>
      <c r="N447" t="s">
        <v>36</v>
      </c>
      <c r="O447" t="s">
        <v>36</v>
      </c>
      <c r="P447" t="s">
        <v>36</v>
      </c>
      <c r="Q447" t="s">
        <v>36</v>
      </c>
      <c r="R447" s="1">
        <v>43329.319444444445</v>
      </c>
      <c r="S447" t="s">
        <v>36</v>
      </c>
      <c r="T447" t="s">
        <v>36</v>
      </c>
      <c r="U447" t="s">
        <v>36</v>
      </c>
      <c r="V447" t="s">
        <v>36</v>
      </c>
      <c r="W447" t="s">
        <v>36</v>
      </c>
      <c r="X447" t="s">
        <v>36</v>
      </c>
      <c r="Y447" t="s">
        <v>36</v>
      </c>
      <c r="Z447" t="s">
        <v>36</v>
      </c>
      <c r="AA447" t="s">
        <v>36</v>
      </c>
      <c r="AB447" t="s">
        <v>36</v>
      </c>
      <c r="AC447" t="s">
        <v>36</v>
      </c>
      <c r="AD447" t="s">
        <v>36</v>
      </c>
      <c r="AE447" t="s">
        <v>36</v>
      </c>
      <c r="AF447" t="s">
        <v>36</v>
      </c>
      <c r="AG447" t="s">
        <v>36</v>
      </c>
      <c r="AH447" t="s">
        <v>36</v>
      </c>
      <c r="AI447" t="s">
        <v>36</v>
      </c>
      <c r="AJ447" t="s">
        <v>36</v>
      </c>
    </row>
    <row r="448" spans="1:36" x14ac:dyDescent="0.35">
      <c r="A448">
        <v>5</v>
      </c>
      <c r="B448" t="s">
        <v>40</v>
      </c>
      <c r="C448" s="1">
        <v>42528.291666666664</v>
      </c>
      <c r="D448" s="1">
        <v>42058.680555555555</v>
      </c>
      <c r="E448" s="1">
        <v>39245.465277777781</v>
      </c>
      <c r="F448" s="1">
        <v>42735.993055555555</v>
      </c>
      <c r="G448" s="1">
        <v>41426</v>
      </c>
      <c r="H448" s="1">
        <v>43059.576388888891</v>
      </c>
      <c r="I448" s="1">
        <v>38757.354166666664</v>
      </c>
      <c r="J448" s="1">
        <v>39631.4375</v>
      </c>
      <c r="K448" s="1">
        <v>42528.291666666664</v>
      </c>
      <c r="L448" s="1">
        <v>42058.680555555555</v>
      </c>
      <c r="M448" s="1">
        <v>43009</v>
      </c>
      <c r="N448" s="1">
        <v>42735.993055555555</v>
      </c>
      <c r="O448" s="1">
        <v>42206.583333333336</v>
      </c>
      <c r="P448" s="1">
        <v>43059.576388888891</v>
      </c>
      <c r="Q448" s="1">
        <v>40215.493055555555</v>
      </c>
      <c r="R448" s="1">
        <v>43329.319444444445</v>
      </c>
      <c r="S448" s="1">
        <v>42735.993055555555</v>
      </c>
      <c r="T448" s="1">
        <v>42528.291666666664</v>
      </c>
      <c r="U448" s="1">
        <v>43054.631944444445</v>
      </c>
      <c r="V448" s="1">
        <v>42473.520833333336</v>
      </c>
      <c r="W448" s="1">
        <v>42735.993055555555</v>
      </c>
      <c r="X448" s="1">
        <v>42193.652777777781</v>
      </c>
      <c r="Y448" s="1">
        <v>43396.4375</v>
      </c>
      <c r="Z448" s="1">
        <v>42648.465277777781</v>
      </c>
      <c r="AA448" s="1">
        <v>43054.611111111109</v>
      </c>
      <c r="AB448" s="1">
        <v>41225.597222222219</v>
      </c>
      <c r="AC448" s="1">
        <v>42485.743055555555</v>
      </c>
      <c r="AD448" s="1">
        <v>43009</v>
      </c>
      <c r="AE448" t="s">
        <v>36</v>
      </c>
      <c r="AF448" s="1">
        <v>42058.680555555555</v>
      </c>
      <c r="AG448" s="32">
        <v>43040</v>
      </c>
      <c r="AH448" s="1">
        <v>42735.993055555555</v>
      </c>
      <c r="AI448" s="1">
        <v>41426</v>
      </c>
      <c r="AJ448" s="1">
        <v>43059.576388888891</v>
      </c>
    </row>
    <row r="449" spans="1:36" x14ac:dyDescent="0.35">
      <c r="A449">
        <v>6</v>
      </c>
      <c r="B449" t="s">
        <v>41</v>
      </c>
      <c r="C449" s="1">
        <v>42528.291666666664</v>
      </c>
      <c r="D449" s="1">
        <v>42058.680555555555</v>
      </c>
      <c r="E449" t="s">
        <v>36</v>
      </c>
      <c r="F449" t="s">
        <v>36</v>
      </c>
      <c r="G449" s="1">
        <v>41426</v>
      </c>
      <c r="H449" t="s">
        <v>36</v>
      </c>
      <c r="I449" t="s">
        <v>36</v>
      </c>
      <c r="J449" t="s">
        <v>36</v>
      </c>
      <c r="K449" s="1">
        <v>42528.291666666664</v>
      </c>
      <c r="L449" t="s">
        <v>36</v>
      </c>
      <c r="M449" s="1">
        <v>43348.625</v>
      </c>
      <c r="N449" s="1">
        <v>42735.993055555555</v>
      </c>
      <c r="O449" s="1">
        <v>42206.583333333336</v>
      </c>
      <c r="P449" s="1">
        <v>43059.576388888891</v>
      </c>
      <c r="Q449" s="1">
        <v>42472.722222222219</v>
      </c>
      <c r="R449" s="1">
        <v>43329.319444444445</v>
      </c>
      <c r="S449" t="s">
        <v>36</v>
      </c>
      <c r="T449" s="1">
        <v>42528.291666666664</v>
      </c>
      <c r="U449" t="s">
        <v>36</v>
      </c>
      <c r="V449" s="1">
        <v>42473.513888888891</v>
      </c>
      <c r="W449" t="s">
        <v>36</v>
      </c>
      <c r="X449" s="1">
        <v>42193.652777777781</v>
      </c>
      <c r="Y449" t="s">
        <v>36</v>
      </c>
      <c r="Z449" s="1">
        <v>42648.444444444445</v>
      </c>
      <c r="AA449" t="s">
        <v>36</v>
      </c>
      <c r="AB449" t="s">
        <v>36</v>
      </c>
      <c r="AC449" s="1">
        <v>42485.743055555555</v>
      </c>
      <c r="AD449" s="1">
        <v>43009</v>
      </c>
      <c r="AE449" t="s">
        <v>36</v>
      </c>
      <c r="AF449" s="1">
        <v>42058.680555555555</v>
      </c>
      <c r="AG449" s="32">
        <v>43040</v>
      </c>
      <c r="AH449" t="s">
        <v>36</v>
      </c>
      <c r="AI449" s="1">
        <v>41426</v>
      </c>
      <c r="AJ449" s="1">
        <v>43059.576388888891</v>
      </c>
    </row>
    <row r="450" spans="1:36" x14ac:dyDescent="0.35">
      <c r="A450">
        <v>915</v>
      </c>
      <c r="B450" t="s">
        <v>863</v>
      </c>
      <c r="C450" s="1">
        <v>42713.361111111109</v>
      </c>
      <c r="D450" t="s">
        <v>36</v>
      </c>
      <c r="E450" t="s">
        <v>36</v>
      </c>
      <c r="F450" t="s">
        <v>36</v>
      </c>
      <c r="G450" s="1">
        <v>43530</v>
      </c>
      <c r="H450" t="s">
        <v>36</v>
      </c>
      <c r="I450" t="s">
        <v>36</v>
      </c>
      <c r="J450" t="s">
        <v>36</v>
      </c>
      <c r="K450" s="1">
        <v>42692.493055555555</v>
      </c>
      <c r="L450" t="s">
        <v>36</v>
      </c>
      <c r="M450" s="1">
        <v>43348.625</v>
      </c>
      <c r="N450" t="s">
        <v>36</v>
      </c>
      <c r="O450" t="s">
        <v>36</v>
      </c>
      <c r="P450" s="1">
        <v>43559</v>
      </c>
      <c r="Q450" s="1">
        <v>42692.5</v>
      </c>
      <c r="R450" s="1">
        <v>43329.319444444445</v>
      </c>
      <c r="S450" t="s">
        <v>36</v>
      </c>
      <c r="T450" s="1">
        <v>43557</v>
      </c>
      <c r="U450" t="s">
        <v>36</v>
      </c>
      <c r="V450" s="1">
        <v>42719.638888888891</v>
      </c>
      <c r="W450" t="s">
        <v>36</v>
      </c>
      <c r="X450" t="s">
        <v>36</v>
      </c>
      <c r="Y450" t="s">
        <v>36</v>
      </c>
      <c r="Z450" s="1">
        <v>42713.590277777781</v>
      </c>
      <c r="AA450" t="s">
        <v>36</v>
      </c>
      <c r="AB450" t="s">
        <v>36</v>
      </c>
      <c r="AC450" s="1">
        <v>42692.5</v>
      </c>
      <c r="AD450" s="1">
        <v>43009</v>
      </c>
      <c r="AE450" t="s">
        <v>36</v>
      </c>
      <c r="AF450" s="1">
        <v>43529</v>
      </c>
      <c r="AG450" t="s">
        <v>36</v>
      </c>
      <c r="AH450" t="s">
        <v>36</v>
      </c>
      <c r="AI450" s="1">
        <v>43530</v>
      </c>
      <c r="AJ450" s="1">
        <v>43528</v>
      </c>
    </row>
    <row r="451" spans="1:36" x14ac:dyDescent="0.35">
      <c r="A451">
        <v>916</v>
      </c>
      <c r="B451" t="s">
        <v>864</v>
      </c>
      <c r="C451" s="1">
        <v>42713.361111111109</v>
      </c>
      <c r="D451" t="s">
        <v>36</v>
      </c>
      <c r="E451" t="s">
        <v>36</v>
      </c>
      <c r="F451" t="s">
        <v>36</v>
      </c>
      <c r="G451" s="1">
        <v>43530</v>
      </c>
      <c r="H451" t="s">
        <v>36</v>
      </c>
      <c r="I451" t="s">
        <v>36</v>
      </c>
      <c r="J451" t="s">
        <v>36</v>
      </c>
      <c r="K451" s="1">
        <v>42692.493055555555</v>
      </c>
      <c r="L451" t="s">
        <v>36</v>
      </c>
      <c r="M451" s="1">
        <v>43348.625</v>
      </c>
      <c r="N451" t="s">
        <v>36</v>
      </c>
      <c r="O451" t="s">
        <v>36</v>
      </c>
      <c r="P451" s="1">
        <v>43557</v>
      </c>
      <c r="Q451" s="1">
        <v>42692.5</v>
      </c>
      <c r="R451" s="1">
        <v>43329.319444444445</v>
      </c>
      <c r="S451" t="s">
        <v>36</v>
      </c>
      <c r="T451" s="1">
        <v>43557</v>
      </c>
      <c r="U451" t="s">
        <v>36</v>
      </c>
      <c r="V451" s="1">
        <v>42719.638888888891</v>
      </c>
      <c r="W451" t="s">
        <v>36</v>
      </c>
      <c r="X451" t="s">
        <v>36</v>
      </c>
      <c r="Y451" t="s">
        <v>36</v>
      </c>
      <c r="Z451" s="1">
        <v>42713.590277777781</v>
      </c>
      <c r="AA451" t="s">
        <v>36</v>
      </c>
      <c r="AB451" t="s">
        <v>36</v>
      </c>
      <c r="AC451" s="1">
        <v>42692.5</v>
      </c>
      <c r="AD451" s="1">
        <v>43009</v>
      </c>
      <c r="AE451" t="s">
        <v>36</v>
      </c>
      <c r="AF451" s="1">
        <v>43529</v>
      </c>
      <c r="AG451" t="s">
        <v>36</v>
      </c>
      <c r="AH451" t="s">
        <v>36</v>
      </c>
      <c r="AI451" s="1">
        <v>43530</v>
      </c>
      <c r="AJ451" s="1">
        <v>43528</v>
      </c>
    </row>
    <row r="452" spans="1:36" x14ac:dyDescent="0.35">
      <c r="A452">
        <v>917</v>
      </c>
      <c r="B452" t="s">
        <v>865</v>
      </c>
      <c r="C452" s="1">
        <v>42713.361111111109</v>
      </c>
      <c r="D452" t="s">
        <v>36</v>
      </c>
      <c r="E452" t="s">
        <v>36</v>
      </c>
      <c r="F452" t="s">
        <v>36</v>
      </c>
      <c r="G452" s="1">
        <v>43530</v>
      </c>
      <c r="H452" t="s">
        <v>36</v>
      </c>
      <c r="I452" t="s">
        <v>36</v>
      </c>
      <c r="J452" t="s">
        <v>36</v>
      </c>
      <c r="K452" s="1">
        <v>42692.493055555555</v>
      </c>
      <c r="L452" t="s">
        <v>36</v>
      </c>
      <c r="M452" s="1">
        <v>43348.625</v>
      </c>
      <c r="N452" t="s">
        <v>36</v>
      </c>
      <c r="O452" t="s">
        <v>36</v>
      </c>
      <c r="P452" s="1">
        <v>43557</v>
      </c>
      <c r="Q452" s="1">
        <v>42692.5</v>
      </c>
      <c r="R452" s="1">
        <v>43329.319444444445</v>
      </c>
      <c r="S452" t="s">
        <v>36</v>
      </c>
      <c r="T452" s="1">
        <v>43557</v>
      </c>
      <c r="U452" t="s">
        <v>36</v>
      </c>
      <c r="V452" s="1">
        <v>42719.638888888891</v>
      </c>
      <c r="W452" t="s">
        <v>36</v>
      </c>
      <c r="X452" t="s">
        <v>36</v>
      </c>
      <c r="Y452" t="s">
        <v>36</v>
      </c>
      <c r="Z452" s="1">
        <v>42713.590277777781</v>
      </c>
      <c r="AA452" t="s">
        <v>36</v>
      </c>
      <c r="AB452" t="s">
        <v>36</v>
      </c>
      <c r="AC452" s="1">
        <v>42692.5</v>
      </c>
      <c r="AD452" s="1">
        <v>43009</v>
      </c>
      <c r="AE452" t="s">
        <v>36</v>
      </c>
      <c r="AF452" s="1">
        <v>43529</v>
      </c>
      <c r="AG452" t="s">
        <v>36</v>
      </c>
      <c r="AH452" t="s">
        <v>36</v>
      </c>
      <c r="AI452" s="1">
        <v>43530</v>
      </c>
      <c r="AJ452" s="1">
        <v>43528</v>
      </c>
    </row>
    <row r="453" spans="1:36" x14ac:dyDescent="0.35">
      <c r="A453">
        <v>342</v>
      </c>
      <c r="B453" t="s">
        <v>206</v>
      </c>
      <c r="C453" t="s">
        <v>36</v>
      </c>
      <c r="D453" t="s">
        <v>36</v>
      </c>
      <c r="E453" t="s">
        <v>36</v>
      </c>
      <c r="F453" t="s">
        <v>36</v>
      </c>
      <c r="G453" t="s">
        <v>36</v>
      </c>
      <c r="H453" t="s">
        <v>36</v>
      </c>
      <c r="I453" t="s">
        <v>36</v>
      </c>
      <c r="J453" t="s">
        <v>36</v>
      </c>
      <c r="K453" t="s">
        <v>36</v>
      </c>
      <c r="L453" t="s">
        <v>36</v>
      </c>
      <c r="M453" t="s">
        <v>36</v>
      </c>
      <c r="N453" t="s">
        <v>36</v>
      </c>
      <c r="O453" t="s">
        <v>36</v>
      </c>
      <c r="P453" t="s">
        <v>36</v>
      </c>
      <c r="Q453" t="s">
        <v>36</v>
      </c>
      <c r="R453" t="s">
        <v>36</v>
      </c>
      <c r="S453" t="s">
        <v>36</v>
      </c>
      <c r="T453" t="s">
        <v>36</v>
      </c>
      <c r="U453" t="s">
        <v>36</v>
      </c>
      <c r="V453" t="s">
        <v>36</v>
      </c>
      <c r="W453" t="s">
        <v>36</v>
      </c>
      <c r="X453" t="s">
        <v>36</v>
      </c>
      <c r="Y453" t="s">
        <v>36</v>
      </c>
      <c r="Z453" t="s">
        <v>36</v>
      </c>
      <c r="AA453" t="s">
        <v>36</v>
      </c>
      <c r="AB453" t="s">
        <v>36</v>
      </c>
      <c r="AC453" t="s">
        <v>36</v>
      </c>
      <c r="AD453" t="s">
        <v>36</v>
      </c>
      <c r="AE453" t="s">
        <v>36</v>
      </c>
      <c r="AF453" t="s">
        <v>36</v>
      </c>
      <c r="AG453" t="s">
        <v>36</v>
      </c>
      <c r="AH453" t="s">
        <v>36</v>
      </c>
      <c r="AI453" t="s">
        <v>36</v>
      </c>
      <c r="AJ453" t="s">
        <v>36</v>
      </c>
    </row>
    <row r="454" spans="1:36" x14ac:dyDescent="0.35">
      <c r="A454">
        <v>3858</v>
      </c>
      <c r="B454" t="s">
        <v>992</v>
      </c>
      <c r="C454" t="s">
        <v>36</v>
      </c>
      <c r="D454" t="s">
        <v>36</v>
      </c>
      <c r="E454" t="s">
        <v>36</v>
      </c>
      <c r="F454" t="s">
        <v>36</v>
      </c>
      <c r="G454" t="s">
        <v>36</v>
      </c>
      <c r="H454" t="s">
        <v>36</v>
      </c>
      <c r="I454" t="s">
        <v>36</v>
      </c>
      <c r="J454" t="s">
        <v>36</v>
      </c>
      <c r="K454" t="s">
        <v>36</v>
      </c>
      <c r="L454" t="s">
        <v>36</v>
      </c>
      <c r="M454" t="s">
        <v>36</v>
      </c>
      <c r="N454" t="s">
        <v>36</v>
      </c>
      <c r="O454" t="s">
        <v>36</v>
      </c>
      <c r="P454" t="s">
        <v>36</v>
      </c>
      <c r="Q454" t="s">
        <v>36</v>
      </c>
      <c r="R454" t="s">
        <v>36</v>
      </c>
      <c r="S454" t="s">
        <v>36</v>
      </c>
      <c r="T454" t="s">
        <v>36</v>
      </c>
      <c r="U454" t="s">
        <v>36</v>
      </c>
      <c r="V454" t="s">
        <v>36</v>
      </c>
      <c r="W454" t="s">
        <v>36</v>
      </c>
      <c r="X454" t="s">
        <v>36</v>
      </c>
      <c r="Y454" t="s">
        <v>36</v>
      </c>
      <c r="Z454" t="s">
        <v>36</v>
      </c>
      <c r="AA454" t="s">
        <v>36</v>
      </c>
      <c r="AB454" t="s">
        <v>36</v>
      </c>
      <c r="AC454" t="s">
        <v>36</v>
      </c>
      <c r="AD454" t="s">
        <v>36</v>
      </c>
      <c r="AE454" t="s">
        <v>36</v>
      </c>
      <c r="AF454" t="s">
        <v>36</v>
      </c>
      <c r="AG454" t="s">
        <v>36</v>
      </c>
      <c r="AH454" t="s">
        <v>36</v>
      </c>
      <c r="AI454" t="s">
        <v>36</v>
      </c>
      <c r="AJ454" t="s">
        <v>36</v>
      </c>
    </row>
    <row r="455" spans="1:36" x14ac:dyDescent="0.35">
      <c r="A455">
        <v>3859</v>
      </c>
      <c r="B455" t="s">
        <v>993</v>
      </c>
      <c r="C455" t="s">
        <v>36</v>
      </c>
      <c r="D455" t="s">
        <v>36</v>
      </c>
      <c r="E455" t="s">
        <v>36</v>
      </c>
      <c r="F455" t="s">
        <v>36</v>
      </c>
      <c r="G455" t="s">
        <v>36</v>
      </c>
      <c r="H455" t="s">
        <v>36</v>
      </c>
      <c r="I455" t="s">
        <v>36</v>
      </c>
      <c r="J455" t="s">
        <v>36</v>
      </c>
      <c r="K455" t="s">
        <v>36</v>
      </c>
      <c r="L455" t="s">
        <v>36</v>
      </c>
      <c r="M455" t="s">
        <v>36</v>
      </c>
      <c r="N455" t="s">
        <v>36</v>
      </c>
      <c r="O455" t="s">
        <v>36</v>
      </c>
      <c r="P455" t="s">
        <v>36</v>
      </c>
      <c r="Q455" t="s">
        <v>36</v>
      </c>
      <c r="R455" t="s">
        <v>36</v>
      </c>
      <c r="S455" t="s">
        <v>36</v>
      </c>
      <c r="T455" t="s">
        <v>36</v>
      </c>
      <c r="U455" t="s">
        <v>36</v>
      </c>
      <c r="V455" t="s">
        <v>36</v>
      </c>
      <c r="W455" t="s">
        <v>36</v>
      </c>
      <c r="X455" t="s">
        <v>36</v>
      </c>
      <c r="Y455" t="s">
        <v>36</v>
      </c>
      <c r="Z455" t="s">
        <v>36</v>
      </c>
      <c r="AA455" t="s">
        <v>36</v>
      </c>
      <c r="AB455" t="s">
        <v>36</v>
      </c>
      <c r="AC455" t="s">
        <v>36</v>
      </c>
      <c r="AD455" t="s">
        <v>36</v>
      </c>
      <c r="AE455" t="s">
        <v>36</v>
      </c>
      <c r="AF455" t="s">
        <v>36</v>
      </c>
      <c r="AG455" t="s">
        <v>36</v>
      </c>
      <c r="AH455" t="s">
        <v>36</v>
      </c>
      <c r="AI455" t="s">
        <v>36</v>
      </c>
      <c r="AJ455" t="s">
        <v>36</v>
      </c>
    </row>
    <row r="456" spans="1:36" x14ac:dyDescent="0.35">
      <c r="A456">
        <v>3860</v>
      </c>
      <c r="B456" t="s">
        <v>994</v>
      </c>
      <c r="C456" t="s">
        <v>36</v>
      </c>
      <c r="D456" t="s">
        <v>36</v>
      </c>
      <c r="E456" t="s">
        <v>36</v>
      </c>
      <c r="F456" t="s">
        <v>36</v>
      </c>
      <c r="G456" t="s">
        <v>36</v>
      </c>
      <c r="H456" t="s">
        <v>36</v>
      </c>
      <c r="I456" t="s">
        <v>36</v>
      </c>
      <c r="J456" t="s">
        <v>36</v>
      </c>
      <c r="K456" t="s">
        <v>36</v>
      </c>
      <c r="L456" t="s">
        <v>36</v>
      </c>
      <c r="M456" t="s">
        <v>36</v>
      </c>
      <c r="N456" t="s">
        <v>36</v>
      </c>
      <c r="O456" t="s">
        <v>36</v>
      </c>
      <c r="P456" t="s">
        <v>36</v>
      </c>
      <c r="Q456" t="s">
        <v>36</v>
      </c>
      <c r="R456" t="s">
        <v>36</v>
      </c>
      <c r="S456" t="s">
        <v>36</v>
      </c>
      <c r="T456" t="s">
        <v>36</v>
      </c>
      <c r="U456" t="s">
        <v>36</v>
      </c>
      <c r="V456" t="s">
        <v>36</v>
      </c>
      <c r="W456" t="s">
        <v>36</v>
      </c>
      <c r="X456" t="s">
        <v>36</v>
      </c>
      <c r="Y456" t="s">
        <v>36</v>
      </c>
      <c r="Z456" t="s">
        <v>36</v>
      </c>
      <c r="AA456" t="s">
        <v>36</v>
      </c>
      <c r="AB456" t="s">
        <v>36</v>
      </c>
      <c r="AC456" t="s">
        <v>36</v>
      </c>
      <c r="AD456" t="s">
        <v>36</v>
      </c>
      <c r="AE456" t="s">
        <v>36</v>
      </c>
      <c r="AF456" t="s">
        <v>36</v>
      </c>
      <c r="AG456" t="s">
        <v>36</v>
      </c>
      <c r="AH456" t="s">
        <v>36</v>
      </c>
      <c r="AI456" t="s">
        <v>36</v>
      </c>
      <c r="AJ456" t="s">
        <v>36</v>
      </c>
    </row>
    <row r="457" spans="1:36" x14ac:dyDescent="0.35">
      <c r="A457">
        <v>76</v>
      </c>
      <c r="B457" t="s">
        <v>289</v>
      </c>
      <c r="C457" s="1">
        <v>42528.291666666664</v>
      </c>
      <c r="D457" s="1">
        <v>42087</v>
      </c>
      <c r="E457" s="1">
        <v>43526.347222222219</v>
      </c>
      <c r="F457" s="1">
        <v>43526.319444444445</v>
      </c>
      <c r="G457" s="1">
        <v>43530</v>
      </c>
      <c r="H457" s="1">
        <v>43626.604166666664</v>
      </c>
      <c r="I457" s="1">
        <v>38757.354166666664</v>
      </c>
      <c r="J457" s="1">
        <v>39631.4375</v>
      </c>
      <c r="K457" s="1">
        <v>42528.291666666664</v>
      </c>
      <c r="L457" s="1">
        <v>42058.680555555555</v>
      </c>
      <c r="M457" s="1">
        <v>43348.625</v>
      </c>
      <c r="N457" s="1">
        <v>42735.993055555555</v>
      </c>
      <c r="O457" s="1">
        <v>42206.583333333336</v>
      </c>
      <c r="P457" s="1">
        <v>43559</v>
      </c>
      <c r="Q457" s="1">
        <v>40215.493055555555</v>
      </c>
      <c r="R457" s="1">
        <v>43329.319444444445</v>
      </c>
      <c r="S457" s="1">
        <v>43467.236111111109</v>
      </c>
      <c r="T457" s="1">
        <v>43557</v>
      </c>
      <c r="U457" s="1">
        <v>43618.270833333336</v>
      </c>
      <c r="V457" s="1">
        <v>42473.520833333336</v>
      </c>
      <c r="W457" s="1">
        <v>42735.993055555555</v>
      </c>
      <c r="X457" s="1">
        <v>42193.652777777781</v>
      </c>
      <c r="Y457" t="s">
        <v>36</v>
      </c>
      <c r="Z457" s="1">
        <v>42648.465277777781</v>
      </c>
      <c r="AA457" s="1">
        <v>43616.951388888891</v>
      </c>
      <c r="AB457" s="1">
        <v>42486.548611111109</v>
      </c>
      <c r="AC457" s="1">
        <v>42485.743055555555</v>
      </c>
      <c r="AD457" s="1">
        <v>43009</v>
      </c>
      <c r="AE457" t="s">
        <v>36</v>
      </c>
      <c r="AF457" s="1">
        <v>43529</v>
      </c>
      <c r="AG457" t="s">
        <v>36</v>
      </c>
      <c r="AH457" s="1">
        <v>43556.604166666664</v>
      </c>
      <c r="AI457" s="1">
        <v>43530</v>
      </c>
      <c r="AJ457" s="1">
        <v>43528</v>
      </c>
    </row>
    <row r="458" spans="1:36" x14ac:dyDescent="0.35">
      <c r="A458">
        <v>75</v>
      </c>
      <c r="B458" t="s">
        <v>288</v>
      </c>
      <c r="C458" s="1">
        <v>42528.291666666664</v>
      </c>
      <c r="D458" s="1">
        <v>42087</v>
      </c>
      <c r="E458" s="1">
        <v>43526.347222222219</v>
      </c>
      <c r="F458" s="1">
        <v>43526.319444444445</v>
      </c>
      <c r="G458" s="1">
        <v>43530</v>
      </c>
      <c r="H458" s="1">
        <v>43626.604166666664</v>
      </c>
      <c r="I458" s="1">
        <v>38757.354166666664</v>
      </c>
      <c r="J458" s="1">
        <v>39631.4375</v>
      </c>
      <c r="K458" s="1">
        <v>42528.291666666664</v>
      </c>
      <c r="L458" s="1">
        <v>42058.680555555555</v>
      </c>
      <c r="M458" s="1">
        <v>43348.625</v>
      </c>
      <c r="N458" s="1">
        <v>42735.993055555555</v>
      </c>
      <c r="O458" s="1">
        <v>42206.583333333336</v>
      </c>
      <c r="P458" s="1">
        <v>43557</v>
      </c>
      <c r="Q458" s="1">
        <v>40215.493055555555</v>
      </c>
      <c r="R458" s="1">
        <v>43329.319444444445</v>
      </c>
      <c r="S458" s="1">
        <v>43467.236111111109</v>
      </c>
      <c r="T458" s="1">
        <v>43557</v>
      </c>
      <c r="U458" s="1">
        <v>43618.270833333336</v>
      </c>
      <c r="V458" s="1">
        <v>42473.520833333336</v>
      </c>
      <c r="W458" s="1">
        <v>42735.993055555555</v>
      </c>
      <c r="X458" s="1">
        <v>42193.652777777781</v>
      </c>
      <c r="Y458" t="s">
        <v>36</v>
      </c>
      <c r="Z458" s="1">
        <v>42648.465277777781</v>
      </c>
      <c r="AA458" s="1">
        <v>43616.951388888891</v>
      </c>
      <c r="AB458" s="1">
        <v>42486.548611111109</v>
      </c>
      <c r="AC458" s="1">
        <v>42485.743055555555</v>
      </c>
      <c r="AD458" s="1">
        <v>43009</v>
      </c>
      <c r="AE458" t="s">
        <v>36</v>
      </c>
      <c r="AF458" s="1">
        <v>43529</v>
      </c>
      <c r="AG458" t="s">
        <v>36</v>
      </c>
      <c r="AH458" s="1">
        <v>43556.604166666664</v>
      </c>
      <c r="AI458" s="1">
        <v>43530</v>
      </c>
      <c r="AJ458" s="1">
        <v>43528</v>
      </c>
    </row>
    <row r="459" spans="1:36" x14ac:dyDescent="0.35">
      <c r="A459">
        <v>74</v>
      </c>
      <c r="B459" t="s">
        <v>287</v>
      </c>
      <c r="C459" s="1">
        <v>42528.291666666664</v>
      </c>
      <c r="D459" s="1">
        <v>42087</v>
      </c>
      <c r="E459" s="1">
        <v>43526.347222222219</v>
      </c>
      <c r="F459" s="1">
        <v>43526.319444444445</v>
      </c>
      <c r="G459" s="1">
        <v>43530</v>
      </c>
      <c r="H459" s="1">
        <v>43626.604166666664</v>
      </c>
      <c r="I459" s="1">
        <v>38757.354166666664</v>
      </c>
      <c r="J459" s="1">
        <v>39631.4375</v>
      </c>
      <c r="K459" s="1">
        <v>42528.291666666664</v>
      </c>
      <c r="L459" s="1">
        <v>42058.680555555555</v>
      </c>
      <c r="M459" s="1">
        <v>43348.625</v>
      </c>
      <c r="N459" s="1">
        <v>42735.993055555555</v>
      </c>
      <c r="O459" s="1">
        <v>42206.583333333336</v>
      </c>
      <c r="P459" s="1">
        <v>43557</v>
      </c>
      <c r="Q459" t="s">
        <v>36</v>
      </c>
      <c r="R459" s="1">
        <v>43329.319444444445</v>
      </c>
      <c r="S459" s="1">
        <v>43467.236111111109</v>
      </c>
      <c r="T459" s="1">
        <v>43557</v>
      </c>
      <c r="U459" s="1">
        <v>43618.270833333336</v>
      </c>
      <c r="V459" s="1">
        <v>42473.520833333336</v>
      </c>
      <c r="W459" s="1">
        <v>42735.993055555555</v>
      </c>
      <c r="X459" s="1">
        <v>42193.652777777781</v>
      </c>
      <c r="Y459" t="s">
        <v>36</v>
      </c>
      <c r="Z459" s="1">
        <v>42648.465277777781</v>
      </c>
      <c r="AA459" s="1">
        <v>43616.951388888891</v>
      </c>
      <c r="AB459" s="1">
        <v>42486.548611111109</v>
      </c>
      <c r="AC459" s="1">
        <v>42485.743055555555</v>
      </c>
      <c r="AD459" s="1">
        <v>43009</v>
      </c>
      <c r="AE459" t="s">
        <v>36</v>
      </c>
      <c r="AF459" s="1">
        <v>43529</v>
      </c>
      <c r="AG459" t="s">
        <v>36</v>
      </c>
      <c r="AH459" s="1">
        <v>43556.604166666664</v>
      </c>
      <c r="AI459" s="1">
        <v>43530</v>
      </c>
      <c r="AJ459" s="1">
        <v>43528</v>
      </c>
    </row>
    <row r="460" spans="1:36" x14ac:dyDescent="0.35">
      <c r="A460">
        <v>155</v>
      </c>
      <c r="B460" t="s">
        <v>127</v>
      </c>
      <c r="C460" t="s">
        <v>36</v>
      </c>
      <c r="D460" t="s">
        <v>36</v>
      </c>
      <c r="E460" t="s">
        <v>36</v>
      </c>
      <c r="F460" t="s">
        <v>36</v>
      </c>
      <c r="G460" s="1">
        <v>41426</v>
      </c>
      <c r="H460" t="s">
        <v>36</v>
      </c>
      <c r="I460" t="s">
        <v>36</v>
      </c>
      <c r="J460" t="s">
        <v>36</v>
      </c>
      <c r="K460" t="s">
        <v>36</v>
      </c>
      <c r="L460" t="s">
        <v>36</v>
      </c>
      <c r="M460" s="1">
        <v>43348.631944444445</v>
      </c>
      <c r="N460" t="s">
        <v>36</v>
      </c>
      <c r="O460" t="s">
        <v>36</v>
      </c>
      <c r="P460" s="1">
        <v>43059.576388888891</v>
      </c>
      <c r="Q460" t="s">
        <v>36</v>
      </c>
      <c r="R460" t="s">
        <v>36</v>
      </c>
      <c r="S460" t="s">
        <v>36</v>
      </c>
      <c r="T460" s="1">
        <v>42528.291666666664</v>
      </c>
      <c r="U460" t="s">
        <v>36</v>
      </c>
      <c r="V460" t="s">
        <v>36</v>
      </c>
      <c r="W460" t="s">
        <v>36</v>
      </c>
      <c r="X460" s="1">
        <v>42577.583333333336</v>
      </c>
      <c r="Y460" t="s">
        <v>36</v>
      </c>
      <c r="Z460" t="s">
        <v>36</v>
      </c>
      <c r="AA460" t="s">
        <v>36</v>
      </c>
      <c r="AB460" t="s">
        <v>36</v>
      </c>
      <c r="AC460" t="s">
        <v>36</v>
      </c>
      <c r="AD460" t="s">
        <v>36</v>
      </c>
      <c r="AE460" t="s">
        <v>36</v>
      </c>
      <c r="AF460" s="1">
        <v>42058.680555555555</v>
      </c>
      <c r="AG460" s="32">
        <v>43040</v>
      </c>
      <c r="AH460" t="s">
        <v>36</v>
      </c>
      <c r="AI460" s="1">
        <v>41426</v>
      </c>
      <c r="AJ460" s="1">
        <v>43059.576388888891</v>
      </c>
    </row>
    <row r="461" spans="1:36" x14ac:dyDescent="0.35">
      <c r="A461">
        <v>324</v>
      </c>
      <c r="B461" t="s">
        <v>192</v>
      </c>
      <c r="C461" t="s">
        <v>36</v>
      </c>
      <c r="D461" t="s">
        <v>36</v>
      </c>
      <c r="E461" t="s">
        <v>36</v>
      </c>
      <c r="F461" t="s">
        <v>36</v>
      </c>
      <c r="G461" s="1">
        <v>41426</v>
      </c>
      <c r="H461" t="s">
        <v>36</v>
      </c>
      <c r="I461" t="s">
        <v>36</v>
      </c>
      <c r="J461" t="s">
        <v>36</v>
      </c>
      <c r="K461" t="s">
        <v>36</v>
      </c>
      <c r="L461" t="s">
        <v>36</v>
      </c>
      <c r="M461" t="s">
        <v>36</v>
      </c>
      <c r="N461" t="s">
        <v>36</v>
      </c>
      <c r="O461" t="s">
        <v>36</v>
      </c>
      <c r="P461" s="1">
        <v>43059.576388888891</v>
      </c>
      <c r="Q461" t="s">
        <v>36</v>
      </c>
      <c r="R461" t="s">
        <v>36</v>
      </c>
      <c r="S461" t="s">
        <v>36</v>
      </c>
      <c r="T461" s="1">
        <v>42528.291666666664</v>
      </c>
      <c r="U461" t="s">
        <v>36</v>
      </c>
      <c r="V461" t="s">
        <v>36</v>
      </c>
      <c r="W461" t="s">
        <v>36</v>
      </c>
      <c r="X461" t="s">
        <v>36</v>
      </c>
      <c r="Y461" t="s">
        <v>36</v>
      </c>
      <c r="Z461" t="s">
        <v>36</v>
      </c>
      <c r="AA461" t="s">
        <v>36</v>
      </c>
      <c r="AB461" t="s">
        <v>36</v>
      </c>
      <c r="AC461" t="s">
        <v>36</v>
      </c>
      <c r="AD461" t="s">
        <v>36</v>
      </c>
      <c r="AE461" t="s">
        <v>36</v>
      </c>
      <c r="AF461" s="1">
        <v>42058.680555555555</v>
      </c>
      <c r="AG461" s="32">
        <v>43040</v>
      </c>
      <c r="AH461" t="s">
        <v>36</v>
      </c>
      <c r="AI461" s="1">
        <v>41426</v>
      </c>
      <c r="AJ461" s="1">
        <v>43059.576388888891</v>
      </c>
    </row>
    <row r="462" spans="1:36" x14ac:dyDescent="0.35">
      <c r="A462">
        <v>87</v>
      </c>
      <c r="B462" t="s">
        <v>100</v>
      </c>
      <c r="C462" s="1">
        <v>42528.291666666664</v>
      </c>
      <c r="D462" t="s">
        <v>36</v>
      </c>
      <c r="E462" t="s">
        <v>36</v>
      </c>
      <c r="F462" t="s">
        <v>36</v>
      </c>
      <c r="G462" s="1">
        <v>41426</v>
      </c>
      <c r="H462" t="s">
        <v>36</v>
      </c>
      <c r="I462" t="s">
        <v>36</v>
      </c>
      <c r="J462" s="1">
        <v>39631.4375</v>
      </c>
      <c r="K462" s="1">
        <v>42528.291666666664</v>
      </c>
      <c r="L462" s="1">
        <v>42058.680555555555</v>
      </c>
      <c r="M462" s="1">
        <v>43348.631944444445</v>
      </c>
      <c r="N462" t="s">
        <v>36</v>
      </c>
      <c r="O462" t="s">
        <v>36</v>
      </c>
      <c r="P462" s="1">
        <v>43059.576388888891</v>
      </c>
      <c r="Q462" t="s">
        <v>36</v>
      </c>
      <c r="R462" t="s">
        <v>36</v>
      </c>
      <c r="S462" t="s">
        <v>36</v>
      </c>
      <c r="T462" s="1">
        <v>42528.291666666664</v>
      </c>
      <c r="U462" t="s">
        <v>36</v>
      </c>
      <c r="V462" s="1">
        <v>42473.527777777781</v>
      </c>
      <c r="W462" s="1">
        <v>42735.993055555555</v>
      </c>
      <c r="X462" t="s">
        <v>36</v>
      </c>
      <c r="Y462" t="s">
        <v>36</v>
      </c>
      <c r="Z462" s="1">
        <v>42648.465277777781</v>
      </c>
      <c r="AA462" t="s">
        <v>36</v>
      </c>
      <c r="AB462" t="s">
        <v>36</v>
      </c>
      <c r="AC462" s="1">
        <v>42485.75</v>
      </c>
      <c r="AD462" s="1">
        <v>43009</v>
      </c>
      <c r="AE462" t="s">
        <v>36</v>
      </c>
      <c r="AF462" s="1">
        <v>42058.680555555555</v>
      </c>
      <c r="AG462" s="32">
        <v>43040</v>
      </c>
      <c r="AH462" t="s">
        <v>36</v>
      </c>
      <c r="AI462" s="1">
        <v>41426</v>
      </c>
      <c r="AJ462" s="1">
        <v>43059.576388888891</v>
      </c>
    </row>
    <row r="463" spans="1:36" x14ac:dyDescent="0.35">
      <c r="A463">
        <v>336</v>
      </c>
      <c r="B463" t="s">
        <v>204</v>
      </c>
      <c r="C463" t="s">
        <v>36</v>
      </c>
      <c r="D463" t="s">
        <v>36</v>
      </c>
      <c r="E463" t="s">
        <v>36</v>
      </c>
      <c r="F463" t="s">
        <v>36</v>
      </c>
      <c r="G463" s="1">
        <v>41426</v>
      </c>
      <c r="H463" t="s">
        <v>36</v>
      </c>
      <c r="I463" t="s">
        <v>36</v>
      </c>
      <c r="J463" t="s">
        <v>36</v>
      </c>
      <c r="K463" t="s">
        <v>36</v>
      </c>
      <c r="L463" t="s">
        <v>36</v>
      </c>
      <c r="M463" t="s">
        <v>36</v>
      </c>
      <c r="N463" t="s">
        <v>36</v>
      </c>
      <c r="O463" t="s">
        <v>36</v>
      </c>
      <c r="P463" s="1">
        <v>43059.576388888891</v>
      </c>
      <c r="Q463" t="s">
        <v>36</v>
      </c>
      <c r="R463" t="s">
        <v>36</v>
      </c>
      <c r="S463" t="s">
        <v>36</v>
      </c>
      <c r="T463" s="1">
        <v>42528.291666666664</v>
      </c>
      <c r="U463" t="s">
        <v>36</v>
      </c>
      <c r="V463" t="s">
        <v>36</v>
      </c>
      <c r="W463" t="s">
        <v>36</v>
      </c>
      <c r="X463" t="s">
        <v>36</v>
      </c>
      <c r="Y463" t="s">
        <v>36</v>
      </c>
      <c r="Z463" t="s">
        <v>36</v>
      </c>
      <c r="AA463" t="s">
        <v>36</v>
      </c>
      <c r="AB463" t="s">
        <v>36</v>
      </c>
      <c r="AC463" t="s">
        <v>36</v>
      </c>
      <c r="AD463" t="s">
        <v>36</v>
      </c>
      <c r="AE463" t="s">
        <v>36</v>
      </c>
      <c r="AF463" s="1">
        <v>42058.680555555555</v>
      </c>
      <c r="AG463" s="32">
        <v>43040</v>
      </c>
      <c r="AH463" t="s">
        <v>36</v>
      </c>
      <c r="AI463" s="1">
        <v>41426</v>
      </c>
      <c r="AJ463" s="1">
        <v>43059.576388888891</v>
      </c>
    </row>
    <row r="464" spans="1:36" x14ac:dyDescent="0.35">
      <c r="A464">
        <v>91</v>
      </c>
      <c r="B464" t="s">
        <v>102</v>
      </c>
      <c r="C464" s="1">
        <v>42528.291666666664</v>
      </c>
      <c r="D464" t="s">
        <v>36</v>
      </c>
      <c r="E464" t="s">
        <v>36</v>
      </c>
      <c r="F464" t="s">
        <v>36</v>
      </c>
      <c r="G464" s="1">
        <v>41426</v>
      </c>
      <c r="H464" t="s">
        <v>36</v>
      </c>
      <c r="I464" t="s">
        <v>36</v>
      </c>
      <c r="J464" s="1">
        <v>39631.4375</v>
      </c>
      <c r="K464" s="1">
        <v>42528.291666666664</v>
      </c>
      <c r="L464" s="1">
        <v>42058.680555555555</v>
      </c>
      <c r="M464" s="1">
        <v>43348.631944444445</v>
      </c>
      <c r="N464" t="s">
        <v>36</v>
      </c>
      <c r="O464" t="s">
        <v>36</v>
      </c>
      <c r="P464" s="1">
        <v>43059.576388888891</v>
      </c>
      <c r="Q464" t="s">
        <v>36</v>
      </c>
      <c r="R464" t="s">
        <v>36</v>
      </c>
      <c r="S464" t="s">
        <v>36</v>
      </c>
      <c r="T464" s="1">
        <v>42528.291666666664</v>
      </c>
      <c r="U464" t="s">
        <v>36</v>
      </c>
      <c r="V464" s="1">
        <v>42473.527777777781</v>
      </c>
      <c r="W464" s="1">
        <v>42735.993055555555</v>
      </c>
      <c r="X464" t="s">
        <v>36</v>
      </c>
      <c r="Y464" t="s">
        <v>36</v>
      </c>
      <c r="Z464" s="1">
        <v>42648.465277777781</v>
      </c>
      <c r="AA464" t="s">
        <v>36</v>
      </c>
      <c r="AB464" t="s">
        <v>36</v>
      </c>
      <c r="AC464" s="1">
        <v>42485.75</v>
      </c>
      <c r="AD464" s="1">
        <v>43009</v>
      </c>
      <c r="AE464" t="s">
        <v>36</v>
      </c>
      <c r="AF464" s="1">
        <v>42058.680555555555</v>
      </c>
      <c r="AG464" s="32">
        <v>43040</v>
      </c>
      <c r="AH464" t="s">
        <v>36</v>
      </c>
      <c r="AI464" s="1">
        <v>41426</v>
      </c>
      <c r="AJ464" s="1">
        <v>43059.576388888891</v>
      </c>
    </row>
    <row r="465" spans="1:36" x14ac:dyDescent="0.35">
      <c r="A465">
        <v>337</v>
      </c>
      <c r="B465" t="s">
        <v>205</v>
      </c>
      <c r="C465" t="s">
        <v>36</v>
      </c>
      <c r="D465" t="s">
        <v>36</v>
      </c>
      <c r="E465" t="s">
        <v>36</v>
      </c>
      <c r="F465" t="s">
        <v>36</v>
      </c>
      <c r="G465" s="1">
        <v>41426</v>
      </c>
      <c r="H465" t="s">
        <v>36</v>
      </c>
      <c r="I465" t="s">
        <v>36</v>
      </c>
      <c r="J465" t="s">
        <v>36</v>
      </c>
      <c r="K465" t="s">
        <v>36</v>
      </c>
      <c r="L465" t="s">
        <v>36</v>
      </c>
      <c r="M465" t="s">
        <v>36</v>
      </c>
      <c r="N465" t="s">
        <v>36</v>
      </c>
      <c r="O465" t="s">
        <v>36</v>
      </c>
      <c r="P465" s="1">
        <v>43059.576388888891</v>
      </c>
      <c r="Q465" t="s">
        <v>36</v>
      </c>
      <c r="R465" t="s">
        <v>36</v>
      </c>
      <c r="S465" t="s">
        <v>36</v>
      </c>
      <c r="T465" s="1">
        <v>42528.291666666664</v>
      </c>
      <c r="U465" t="s">
        <v>36</v>
      </c>
      <c r="V465" t="s">
        <v>36</v>
      </c>
      <c r="W465" t="s">
        <v>36</v>
      </c>
      <c r="X465" t="s">
        <v>36</v>
      </c>
      <c r="Y465" t="s">
        <v>36</v>
      </c>
      <c r="Z465" t="s">
        <v>36</v>
      </c>
      <c r="AA465" t="s">
        <v>36</v>
      </c>
      <c r="AB465" t="s">
        <v>36</v>
      </c>
      <c r="AC465" t="s">
        <v>36</v>
      </c>
      <c r="AD465" t="s">
        <v>36</v>
      </c>
      <c r="AE465" t="s">
        <v>36</v>
      </c>
      <c r="AF465" s="1">
        <v>42058.680555555555</v>
      </c>
      <c r="AG465" s="32">
        <v>43040</v>
      </c>
      <c r="AH465" t="s">
        <v>36</v>
      </c>
      <c r="AI465" s="1">
        <v>41426</v>
      </c>
      <c r="AJ465" s="1">
        <v>43059.576388888891</v>
      </c>
    </row>
    <row r="466" spans="1:36" x14ac:dyDescent="0.35">
      <c r="A466">
        <v>7</v>
      </c>
      <c r="B466" t="s">
        <v>42</v>
      </c>
      <c r="C466" s="1">
        <v>42528.291666666664</v>
      </c>
      <c r="D466" s="1">
        <v>42058.680555555555</v>
      </c>
      <c r="E466" s="1">
        <v>39245.465277777781</v>
      </c>
      <c r="F466" s="1">
        <v>42735.993055555555</v>
      </c>
      <c r="G466" s="1">
        <v>41426</v>
      </c>
      <c r="H466" s="1">
        <v>43059.576388888891</v>
      </c>
      <c r="I466" s="1">
        <v>38757.354166666664</v>
      </c>
      <c r="J466" s="1">
        <v>39631.4375</v>
      </c>
      <c r="K466" s="1">
        <v>42528.291666666664</v>
      </c>
      <c r="L466" s="1">
        <v>42058.680555555555</v>
      </c>
      <c r="M466" s="1">
        <v>43348.625</v>
      </c>
      <c r="N466" s="1">
        <v>42735.993055555555</v>
      </c>
      <c r="O466" s="1">
        <v>42206.583333333336</v>
      </c>
      <c r="P466" s="1">
        <v>43059.576388888891</v>
      </c>
      <c r="Q466" s="1">
        <v>40215.493055555555</v>
      </c>
      <c r="R466" t="s">
        <v>36</v>
      </c>
      <c r="S466" s="1">
        <v>42735.993055555555</v>
      </c>
      <c r="T466" s="1">
        <v>42528.291666666664</v>
      </c>
      <c r="U466" s="1">
        <v>43054.631944444445</v>
      </c>
      <c r="V466" s="1">
        <v>42473.506944444445</v>
      </c>
      <c r="W466" s="1">
        <v>42735.993055555555</v>
      </c>
      <c r="X466" s="1">
        <v>42193.652777777781</v>
      </c>
      <c r="Y466" t="s">
        <v>36</v>
      </c>
      <c r="Z466" s="1">
        <v>42648.465277777781</v>
      </c>
      <c r="AA466" s="1">
        <v>43054.611111111109</v>
      </c>
      <c r="AB466" s="1">
        <v>41225.597222222219</v>
      </c>
      <c r="AC466" s="1">
        <v>42485.743055555555</v>
      </c>
      <c r="AD466" s="1">
        <v>43009</v>
      </c>
      <c r="AE466" t="s">
        <v>36</v>
      </c>
      <c r="AF466" s="1">
        <v>42058.680555555555</v>
      </c>
      <c r="AG466" s="32">
        <v>43040</v>
      </c>
      <c r="AH466" s="1">
        <v>42735.993055555555</v>
      </c>
      <c r="AI466" s="1">
        <v>41426</v>
      </c>
      <c r="AJ466" s="1">
        <v>43059.576388888891</v>
      </c>
    </row>
    <row r="467" spans="1:36" x14ac:dyDescent="0.35">
      <c r="A467">
        <v>927</v>
      </c>
      <c r="B467" t="s">
        <v>295</v>
      </c>
      <c r="C467" s="1">
        <v>42713.361111111109</v>
      </c>
      <c r="D467" s="1">
        <v>42087</v>
      </c>
      <c r="E467" s="1">
        <v>43526.347222222219</v>
      </c>
      <c r="F467" s="1">
        <v>43526.319444444445</v>
      </c>
      <c r="G467" s="1">
        <v>43530</v>
      </c>
      <c r="H467" s="1">
        <v>43626.604166666664</v>
      </c>
      <c r="I467" s="1">
        <v>38757.354166666664</v>
      </c>
      <c r="J467" s="1">
        <v>39631.4375</v>
      </c>
      <c r="K467" s="1">
        <v>42692.493055555555</v>
      </c>
      <c r="L467" s="1">
        <v>42058.680555555555</v>
      </c>
      <c r="M467" s="1">
        <v>43348.625</v>
      </c>
      <c r="N467" s="1">
        <v>42735.993055555555</v>
      </c>
      <c r="O467" s="1">
        <v>42206.583333333336</v>
      </c>
      <c r="P467" s="1">
        <v>43559</v>
      </c>
      <c r="Q467" t="s">
        <v>36</v>
      </c>
      <c r="R467" t="s">
        <v>36</v>
      </c>
      <c r="S467" s="1">
        <v>43467.236111111109</v>
      </c>
      <c r="T467" s="1">
        <v>43557</v>
      </c>
      <c r="U467" s="1">
        <v>43618.270833333336</v>
      </c>
      <c r="V467" s="1">
        <v>42719.638888888891</v>
      </c>
      <c r="W467" s="1">
        <v>42735.993055555555</v>
      </c>
      <c r="X467" s="1">
        <v>42193.652777777781</v>
      </c>
      <c r="Y467" t="s">
        <v>36</v>
      </c>
      <c r="Z467" s="1">
        <v>42713.590277777781</v>
      </c>
      <c r="AA467" s="1">
        <v>43616.951388888891</v>
      </c>
      <c r="AB467" s="1">
        <v>42692.5</v>
      </c>
      <c r="AC467" s="1">
        <v>42692.5</v>
      </c>
      <c r="AD467" s="1">
        <v>43009</v>
      </c>
      <c r="AE467" t="s">
        <v>36</v>
      </c>
      <c r="AF467" s="1">
        <v>43529</v>
      </c>
      <c r="AG467" t="s">
        <v>36</v>
      </c>
      <c r="AH467" s="1">
        <v>43556.604166666664</v>
      </c>
      <c r="AI467" s="1">
        <v>43530</v>
      </c>
      <c r="AJ467" s="1">
        <v>43528</v>
      </c>
    </row>
    <row r="468" spans="1:36" x14ac:dyDescent="0.35">
      <c r="A468">
        <v>928</v>
      </c>
      <c r="B468" t="s">
        <v>296</v>
      </c>
      <c r="C468" s="1">
        <v>42713.361111111109</v>
      </c>
      <c r="D468" s="1">
        <v>42087</v>
      </c>
      <c r="E468" s="1">
        <v>43526.347222222219</v>
      </c>
      <c r="F468" s="1">
        <v>43526.319444444445</v>
      </c>
      <c r="G468" s="1">
        <v>43530</v>
      </c>
      <c r="H468" s="1">
        <v>43626.604166666664</v>
      </c>
      <c r="I468" s="1">
        <v>38757.354166666664</v>
      </c>
      <c r="J468" s="1">
        <v>39631.4375</v>
      </c>
      <c r="K468" s="1">
        <v>42692.493055555555</v>
      </c>
      <c r="L468" s="1">
        <v>42058.680555555555</v>
      </c>
      <c r="M468" s="1">
        <v>43348.625</v>
      </c>
      <c r="N468" s="1">
        <v>42735.993055555555</v>
      </c>
      <c r="O468" s="1">
        <v>42206.583333333336</v>
      </c>
      <c r="P468" s="1">
        <v>43557</v>
      </c>
      <c r="Q468" t="s">
        <v>36</v>
      </c>
      <c r="R468" t="s">
        <v>36</v>
      </c>
      <c r="S468" s="1">
        <v>43467.236111111109</v>
      </c>
      <c r="T468" s="1">
        <v>43557</v>
      </c>
      <c r="U468" s="1">
        <v>43618.270833333336</v>
      </c>
      <c r="V468" s="1">
        <v>42719.638888888891</v>
      </c>
      <c r="W468" s="1">
        <v>42735.993055555555</v>
      </c>
      <c r="X468" s="1">
        <v>42193.652777777781</v>
      </c>
      <c r="Y468" t="s">
        <v>36</v>
      </c>
      <c r="Z468" s="1">
        <v>42713.590277777781</v>
      </c>
      <c r="AA468" s="1">
        <v>43616.951388888891</v>
      </c>
      <c r="AB468" s="1">
        <v>42692.5</v>
      </c>
      <c r="AC468" s="1">
        <v>42692.5</v>
      </c>
      <c r="AD468" s="1">
        <v>43009</v>
      </c>
      <c r="AE468" t="s">
        <v>36</v>
      </c>
      <c r="AF468" s="1">
        <v>43529</v>
      </c>
      <c r="AG468" t="s">
        <v>36</v>
      </c>
      <c r="AH468" s="1">
        <v>43556.604166666664</v>
      </c>
      <c r="AI468" s="1">
        <v>43530</v>
      </c>
      <c r="AJ468" s="1">
        <v>43528</v>
      </c>
    </row>
    <row r="469" spans="1:36" x14ac:dyDescent="0.35">
      <c r="A469">
        <v>929</v>
      </c>
      <c r="B469" t="s">
        <v>297</v>
      </c>
      <c r="C469" s="1">
        <v>42713.361111111109</v>
      </c>
      <c r="D469" s="1">
        <v>42087</v>
      </c>
      <c r="E469" s="1">
        <v>43526.347222222219</v>
      </c>
      <c r="F469" s="1">
        <v>43526.319444444445</v>
      </c>
      <c r="G469" s="1">
        <v>43530</v>
      </c>
      <c r="H469" s="1">
        <v>43626.604166666664</v>
      </c>
      <c r="I469" s="1">
        <v>38757.354166666664</v>
      </c>
      <c r="J469" s="1">
        <v>39631.4375</v>
      </c>
      <c r="K469" s="1">
        <v>42692.493055555555</v>
      </c>
      <c r="L469" s="1">
        <v>42058.680555555555</v>
      </c>
      <c r="M469" s="1">
        <v>43348.625</v>
      </c>
      <c r="N469" s="1">
        <v>42735.993055555555</v>
      </c>
      <c r="O469" s="1">
        <v>42206.583333333336</v>
      </c>
      <c r="P469" s="1">
        <v>43557</v>
      </c>
      <c r="Q469" t="s">
        <v>36</v>
      </c>
      <c r="R469" t="s">
        <v>36</v>
      </c>
      <c r="S469" s="1">
        <v>43467.236111111109</v>
      </c>
      <c r="T469" s="1">
        <v>43557</v>
      </c>
      <c r="U469" s="1">
        <v>43618.270833333336</v>
      </c>
      <c r="V469" s="1">
        <v>42719.638888888891</v>
      </c>
      <c r="W469" s="1">
        <v>42735.993055555555</v>
      </c>
      <c r="X469" s="1">
        <v>42193.652777777781</v>
      </c>
      <c r="Y469" t="s">
        <v>36</v>
      </c>
      <c r="Z469" s="1">
        <v>42713.590277777781</v>
      </c>
      <c r="AA469" s="1">
        <v>43616.951388888891</v>
      </c>
      <c r="AB469" s="1">
        <v>42692.5</v>
      </c>
      <c r="AC469" s="1">
        <v>42692.5</v>
      </c>
      <c r="AD469" s="1">
        <v>43009</v>
      </c>
      <c r="AE469" t="s">
        <v>36</v>
      </c>
      <c r="AF469" s="1">
        <v>43529</v>
      </c>
      <c r="AG469" t="s">
        <v>36</v>
      </c>
      <c r="AH469" s="1">
        <v>43556.604166666664</v>
      </c>
      <c r="AI469" s="1">
        <v>43530</v>
      </c>
      <c r="AJ469" s="1">
        <v>43528</v>
      </c>
    </row>
    <row r="470" spans="1:36" x14ac:dyDescent="0.35">
      <c r="A470">
        <v>3193</v>
      </c>
      <c r="B470" t="s">
        <v>278</v>
      </c>
      <c r="C470" t="s">
        <v>36</v>
      </c>
      <c r="D470" t="s">
        <v>36</v>
      </c>
      <c r="E470" t="s">
        <v>36</v>
      </c>
      <c r="F470" t="s">
        <v>36</v>
      </c>
      <c r="G470" t="s">
        <v>36</v>
      </c>
      <c r="H470" t="s">
        <v>36</v>
      </c>
      <c r="I470" t="s">
        <v>36</v>
      </c>
      <c r="J470" t="s">
        <v>36</v>
      </c>
      <c r="K470" t="s">
        <v>36</v>
      </c>
      <c r="L470" t="s">
        <v>36</v>
      </c>
      <c r="M470" t="s">
        <v>36</v>
      </c>
      <c r="N470" t="s">
        <v>36</v>
      </c>
      <c r="O470" t="s">
        <v>36</v>
      </c>
      <c r="P470" t="s">
        <v>36</v>
      </c>
      <c r="Q470" t="s">
        <v>36</v>
      </c>
      <c r="R470" t="s">
        <v>36</v>
      </c>
      <c r="S470" t="s">
        <v>36</v>
      </c>
      <c r="T470" t="s">
        <v>36</v>
      </c>
      <c r="U470" t="s">
        <v>36</v>
      </c>
      <c r="V470" t="s">
        <v>36</v>
      </c>
      <c r="W470" t="s">
        <v>36</v>
      </c>
      <c r="X470" t="s">
        <v>36</v>
      </c>
      <c r="Y470" t="s">
        <v>36</v>
      </c>
      <c r="Z470" t="s">
        <v>36</v>
      </c>
      <c r="AA470" t="s">
        <v>36</v>
      </c>
      <c r="AB470" t="s">
        <v>36</v>
      </c>
      <c r="AC470" t="s">
        <v>36</v>
      </c>
      <c r="AD470" t="s">
        <v>36</v>
      </c>
      <c r="AE470" t="s">
        <v>36</v>
      </c>
      <c r="AF470" t="s">
        <v>36</v>
      </c>
      <c r="AG470" t="s">
        <v>36</v>
      </c>
      <c r="AH470" t="s">
        <v>36</v>
      </c>
      <c r="AI470" t="s">
        <v>36</v>
      </c>
      <c r="AJ470" t="s">
        <v>36</v>
      </c>
    </row>
    <row r="471" spans="1:36" x14ac:dyDescent="0.35">
      <c r="A471">
        <v>10</v>
      </c>
      <c r="B471" t="s">
        <v>45</v>
      </c>
      <c r="C471" t="s">
        <v>36</v>
      </c>
      <c r="D471" t="s">
        <v>36</v>
      </c>
      <c r="E471" t="s">
        <v>36</v>
      </c>
      <c r="F471" t="s">
        <v>36</v>
      </c>
      <c r="G471" t="s">
        <v>36</v>
      </c>
      <c r="H471" t="s">
        <v>36</v>
      </c>
      <c r="I471" t="s">
        <v>36</v>
      </c>
      <c r="J471" t="s">
        <v>36</v>
      </c>
      <c r="K471" t="s">
        <v>36</v>
      </c>
      <c r="L471" t="s">
        <v>36</v>
      </c>
      <c r="M471" s="1">
        <v>43348.625</v>
      </c>
      <c r="N471" t="s">
        <v>36</v>
      </c>
      <c r="O471" t="s">
        <v>36</v>
      </c>
      <c r="P471" t="s">
        <v>36</v>
      </c>
      <c r="Q471" s="1">
        <v>40911.534722222219</v>
      </c>
      <c r="R471" t="s">
        <v>36</v>
      </c>
      <c r="S471" t="s">
        <v>36</v>
      </c>
      <c r="T471" t="s">
        <v>36</v>
      </c>
      <c r="U471" t="s">
        <v>36</v>
      </c>
      <c r="V471" t="s">
        <v>36</v>
      </c>
      <c r="W471" s="1">
        <v>42735.993055555555</v>
      </c>
      <c r="X471" t="s">
        <v>36</v>
      </c>
      <c r="Y471" t="s">
        <v>36</v>
      </c>
      <c r="Z471" t="s">
        <v>36</v>
      </c>
      <c r="AA471" t="s">
        <v>36</v>
      </c>
      <c r="AB471" t="s">
        <v>36</v>
      </c>
      <c r="AC471" t="s">
        <v>36</v>
      </c>
      <c r="AD471" t="s">
        <v>36</v>
      </c>
      <c r="AE471" t="s">
        <v>36</v>
      </c>
      <c r="AF471" t="s">
        <v>36</v>
      </c>
      <c r="AG471" t="s">
        <v>36</v>
      </c>
      <c r="AH471" t="s">
        <v>36</v>
      </c>
      <c r="AI471" t="s">
        <v>36</v>
      </c>
      <c r="AJ471" t="s">
        <v>36</v>
      </c>
    </row>
    <row r="472" spans="1:36" x14ac:dyDescent="0.35">
      <c r="A472">
        <v>951</v>
      </c>
      <c r="B472" t="s">
        <v>884</v>
      </c>
      <c r="C472" t="s">
        <v>36</v>
      </c>
      <c r="D472" t="s">
        <v>36</v>
      </c>
      <c r="E472" t="s">
        <v>36</v>
      </c>
      <c r="F472" t="s">
        <v>36</v>
      </c>
      <c r="G472" t="s">
        <v>36</v>
      </c>
      <c r="H472" t="s">
        <v>36</v>
      </c>
      <c r="I472" t="s">
        <v>36</v>
      </c>
      <c r="J472" t="s">
        <v>36</v>
      </c>
      <c r="K472" t="s">
        <v>36</v>
      </c>
      <c r="L472" t="s">
        <v>36</v>
      </c>
      <c r="M472" s="1">
        <v>43348.625</v>
      </c>
      <c r="N472" t="s">
        <v>36</v>
      </c>
      <c r="O472" t="s">
        <v>36</v>
      </c>
      <c r="P472" t="s">
        <v>36</v>
      </c>
      <c r="Q472" s="1">
        <v>42692.527777777781</v>
      </c>
      <c r="R472" t="s">
        <v>36</v>
      </c>
      <c r="S472" t="s">
        <v>36</v>
      </c>
      <c r="T472" t="s">
        <v>36</v>
      </c>
      <c r="U472" t="s">
        <v>36</v>
      </c>
      <c r="V472" t="s">
        <v>36</v>
      </c>
      <c r="W472" s="1">
        <v>42735.993055555555</v>
      </c>
      <c r="X472" t="s">
        <v>36</v>
      </c>
      <c r="Y472" t="s">
        <v>36</v>
      </c>
      <c r="Z472" t="s">
        <v>36</v>
      </c>
      <c r="AA472" t="s">
        <v>36</v>
      </c>
      <c r="AB472" t="s">
        <v>36</v>
      </c>
      <c r="AC472" t="s">
        <v>36</v>
      </c>
      <c r="AD472" t="s">
        <v>36</v>
      </c>
      <c r="AE472" t="s">
        <v>36</v>
      </c>
      <c r="AF472" t="s">
        <v>36</v>
      </c>
      <c r="AG472" t="s">
        <v>36</v>
      </c>
      <c r="AH472" t="s">
        <v>36</v>
      </c>
      <c r="AI472" t="s">
        <v>36</v>
      </c>
      <c r="AJ472" t="s">
        <v>36</v>
      </c>
    </row>
    <row r="473" spans="1:36" x14ac:dyDescent="0.35">
      <c r="A473">
        <v>952</v>
      </c>
      <c r="B473" t="s">
        <v>885</v>
      </c>
      <c r="C473" t="s">
        <v>36</v>
      </c>
      <c r="D473" t="s">
        <v>36</v>
      </c>
      <c r="E473" t="s">
        <v>36</v>
      </c>
      <c r="F473" t="s">
        <v>36</v>
      </c>
      <c r="G473" t="s">
        <v>36</v>
      </c>
      <c r="H473" t="s">
        <v>36</v>
      </c>
      <c r="I473" t="s">
        <v>36</v>
      </c>
      <c r="J473" t="s">
        <v>36</v>
      </c>
      <c r="K473" t="s">
        <v>36</v>
      </c>
      <c r="L473" t="s">
        <v>36</v>
      </c>
      <c r="M473" s="1">
        <v>43348.625</v>
      </c>
      <c r="N473" t="s">
        <v>36</v>
      </c>
      <c r="O473" t="s">
        <v>36</v>
      </c>
      <c r="P473" t="s">
        <v>36</v>
      </c>
      <c r="Q473" s="1">
        <v>42692.527777777781</v>
      </c>
      <c r="R473" t="s">
        <v>36</v>
      </c>
      <c r="S473" t="s">
        <v>36</v>
      </c>
      <c r="T473" t="s">
        <v>36</v>
      </c>
      <c r="U473" t="s">
        <v>36</v>
      </c>
      <c r="V473" t="s">
        <v>36</v>
      </c>
      <c r="W473" s="1">
        <v>42735.993055555555</v>
      </c>
      <c r="X473" t="s">
        <v>36</v>
      </c>
      <c r="Y473" t="s">
        <v>36</v>
      </c>
      <c r="Z473" t="s">
        <v>36</v>
      </c>
      <c r="AA473" t="s">
        <v>36</v>
      </c>
      <c r="AB473" t="s">
        <v>36</v>
      </c>
      <c r="AC473" t="s">
        <v>36</v>
      </c>
      <c r="AD473" t="s">
        <v>36</v>
      </c>
      <c r="AE473" t="s">
        <v>36</v>
      </c>
      <c r="AF473" t="s">
        <v>36</v>
      </c>
      <c r="AG473" t="s">
        <v>36</v>
      </c>
      <c r="AH473" t="s">
        <v>36</v>
      </c>
      <c r="AI473" t="s">
        <v>36</v>
      </c>
      <c r="AJ473" t="s">
        <v>36</v>
      </c>
    </row>
    <row r="474" spans="1:36" x14ac:dyDescent="0.35">
      <c r="A474">
        <v>953</v>
      </c>
      <c r="B474" t="s">
        <v>886</v>
      </c>
      <c r="C474" t="s">
        <v>36</v>
      </c>
      <c r="D474" t="s">
        <v>36</v>
      </c>
      <c r="E474" t="s">
        <v>36</v>
      </c>
      <c r="F474" t="s">
        <v>36</v>
      </c>
      <c r="G474" t="s">
        <v>36</v>
      </c>
      <c r="H474" t="s">
        <v>36</v>
      </c>
      <c r="I474" t="s">
        <v>36</v>
      </c>
      <c r="J474" t="s">
        <v>36</v>
      </c>
      <c r="K474" t="s">
        <v>36</v>
      </c>
      <c r="L474" t="s">
        <v>36</v>
      </c>
      <c r="M474" s="1">
        <v>43348.625</v>
      </c>
      <c r="N474" t="s">
        <v>36</v>
      </c>
      <c r="O474" t="s">
        <v>36</v>
      </c>
      <c r="P474" t="s">
        <v>36</v>
      </c>
      <c r="Q474" s="1">
        <v>42692.527777777781</v>
      </c>
      <c r="R474" t="s">
        <v>36</v>
      </c>
      <c r="S474" t="s">
        <v>36</v>
      </c>
      <c r="T474" t="s">
        <v>36</v>
      </c>
      <c r="U474" t="s">
        <v>36</v>
      </c>
      <c r="V474" t="s">
        <v>36</v>
      </c>
      <c r="W474" s="1">
        <v>42735.993055555555</v>
      </c>
      <c r="X474" t="s">
        <v>36</v>
      </c>
      <c r="Y474" t="s">
        <v>36</v>
      </c>
      <c r="Z474" t="s">
        <v>36</v>
      </c>
      <c r="AA474" t="s">
        <v>36</v>
      </c>
      <c r="AB474" t="s">
        <v>36</v>
      </c>
      <c r="AC474" t="s">
        <v>36</v>
      </c>
      <c r="AD474" t="s">
        <v>36</v>
      </c>
      <c r="AE474" t="s">
        <v>36</v>
      </c>
      <c r="AF474" t="s">
        <v>36</v>
      </c>
      <c r="AG474" t="s">
        <v>36</v>
      </c>
      <c r="AH474" t="s">
        <v>36</v>
      </c>
      <c r="AI474" t="s">
        <v>36</v>
      </c>
      <c r="AJ474" t="s">
        <v>36</v>
      </c>
    </row>
    <row r="475" spans="1:36" x14ac:dyDescent="0.35">
      <c r="A475">
        <v>27</v>
      </c>
      <c r="B475" t="s">
        <v>62</v>
      </c>
      <c r="C475" t="s">
        <v>36</v>
      </c>
      <c r="D475" t="s">
        <v>36</v>
      </c>
      <c r="E475" t="s">
        <v>36</v>
      </c>
      <c r="F475" t="s">
        <v>36</v>
      </c>
      <c r="G475" t="s">
        <v>36</v>
      </c>
      <c r="H475" t="s">
        <v>36</v>
      </c>
      <c r="I475" t="s">
        <v>36</v>
      </c>
      <c r="J475" t="s">
        <v>36</v>
      </c>
      <c r="K475" t="s">
        <v>36</v>
      </c>
      <c r="L475" t="s">
        <v>36</v>
      </c>
      <c r="M475" t="s">
        <v>36</v>
      </c>
      <c r="N475" t="s">
        <v>36</v>
      </c>
      <c r="O475" t="s">
        <v>36</v>
      </c>
      <c r="P475" t="s">
        <v>36</v>
      </c>
      <c r="Q475" s="1">
        <v>40911.534722222219</v>
      </c>
      <c r="R475" t="s">
        <v>36</v>
      </c>
      <c r="S475" t="s">
        <v>36</v>
      </c>
      <c r="T475" t="s">
        <v>36</v>
      </c>
      <c r="U475" t="s">
        <v>36</v>
      </c>
      <c r="V475" t="s">
        <v>36</v>
      </c>
      <c r="W475" t="s">
        <v>36</v>
      </c>
      <c r="X475" t="s">
        <v>36</v>
      </c>
      <c r="Y475" t="s">
        <v>36</v>
      </c>
      <c r="Z475" t="s">
        <v>36</v>
      </c>
      <c r="AA475" t="s">
        <v>36</v>
      </c>
      <c r="AB475" t="s">
        <v>36</v>
      </c>
      <c r="AC475" t="s">
        <v>36</v>
      </c>
      <c r="AD475" t="s">
        <v>36</v>
      </c>
      <c r="AE475" t="s">
        <v>36</v>
      </c>
      <c r="AF475" t="s">
        <v>36</v>
      </c>
      <c r="AG475" t="s">
        <v>36</v>
      </c>
      <c r="AH475" t="s">
        <v>36</v>
      </c>
      <c r="AI475" t="s">
        <v>36</v>
      </c>
      <c r="AJ475" t="s">
        <v>36</v>
      </c>
    </row>
    <row r="476" spans="1:36" x14ac:dyDescent="0.35">
      <c r="A476">
        <v>4446</v>
      </c>
      <c r="B476" t="s">
        <v>1203</v>
      </c>
      <c r="C476" t="s">
        <v>36</v>
      </c>
      <c r="D476" t="s">
        <v>36</v>
      </c>
      <c r="E476" t="s">
        <v>36</v>
      </c>
      <c r="F476" t="s">
        <v>36</v>
      </c>
      <c r="G476" t="s">
        <v>36</v>
      </c>
      <c r="H476" t="s">
        <v>36</v>
      </c>
      <c r="I476" t="s">
        <v>36</v>
      </c>
      <c r="J476" t="s">
        <v>36</v>
      </c>
      <c r="K476" t="s">
        <v>36</v>
      </c>
      <c r="L476" t="s">
        <v>36</v>
      </c>
      <c r="M476" t="s">
        <v>36</v>
      </c>
      <c r="N476" t="s">
        <v>36</v>
      </c>
      <c r="O476" t="s">
        <v>36</v>
      </c>
      <c r="P476" t="s">
        <v>36</v>
      </c>
      <c r="Q476" s="1">
        <v>43857.805555555555</v>
      </c>
      <c r="R476" t="s">
        <v>36</v>
      </c>
      <c r="S476" t="s">
        <v>36</v>
      </c>
      <c r="T476" t="s">
        <v>36</v>
      </c>
      <c r="U476" t="s">
        <v>36</v>
      </c>
      <c r="V476" t="s">
        <v>36</v>
      </c>
      <c r="W476" t="s">
        <v>36</v>
      </c>
      <c r="X476" t="s">
        <v>36</v>
      </c>
      <c r="Y476" t="s">
        <v>36</v>
      </c>
      <c r="Z476" t="s">
        <v>36</v>
      </c>
      <c r="AA476" t="s">
        <v>36</v>
      </c>
      <c r="AB476" t="s">
        <v>36</v>
      </c>
      <c r="AC476" t="s">
        <v>36</v>
      </c>
      <c r="AD476" t="s">
        <v>36</v>
      </c>
      <c r="AE476" t="s">
        <v>36</v>
      </c>
      <c r="AF476" t="s">
        <v>36</v>
      </c>
      <c r="AG476" t="s">
        <v>36</v>
      </c>
      <c r="AH476" t="s">
        <v>36</v>
      </c>
      <c r="AI476" t="s">
        <v>36</v>
      </c>
      <c r="AJ476" t="s">
        <v>36</v>
      </c>
    </row>
    <row r="477" spans="1:36" x14ac:dyDescent="0.35">
      <c r="A477">
        <v>4447</v>
      </c>
      <c r="B477" t="s">
        <v>1204</v>
      </c>
      <c r="C477" t="s">
        <v>36</v>
      </c>
      <c r="D477" t="s">
        <v>36</v>
      </c>
      <c r="E477" t="s">
        <v>36</v>
      </c>
      <c r="F477" t="s">
        <v>36</v>
      </c>
      <c r="G477" t="s">
        <v>36</v>
      </c>
      <c r="H477" t="s">
        <v>36</v>
      </c>
      <c r="I477" t="s">
        <v>36</v>
      </c>
      <c r="J477" t="s">
        <v>36</v>
      </c>
      <c r="K477" t="s">
        <v>36</v>
      </c>
      <c r="L477" t="s">
        <v>36</v>
      </c>
      <c r="M477" t="s">
        <v>36</v>
      </c>
      <c r="N477" t="s">
        <v>36</v>
      </c>
      <c r="O477" t="s">
        <v>36</v>
      </c>
      <c r="P477" t="s">
        <v>36</v>
      </c>
      <c r="Q477" s="1">
        <v>43857.805555555555</v>
      </c>
      <c r="R477" t="s">
        <v>36</v>
      </c>
      <c r="S477" t="s">
        <v>36</v>
      </c>
      <c r="T477" t="s">
        <v>36</v>
      </c>
      <c r="U477" t="s">
        <v>36</v>
      </c>
      <c r="V477" t="s">
        <v>36</v>
      </c>
      <c r="W477" t="s">
        <v>36</v>
      </c>
      <c r="X477" t="s">
        <v>36</v>
      </c>
      <c r="Y477" t="s">
        <v>36</v>
      </c>
      <c r="Z477" t="s">
        <v>36</v>
      </c>
      <c r="AA477" t="s">
        <v>36</v>
      </c>
      <c r="AB477" t="s">
        <v>36</v>
      </c>
      <c r="AC477" t="s">
        <v>36</v>
      </c>
      <c r="AD477" t="s">
        <v>36</v>
      </c>
      <c r="AE477" t="s">
        <v>36</v>
      </c>
      <c r="AF477" t="s">
        <v>36</v>
      </c>
      <c r="AG477" t="s">
        <v>36</v>
      </c>
      <c r="AH477" t="s">
        <v>36</v>
      </c>
      <c r="AI477" t="s">
        <v>36</v>
      </c>
      <c r="AJ477" t="s">
        <v>36</v>
      </c>
    </row>
    <row r="478" spans="1:36" x14ac:dyDescent="0.35">
      <c r="A478">
        <v>4448</v>
      </c>
      <c r="B478" t="s">
        <v>1205</v>
      </c>
      <c r="C478" t="s">
        <v>36</v>
      </c>
      <c r="D478" t="s">
        <v>36</v>
      </c>
      <c r="E478" t="s">
        <v>36</v>
      </c>
      <c r="F478" t="s">
        <v>36</v>
      </c>
      <c r="G478" t="s">
        <v>36</v>
      </c>
      <c r="H478" t="s">
        <v>36</v>
      </c>
      <c r="I478" t="s">
        <v>36</v>
      </c>
      <c r="J478" t="s">
        <v>36</v>
      </c>
      <c r="K478" t="s">
        <v>36</v>
      </c>
      <c r="L478" t="s">
        <v>36</v>
      </c>
      <c r="M478" t="s">
        <v>36</v>
      </c>
      <c r="N478" t="s">
        <v>36</v>
      </c>
      <c r="O478" t="s">
        <v>36</v>
      </c>
      <c r="P478" t="s">
        <v>36</v>
      </c>
      <c r="Q478" s="1">
        <v>43857.805555555555</v>
      </c>
      <c r="R478" t="s">
        <v>36</v>
      </c>
      <c r="S478" t="s">
        <v>36</v>
      </c>
      <c r="T478" t="s">
        <v>36</v>
      </c>
      <c r="U478" t="s">
        <v>36</v>
      </c>
      <c r="V478" t="s">
        <v>36</v>
      </c>
      <c r="W478" t="s">
        <v>36</v>
      </c>
      <c r="X478" t="s">
        <v>36</v>
      </c>
      <c r="Y478" t="s">
        <v>36</v>
      </c>
      <c r="Z478" t="s">
        <v>36</v>
      </c>
      <c r="AA478" t="s">
        <v>36</v>
      </c>
      <c r="AB478" t="s">
        <v>36</v>
      </c>
      <c r="AC478" t="s">
        <v>36</v>
      </c>
      <c r="AD478" t="s">
        <v>36</v>
      </c>
      <c r="AE478" t="s">
        <v>36</v>
      </c>
      <c r="AF478" t="s">
        <v>36</v>
      </c>
      <c r="AG478" t="s">
        <v>36</v>
      </c>
      <c r="AH478" t="s">
        <v>36</v>
      </c>
      <c r="AI478" t="s">
        <v>36</v>
      </c>
      <c r="AJ478" t="s">
        <v>36</v>
      </c>
    </row>
    <row r="479" spans="1:36" x14ac:dyDescent="0.35">
      <c r="A479">
        <v>28</v>
      </c>
      <c r="B479" t="s">
        <v>63</v>
      </c>
      <c r="C479" t="s">
        <v>36</v>
      </c>
      <c r="D479" t="s">
        <v>36</v>
      </c>
      <c r="E479" t="s">
        <v>36</v>
      </c>
      <c r="F479" t="s">
        <v>36</v>
      </c>
      <c r="G479" t="s">
        <v>36</v>
      </c>
      <c r="H479" t="s">
        <v>36</v>
      </c>
      <c r="I479" t="s">
        <v>36</v>
      </c>
      <c r="J479" t="s">
        <v>36</v>
      </c>
      <c r="K479" t="s">
        <v>36</v>
      </c>
      <c r="L479" t="s">
        <v>36</v>
      </c>
      <c r="M479" t="s">
        <v>36</v>
      </c>
      <c r="N479" t="s">
        <v>36</v>
      </c>
      <c r="O479" t="s">
        <v>36</v>
      </c>
      <c r="P479" t="s">
        <v>36</v>
      </c>
      <c r="Q479" s="1">
        <v>40911.534722222219</v>
      </c>
      <c r="R479" t="s">
        <v>36</v>
      </c>
      <c r="S479" t="s">
        <v>36</v>
      </c>
      <c r="T479" t="s">
        <v>36</v>
      </c>
      <c r="U479" t="s">
        <v>36</v>
      </c>
      <c r="V479" t="s">
        <v>36</v>
      </c>
      <c r="W479" t="s">
        <v>36</v>
      </c>
      <c r="X479" t="s">
        <v>36</v>
      </c>
      <c r="Y479" t="s">
        <v>36</v>
      </c>
      <c r="Z479" t="s">
        <v>36</v>
      </c>
      <c r="AA479" t="s">
        <v>36</v>
      </c>
      <c r="AB479" t="s">
        <v>36</v>
      </c>
      <c r="AC479" t="s">
        <v>36</v>
      </c>
      <c r="AD479" t="s">
        <v>36</v>
      </c>
      <c r="AE479" t="s">
        <v>36</v>
      </c>
      <c r="AF479" t="s">
        <v>36</v>
      </c>
      <c r="AG479" t="s">
        <v>36</v>
      </c>
      <c r="AH479" t="s">
        <v>36</v>
      </c>
      <c r="AI479" t="s">
        <v>36</v>
      </c>
      <c r="AJ479" t="s">
        <v>36</v>
      </c>
    </row>
    <row r="480" spans="1:36" x14ac:dyDescent="0.35">
      <c r="A480">
        <v>4449</v>
      </c>
      <c r="B480" t="s">
        <v>1206</v>
      </c>
      <c r="C480" t="s">
        <v>36</v>
      </c>
      <c r="D480" t="s">
        <v>36</v>
      </c>
      <c r="E480" t="s">
        <v>36</v>
      </c>
      <c r="F480" t="s">
        <v>36</v>
      </c>
      <c r="G480" t="s">
        <v>36</v>
      </c>
      <c r="H480" t="s">
        <v>36</v>
      </c>
      <c r="I480" t="s">
        <v>36</v>
      </c>
      <c r="J480" t="s">
        <v>36</v>
      </c>
      <c r="K480" t="s">
        <v>36</v>
      </c>
      <c r="L480" t="s">
        <v>36</v>
      </c>
      <c r="M480" t="s">
        <v>36</v>
      </c>
      <c r="N480" t="s">
        <v>36</v>
      </c>
      <c r="O480" t="s">
        <v>36</v>
      </c>
      <c r="P480" t="s">
        <v>36</v>
      </c>
      <c r="Q480" s="1">
        <v>43857.805555555555</v>
      </c>
      <c r="R480" t="s">
        <v>36</v>
      </c>
      <c r="S480" t="s">
        <v>36</v>
      </c>
      <c r="T480" t="s">
        <v>36</v>
      </c>
      <c r="U480" t="s">
        <v>36</v>
      </c>
      <c r="V480" t="s">
        <v>36</v>
      </c>
      <c r="W480" t="s">
        <v>36</v>
      </c>
      <c r="X480" t="s">
        <v>36</v>
      </c>
      <c r="Y480" t="s">
        <v>36</v>
      </c>
      <c r="Z480" t="s">
        <v>36</v>
      </c>
      <c r="AA480" t="s">
        <v>36</v>
      </c>
      <c r="AB480" t="s">
        <v>36</v>
      </c>
      <c r="AC480" t="s">
        <v>36</v>
      </c>
      <c r="AD480" t="s">
        <v>36</v>
      </c>
      <c r="AE480" t="s">
        <v>36</v>
      </c>
      <c r="AF480" t="s">
        <v>36</v>
      </c>
      <c r="AG480" t="s">
        <v>36</v>
      </c>
      <c r="AH480" t="s">
        <v>36</v>
      </c>
      <c r="AI480" t="s">
        <v>36</v>
      </c>
      <c r="AJ480" t="s">
        <v>36</v>
      </c>
    </row>
    <row r="481" spans="1:36" x14ac:dyDescent="0.35">
      <c r="A481">
        <v>4450</v>
      </c>
      <c r="B481" t="s">
        <v>1207</v>
      </c>
      <c r="C481" t="s">
        <v>36</v>
      </c>
      <c r="D481" t="s">
        <v>36</v>
      </c>
      <c r="E481" t="s">
        <v>36</v>
      </c>
      <c r="F481" t="s">
        <v>36</v>
      </c>
      <c r="G481" t="s">
        <v>36</v>
      </c>
      <c r="H481" t="s">
        <v>36</v>
      </c>
      <c r="I481" t="s">
        <v>36</v>
      </c>
      <c r="J481" t="s">
        <v>36</v>
      </c>
      <c r="K481" t="s">
        <v>36</v>
      </c>
      <c r="L481" t="s">
        <v>36</v>
      </c>
      <c r="M481" t="s">
        <v>36</v>
      </c>
      <c r="N481" t="s">
        <v>36</v>
      </c>
      <c r="O481" t="s">
        <v>36</v>
      </c>
      <c r="P481" t="s">
        <v>36</v>
      </c>
      <c r="Q481" s="1">
        <v>43857.805555555555</v>
      </c>
      <c r="R481" t="s">
        <v>36</v>
      </c>
      <c r="S481" t="s">
        <v>36</v>
      </c>
      <c r="T481" t="s">
        <v>36</v>
      </c>
      <c r="U481" t="s">
        <v>36</v>
      </c>
      <c r="V481" t="s">
        <v>36</v>
      </c>
      <c r="W481" t="s">
        <v>36</v>
      </c>
      <c r="X481" t="s">
        <v>36</v>
      </c>
      <c r="Y481" t="s">
        <v>36</v>
      </c>
      <c r="Z481" t="s">
        <v>36</v>
      </c>
      <c r="AA481" t="s">
        <v>36</v>
      </c>
      <c r="AB481" t="s">
        <v>36</v>
      </c>
      <c r="AC481" t="s">
        <v>36</v>
      </c>
      <c r="AD481" t="s">
        <v>36</v>
      </c>
      <c r="AE481" t="s">
        <v>36</v>
      </c>
      <c r="AF481" t="s">
        <v>36</v>
      </c>
      <c r="AG481" t="s">
        <v>36</v>
      </c>
      <c r="AH481" t="s">
        <v>36</v>
      </c>
      <c r="AI481" t="s">
        <v>36</v>
      </c>
      <c r="AJ481" t="s">
        <v>36</v>
      </c>
    </row>
    <row r="482" spans="1:36" x14ac:dyDescent="0.35">
      <c r="A482">
        <v>4451</v>
      </c>
      <c r="B482" t="s">
        <v>1208</v>
      </c>
      <c r="C482" t="s">
        <v>36</v>
      </c>
      <c r="D482" t="s">
        <v>36</v>
      </c>
      <c r="E482" t="s">
        <v>36</v>
      </c>
      <c r="F482" t="s">
        <v>36</v>
      </c>
      <c r="G482" t="s">
        <v>36</v>
      </c>
      <c r="H482" t="s">
        <v>36</v>
      </c>
      <c r="I482" t="s">
        <v>36</v>
      </c>
      <c r="J482" t="s">
        <v>36</v>
      </c>
      <c r="K482" t="s">
        <v>36</v>
      </c>
      <c r="L482" t="s">
        <v>36</v>
      </c>
      <c r="M482" t="s">
        <v>36</v>
      </c>
      <c r="N482" t="s">
        <v>36</v>
      </c>
      <c r="O482" t="s">
        <v>36</v>
      </c>
      <c r="P482" t="s">
        <v>36</v>
      </c>
      <c r="Q482" s="1">
        <v>43857.805555555555</v>
      </c>
      <c r="R482" t="s">
        <v>36</v>
      </c>
      <c r="S482" t="s">
        <v>36</v>
      </c>
      <c r="T482" t="s">
        <v>36</v>
      </c>
      <c r="U482" t="s">
        <v>36</v>
      </c>
      <c r="V482" t="s">
        <v>36</v>
      </c>
      <c r="W482" t="s">
        <v>36</v>
      </c>
      <c r="X482" t="s">
        <v>36</v>
      </c>
      <c r="Y482" t="s">
        <v>36</v>
      </c>
      <c r="Z482" t="s">
        <v>36</v>
      </c>
      <c r="AA482" t="s">
        <v>36</v>
      </c>
      <c r="AB482" t="s">
        <v>36</v>
      </c>
      <c r="AC482" t="s">
        <v>36</v>
      </c>
      <c r="AD482" t="s">
        <v>36</v>
      </c>
      <c r="AE482" t="s">
        <v>36</v>
      </c>
      <c r="AF482" t="s">
        <v>36</v>
      </c>
      <c r="AG482" t="s">
        <v>36</v>
      </c>
      <c r="AH482" t="s">
        <v>36</v>
      </c>
      <c r="AI482" t="s">
        <v>36</v>
      </c>
      <c r="AJ482" t="s">
        <v>36</v>
      </c>
    </row>
    <row r="483" spans="1:36" x14ac:dyDescent="0.35">
      <c r="A483">
        <v>29</v>
      </c>
      <c r="B483" t="s">
        <v>64</v>
      </c>
      <c r="C483" t="s">
        <v>36</v>
      </c>
      <c r="D483" t="s">
        <v>36</v>
      </c>
      <c r="E483" t="s">
        <v>36</v>
      </c>
      <c r="F483" t="s">
        <v>36</v>
      </c>
      <c r="G483" t="s">
        <v>36</v>
      </c>
      <c r="H483" t="s">
        <v>36</v>
      </c>
      <c r="I483" t="s">
        <v>36</v>
      </c>
      <c r="J483" t="s">
        <v>36</v>
      </c>
      <c r="K483" t="s">
        <v>36</v>
      </c>
      <c r="L483" t="s">
        <v>36</v>
      </c>
      <c r="M483" t="s">
        <v>36</v>
      </c>
      <c r="N483" t="s">
        <v>36</v>
      </c>
      <c r="O483" t="s">
        <v>36</v>
      </c>
      <c r="P483" t="s">
        <v>36</v>
      </c>
      <c r="Q483" s="1">
        <v>40911.534722222219</v>
      </c>
      <c r="R483" t="s">
        <v>36</v>
      </c>
      <c r="S483" t="s">
        <v>36</v>
      </c>
      <c r="T483" t="s">
        <v>36</v>
      </c>
      <c r="U483" t="s">
        <v>36</v>
      </c>
      <c r="V483" t="s">
        <v>36</v>
      </c>
      <c r="W483" t="s">
        <v>36</v>
      </c>
      <c r="X483" t="s">
        <v>36</v>
      </c>
      <c r="Y483" t="s">
        <v>36</v>
      </c>
      <c r="Z483" t="s">
        <v>36</v>
      </c>
      <c r="AA483" t="s">
        <v>36</v>
      </c>
      <c r="AB483" t="s">
        <v>36</v>
      </c>
      <c r="AC483" t="s">
        <v>36</v>
      </c>
      <c r="AD483" t="s">
        <v>36</v>
      </c>
      <c r="AE483" t="s">
        <v>36</v>
      </c>
      <c r="AF483" t="s">
        <v>36</v>
      </c>
      <c r="AG483" t="s">
        <v>36</v>
      </c>
      <c r="AH483" t="s">
        <v>36</v>
      </c>
      <c r="AI483" t="s">
        <v>36</v>
      </c>
      <c r="AJ483" t="s">
        <v>36</v>
      </c>
    </row>
    <row r="484" spans="1:36" x14ac:dyDescent="0.35">
      <c r="A484">
        <v>4384</v>
      </c>
      <c r="B484" t="s">
        <v>1167</v>
      </c>
      <c r="C484" t="s">
        <v>36</v>
      </c>
      <c r="D484" t="s">
        <v>36</v>
      </c>
      <c r="E484" t="s">
        <v>36</v>
      </c>
      <c r="F484" t="s">
        <v>36</v>
      </c>
      <c r="G484" t="s">
        <v>36</v>
      </c>
      <c r="H484" t="s">
        <v>36</v>
      </c>
      <c r="I484" t="s">
        <v>36</v>
      </c>
      <c r="J484" t="s">
        <v>36</v>
      </c>
      <c r="K484" t="s">
        <v>36</v>
      </c>
      <c r="L484" t="s">
        <v>36</v>
      </c>
      <c r="M484" t="s">
        <v>36</v>
      </c>
      <c r="N484" t="s">
        <v>36</v>
      </c>
      <c r="O484" t="s">
        <v>36</v>
      </c>
      <c r="P484" t="s">
        <v>36</v>
      </c>
      <c r="Q484" s="1">
        <v>43856.520833333336</v>
      </c>
      <c r="R484" t="s">
        <v>36</v>
      </c>
      <c r="S484" t="s">
        <v>36</v>
      </c>
      <c r="T484" t="s">
        <v>36</v>
      </c>
      <c r="U484" t="s">
        <v>36</v>
      </c>
      <c r="V484" t="s">
        <v>36</v>
      </c>
      <c r="W484" t="s">
        <v>36</v>
      </c>
      <c r="X484" t="s">
        <v>36</v>
      </c>
      <c r="Y484" t="s">
        <v>36</v>
      </c>
      <c r="Z484" t="s">
        <v>36</v>
      </c>
      <c r="AA484" t="s">
        <v>36</v>
      </c>
      <c r="AB484" t="s">
        <v>36</v>
      </c>
      <c r="AC484" t="s">
        <v>36</v>
      </c>
      <c r="AD484" t="s">
        <v>36</v>
      </c>
      <c r="AE484" t="s">
        <v>36</v>
      </c>
      <c r="AF484" t="s">
        <v>36</v>
      </c>
      <c r="AG484" t="s">
        <v>36</v>
      </c>
      <c r="AH484" t="s">
        <v>36</v>
      </c>
      <c r="AI484" t="s">
        <v>36</v>
      </c>
      <c r="AJ484" t="s">
        <v>36</v>
      </c>
    </row>
    <row r="485" spans="1:36" x14ac:dyDescent="0.35">
      <c r="A485">
        <v>4385</v>
      </c>
      <c r="B485" t="s">
        <v>1168</v>
      </c>
      <c r="C485" t="s">
        <v>36</v>
      </c>
      <c r="D485" t="s">
        <v>36</v>
      </c>
      <c r="E485" t="s">
        <v>36</v>
      </c>
      <c r="F485" t="s">
        <v>36</v>
      </c>
      <c r="G485" t="s">
        <v>36</v>
      </c>
      <c r="H485" t="s">
        <v>36</v>
      </c>
      <c r="I485" t="s">
        <v>36</v>
      </c>
      <c r="J485" t="s">
        <v>36</v>
      </c>
      <c r="K485" t="s">
        <v>36</v>
      </c>
      <c r="L485" t="s">
        <v>36</v>
      </c>
      <c r="M485" t="s">
        <v>36</v>
      </c>
      <c r="N485" t="s">
        <v>36</v>
      </c>
      <c r="O485" t="s">
        <v>36</v>
      </c>
      <c r="P485" t="s">
        <v>36</v>
      </c>
      <c r="Q485" s="1">
        <v>43856.520833333336</v>
      </c>
      <c r="R485" t="s">
        <v>36</v>
      </c>
      <c r="S485" t="s">
        <v>36</v>
      </c>
      <c r="T485" t="s">
        <v>36</v>
      </c>
      <c r="U485" t="s">
        <v>36</v>
      </c>
      <c r="V485" t="s">
        <v>36</v>
      </c>
      <c r="W485" t="s">
        <v>36</v>
      </c>
      <c r="X485" t="s">
        <v>36</v>
      </c>
      <c r="Y485" t="s">
        <v>36</v>
      </c>
      <c r="Z485" t="s">
        <v>36</v>
      </c>
      <c r="AA485" t="s">
        <v>36</v>
      </c>
      <c r="AB485" t="s">
        <v>36</v>
      </c>
      <c r="AC485" t="s">
        <v>36</v>
      </c>
      <c r="AD485" t="s">
        <v>36</v>
      </c>
      <c r="AE485" t="s">
        <v>36</v>
      </c>
      <c r="AF485" t="s">
        <v>36</v>
      </c>
      <c r="AG485" t="s">
        <v>36</v>
      </c>
      <c r="AH485" t="s">
        <v>36</v>
      </c>
      <c r="AI485" t="s">
        <v>36</v>
      </c>
      <c r="AJ485" t="s">
        <v>36</v>
      </c>
    </row>
    <row r="486" spans="1:36" x14ac:dyDescent="0.35">
      <c r="A486">
        <v>4386</v>
      </c>
      <c r="B486" t="s">
        <v>1169</v>
      </c>
      <c r="C486" t="s">
        <v>36</v>
      </c>
      <c r="D486" t="s">
        <v>36</v>
      </c>
      <c r="E486" t="s">
        <v>36</v>
      </c>
      <c r="F486" t="s">
        <v>36</v>
      </c>
      <c r="G486" t="s">
        <v>36</v>
      </c>
      <c r="H486" t="s">
        <v>36</v>
      </c>
      <c r="I486" t="s">
        <v>36</v>
      </c>
      <c r="J486" t="s">
        <v>36</v>
      </c>
      <c r="K486" t="s">
        <v>36</v>
      </c>
      <c r="L486" t="s">
        <v>36</v>
      </c>
      <c r="M486" t="s">
        <v>36</v>
      </c>
      <c r="N486" t="s">
        <v>36</v>
      </c>
      <c r="O486" t="s">
        <v>36</v>
      </c>
      <c r="P486" t="s">
        <v>36</v>
      </c>
      <c r="Q486" s="1">
        <v>43856.520833333336</v>
      </c>
      <c r="R486" t="s">
        <v>36</v>
      </c>
      <c r="S486" t="s">
        <v>36</v>
      </c>
      <c r="T486" t="s">
        <v>36</v>
      </c>
      <c r="U486" t="s">
        <v>36</v>
      </c>
      <c r="V486" t="s">
        <v>36</v>
      </c>
      <c r="W486" t="s">
        <v>36</v>
      </c>
      <c r="X486" t="s">
        <v>36</v>
      </c>
      <c r="Y486" t="s">
        <v>36</v>
      </c>
      <c r="Z486" t="s">
        <v>36</v>
      </c>
      <c r="AA486" t="s">
        <v>36</v>
      </c>
      <c r="AB486" t="s">
        <v>36</v>
      </c>
      <c r="AC486" t="s">
        <v>36</v>
      </c>
      <c r="AD486" t="s">
        <v>36</v>
      </c>
      <c r="AE486" t="s">
        <v>36</v>
      </c>
      <c r="AF486" t="s">
        <v>36</v>
      </c>
      <c r="AG486" t="s">
        <v>36</v>
      </c>
      <c r="AH486" t="s">
        <v>36</v>
      </c>
      <c r="AI486" t="s">
        <v>36</v>
      </c>
      <c r="AJ486" t="s">
        <v>36</v>
      </c>
    </row>
    <row r="487" spans="1:36" x14ac:dyDescent="0.35">
      <c r="A487">
        <v>327</v>
      </c>
      <c r="B487" t="s">
        <v>195</v>
      </c>
      <c r="C487" t="s">
        <v>36</v>
      </c>
      <c r="D487" t="s">
        <v>36</v>
      </c>
      <c r="E487" t="s">
        <v>36</v>
      </c>
      <c r="F487" t="s">
        <v>36</v>
      </c>
      <c r="G487" s="1">
        <v>41426</v>
      </c>
      <c r="H487" t="s">
        <v>36</v>
      </c>
      <c r="I487" t="s">
        <v>36</v>
      </c>
      <c r="J487" t="s">
        <v>36</v>
      </c>
      <c r="K487" t="s">
        <v>36</v>
      </c>
      <c r="L487" t="s">
        <v>36</v>
      </c>
      <c r="M487" t="s">
        <v>36</v>
      </c>
      <c r="N487" t="s">
        <v>36</v>
      </c>
      <c r="O487" t="s">
        <v>36</v>
      </c>
      <c r="P487" s="1">
        <v>43059.576388888891</v>
      </c>
      <c r="Q487" t="s">
        <v>36</v>
      </c>
      <c r="R487" t="s">
        <v>36</v>
      </c>
      <c r="S487" t="s">
        <v>36</v>
      </c>
      <c r="T487" s="1">
        <v>42528.291666666664</v>
      </c>
      <c r="U487" t="s">
        <v>36</v>
      </c>
      <c r="V487" t="s">
        <v>36</v>
      </c>
      <c r="W487" t="s">
        <v>36</v>
      </c>
      <c r="X487" t="s">
        <v>36</v>
      </c>
      <c r="Y487" t="s">
        <v>36</v>
      </c>
      <c r="Z487" t="s">
        <v>36</v>
      </c>
      <c r="AA487" t="s">
        <v>36</v>
      </c>
      <c r="AB487" t="s">
        <v>36</v>
      </c>
      <c r="AC487" t="s">
        <v>36</v>
      </c>
      <c r="AD487" t="s">
        <v>36</v>
      </c>
      <c r="AE487" t="s">
        <v>36</v>
      </c>
      <c r="AF487" s="1">
        <v>42058.680555555555</v>
      </c>
      <c r="AG487" s="32">
        <v>43040</v>
      </c>
      <c r="AH487" t="s">
        <v>36</v>
      </c>
      <c r="AI487" s="1">
        <v>41426</v>
      </c>
      <c r="AJ487" s="1">
        <v>43059.576388888891</v>
      </c>
    </row>
    <row r="488" spans="1:36" x14ac:dyDescent="0.35">
      <c r="A488">
        <v>1677</v>
      </c>
      <c r="B488" t="s">
        <v>275</v>
      </c>
      <c r="C488" t="s">
        <v>36</v>
      </c>
      <c r="D488" t="s">
        <v>36</v>
      </c>
      <c r="E488" t="s">
        <v>36</v>
      </c>
      <c r="F488" t="s">
        <v>36</v>
      </c>
      <c r="G488" t="s">
        <v>36</v>
      </c>
      <c r="H488" t="s">
        <v>36</v>
      </c>
      <c r="I488" t="s">
        <v>36</v>
      </c>
      <c r="J488" t="s">
        <v>36</v>
      </c>
      <c r="K488" t="s">
        <v>36</v>
      </c>
      <c r="L488" t="s">
        <v>36</v>
      </c>
      <c r="M488" t="s">
        <v>36</v>
      </c>
      <c r="N488" t="s">
        <v>36</v>
      </c>
      <c r="O488" t="s">
        <v>36</v>
      </c>
      <c r="P488" t="s">
        <v>36</v>
      </c>
      <c r="Q488" t="s">
        <v>36</v>
      </c>
      <c r="R488" t="s">
        <v>36</v>
      </c>
      <c r="S488" t="s">
        <v>36</v>
      </c>
      <c r="T488" t="s">
        <v>36</v>
      </c>
      <c r="U488" t="s">
        <v>36</v>
      </c>
      <c r="V488" t="s">
        <v>36</v>
      </c>
      <c r="W488" t="s">
        <v>36</v>
      </c>
      <c r="X488" t="s">
        <v>36</v>
      </c>
      <c r="Y488" t="s">
        <v>36</v>
      </c>
      <c r="Z488" t="s">
        <v>36</v>
      </c>
      <c r="AA488" t="s">
        <v>36</v>
      </c>
      <c r="AB488" t="s">
        <v>36</v>
      </c>
      <c r="AC488" t="s">
        <v>36</v>
      </c>
      <c r="AD488" t="s">
        <v>36</v>
      </c>
      <c r="AE488" t="s">
        <v>36</v>
      </c>
      <c r="AF488" t="s">
        <v>36</v>
      </c>
      <c r="AG488" t="s">
        <v>36</v>
      </c>
      <c r="AH488" t="s">
        <v>36</v>
      </c>
      <c r="AI488" t="s">
        <v>36</v>
      </c>
      <c r="AJ488" t="s">
        <v>36</v>
      </c>
    </row>
    <row r="489" spans="1:36" x14ac:dyDescent="0.35">
      <c r="A489">
        <v>304</v>
      </c>
      <c r="B489" t="s">
        <v>182</v>
      </c>
      <c r="C489" t="s">
        <v>36</v>
      </c>
      <c r="D489" t="s">
        <v>36</v>
      </c>
      <c r="E489" t="s">
        <v>36</v>
      </c>
      <c r="F489" t="s">
        <v>36</v>
      </c>
      <c r="G489" t="s">
        <v>36</v>
      </c>
      <c r="H489" t="s">
        <v>36</v>
      </c>
      <c r="I489" t="s">
        <v>36</v>
      </c>
      <c r="J489" t="s">
        <v>36</v>
      </c>
      <c r="K489" t="s">
        <v>36</v>
      </c>
      <c r="L489" t="s">
        <v>36</v>
      </c>
      <c r="M489" t="s">
        <v>36</v>
      </c>
      <c r="N489" t="s">
        <v>36</v>
      </c>
      <c r="O489" t="s">
        <v>36</v>
      </c>
      <c r="P489" t="s">
        <v>36</v>
      </c>
      <c r="Q489" t="s">
        <v>36</v>
      </c>
      <c r="R489" t="s">
        <v>36</v>
      </c>
      <c r="S489" t="s">
        <v>36</v>
      </c>
      <c r="T489" t="s">
        <v>36</v>
      </c>
      <c r="U489" t="s">
        <v>36</v>
      </c>
      <c r="V489" t="s">
        <v>36</v>
      </c>
      <c r="W489" t="s">
        <v>36</v>
      </c>
      <c r="X489" t="s">
        <v>36</v>
      </c>
      <c r="Y489" t="s">
        <v>36</v>
      </c>
      <c r="Z489" t="s">
        <v>36</v>
      </c>
      <c r="AA489" t="s">
        <v>36</v>
      </c>
      <c r="AB489" t="s">
        <v>36</v>
      </c>
      <c r="AC489" t="s">
        <v>36</v>
      </c>
      <c r="AD489" t="s">
        <v>36</v>
      </c>
      <c r="AE489" t="s">
        <v>36</v>
      </c>
      <c r="AF489" t="s">
        <v>36</v>
      </c>
      <c r="AG489" t="s">
        <v>36</v>
      </c>
      <c r="AH489" t="s">
        <v>36</v>
      </c>
      <c r="AI489" t="s">
        <v>36</v>
      </c>
      <c r="AJ489" t="s">
        <v>36</v>
      </c>
    </row>
    <row r="490" spans="1:36" x14ac:dyDescent="0.35">
      <c r="A490">
        <v>447</v>
      </c>
      <c r="B490" t="s">
        <v>248</v>
      </c>
      <c r="C490" t="s">
        <v>36</v>
      </c>
      <c r="D490" t="s">
        <v>36</v>
      </c>
      <c r="E490" t="s">
        <v>36</v>
      </c>
      <c r="F490" t="s">
        <v>36</v>
      </c>
      <c r="G490" t="s">
        <v>36</v>
      </c>
      <c r="H490" t="s">
        <v>36</v>
      </c>
      <c r="I490" t="s">
        <v>36</v>
      </c>
      <c r="J490" t="s">
        <v>36</v>
      </c>
      <c r="K490" t="s">
        <v>36</v>
      </c>
      <c r="L490" t="s">
        <v>36</v>
      </c>
      <c r="M490" s="1">
        <v>43348.625</v>
      </c>
      <c r="N490" t="s">
        <v>36</v>
      </c>
      <c r="O490" t="s">
        <v>36</v>
      </c>
      <c r="P490" t="s">
        <v>36</v>
      </c>
      <c r="Q490" t="s">
        <v>36</v>
      </c>
      <c r="R490" t="s">
        <v>36</v>
      </c>
      <c r="S490" t="s">
        <v>36</v>
      </c>
      <c r="T490" t="s">
        <v>36</v>
      </c>
      <c r="U490" t="s">
        <v>36</v>
      </c>
      <c r="V490" t="s">
        <v>36</v>
      </c>
      <c r="W490" t="s">
        <v>36</v>
      </c>
      <c r="X490" t="s">
        <v>36</v>
      </c>
      <c r="Y490" t="s">
        <v>36</v>
      </c>
      <c r="Z490" t="s">
        <v>36</v>
      </c>
      <c r="AA490" t="s">
        <v>36</v>
      </c>
      <c r="AB490" t="s">
        <v>36</v>
      </c>
      <c r="AC490" t="s">
        <v>36</v>
      </c>
      <c r="AD490" t="s">
        <v>36</v>
      </c>
      <c r="AE490" t="s">
        <v>36</v>
      </c>
      <c r="AF490" t="s">
        <v>36</v>
      </c>
      <c r="AG490" t="s">
        <v>36</v>
      </c>
      <c r="AH490" t="s">
        <v>36</v>
      </c>
      <c r="AI490" t="s">
        <v>36</v>
      </c>
      <c r="AJ490" t="s">
        <v>36</v>
      </c>
    </row>
    <row r="491" spans="1:36" x14ac:dyDescent="0.35">
      <c r="A491">
        <v>4183</v>
      </c>
      <c r="B491" t="s">
        <v>1044</v>
      </c>
      <c r="C491" t="s">
        <v>36</v>
      </c>
      <c r="D491" t="s">
        <v>36</v>
      </c>
      <c r="E491" t="s">
        <v>36</v>
      </c>
      <c r="F491" t="s">
        <v>36</v>
      </c>
      <c r="G491" t="s">
        <v>36</v>
      </c>
      <c r="H491" t="s">
        <v>36</v>
      </c>
      <c r="I491" t="s">
        <v>36</v>
      </c>
      <c r="J491" t="s">
        <v>36</v>
      </c>
      <c r="K491" t="s">
        <v>36</v>
      </c>
      <c r="L491" t="s">
        <v>36</v>
      </c>
      <c r="M491" s="1">
        <v>43856.472222222219</v>
      </c>
      <c r="N491" t="s">
        <v>36</v>
      </c>
      <c r="O491" t="s">
        <v>36</v>
      </c>
      <c r="P491" t="s">
        <v>36</v>
      </c>
      <c r="Q491" t="s">
        <v>36</v>
      </c>
      <c r="R491" t="s">
        <v>36</v>
      </c>
      <c r="S491" t="s">
        <v>36</v>
      </c>
      <c r="T491" t="s">
        <v>36</v>
      </c>
      <c r="U491" t="s">
        <v>36</v>
      </c>
      <c r="V491" t="s">
        <v>36</v>
      </c>
      <c r="W491" t="s">
        <v>36</v>
      </c>
      <c r="X491" t="s">
        <v>36</v>
      </c>
      <c r="Y491" t="s">
        <v>36</v>
      </c>
      <c r="Z491" t="s">
        <v>36</v>
      </c>
      <c r="AA491" t="s">
        <v>36</v>
      </c>
      <c r="AB491" t="s">
        <v>36</v>
      </c>
      <c r="AC491" t="s">
        <v>36</v>
      </c>
      <c r="AD491" t="s">
        <v>36</v>
      </c>
      <c r="AE491" t="s">
        <v>36</v>
      </c>
      <c r="AF491" t="s">
        <v>36</v>
      </c>
      <c r="AG491" t="s">
        <v>36</v>
      </c>
      <c r="AH491" t="s">
        <v>36</v>
      </c>
      <c r="AI491" t="s">
        <v>36</v>
      </c>
      <c r="AJ491" t="s">
        <v>36</v>
      </c>
    </row>
    <row r="492" spans="1:36" x14ac:dyDescent="0.35">
      <c r="A492">
        <v>4184</v>
      </c>
      <c r="B492" t="s">
        <v>1045</v>
      </c>
      <c r="C492" t="s">
        <v>36</v>
      </c>
      <c r="D492" t="s">
        <v>36</v>
      </c>
      <c r="E492" t="s">
        <v>36</v>
      </c>
      <c r="F492" t="s">
        <v>36</v>
      </c>
      <c r="G492" t="s">
        <v>36</v>
      </c>
      <c r="H492" t="s">
        <v>36</v>
      </c>
      <c r="I492" t="s">
        <v>36</v>
      </c>
      <c r="J492" t="s">
        <v>36</v>
      </c>
      <c r="K492" t="s">
        <v>36</v>
      </c>
      <c r="L492" t="s">
        <v>36</v>
      </c>
      <c r="M492" s="1">
        <v>43856.472222222219</v>
      </c>
      <c r="N492" t="s">
        <v>36</v>
      </c>
      <c r="O492" t="s">
        <v>36</v>
      </c>
      <c r="P492" t="s">
        <v>36</v>
      </c>
      <c r="Q492" t="s">
        <v>36</v>
      </c>
      <c r="R492" t="s">
        <v>36</v>
      </c>
      <c r="S492" t="s">
        <v>36</v>
      </c>
      <c r="T492" t="s">
        <v>36</v>
      </c>
      <c r="U492" t="s">
        <v>36</v>
      </c>
      <c r="V492" t="s">
        <v>36</v>
      </c>
      <c r="W492" t="s">
        <v>36</v>
      </c>
      <c r="X492" t="s">
        <v>36</v>
      </c>
      <c r="Y492" t="s">
        <v>36</v>
      </c>
      <c r="Z492" t="s">
        <v>36</v>
      </c>
      <c r="AA492" t="s">
        <v>36</v>
      </c>
      <c r="AB492" t="s">
        <v>36</v>
      </c>
      <c r="AC492" t="s">
        <v>36</v>
      </c>
      <c r="AD492" t="s">
        <v>36</v>
      </c>
      <c r="AE492" t="s">
        <v>36</v>
      </c>
      <c r="AF492" t="s">
        <v>36</v>
      </c>
      <c r="AG492" t="s">
        <v>36</v>
      </c>
      <c r="AH492" t="s">
        <v>36</v>
      </c>
      <c r="AI492" t="s">
        <v>36</v>
      </c>
      <c r="AJ492" t="s">
        <v>36</v>
      </c>
    </row>
    <row r="493" spans="1:36" x14ac:dyDescent="0.35">
      <c r="A493">
        <v>4185</v>
      </c>
      <c r="B493" t="s">
        <v>1046</v>
      </c>
      <c r="C493" t="s">
        <v>36</v>
      </c>
      <c r="D493" t="s">
        <v>36</v>
      </c>
      <c r="E493" t="s">
        <v>36</v>
      </c>
      <c r="F493" t="s">
        <v>36</v>
      </c>
      <c r="G493" t="s">
        <v>36</v>
      </c>
      <c r="H493" t="s">
        <v>36</v>
      </c>
      <c r="I493" t="s">
        <v>36</v>
      </c>
      <c r="J493" t="s">
        <v>36</v>
      </c>
      <c r="K493" t="s">
        <v>36</v>
      </c>
      <c r="L493" t="s">
        <v>36</v>
      </c>
      <c r="M493" s="1">
        <v>43856.472222222219</v>
      </c>
      <c r="N493" t="s">
        <v>36</v>
      </c>
      <c r="O493" t="s">
        <v>36</v>
      </c>
      <c r="P493" t="s">
        <v>36</v>
      </c>
      <c r="Q493" t="s">
        <v>36</v>
      </c>
      <c r="R493" t="s">
        <v>36</v>
      </c>
      <c r="S493" t="s">
        <v>36</v>
      </c>
      <c r="T493" t="s">
        <v>36</v>
      </c>
      <c r="U493" t="s">
        <v>36</v>
      </c>
      <c r="V493" t="s">
        <v>36</v>
      </c>
      <c r="W493" t="s">
        <v>36</v>
      </c>
      <c r="X493" t="s">
        <v>36</v>
      </c>
      <c r="Y493" t="s">
        <v>36</v>
      </c>
      <c r="Z493" t="s">
        <v>36</v>
      </c>
      <c r="AA493" t="s">
        <v>36</v>
      </c>
      <c r="AB493" t="s">
        <v>36</v>
      </c>
      <c r="AC493" t="s">
        <v>36</v>
      </c>
      <c r="AD493" t="s">
        <v>36</v>
      </c>
      <c r="AE493" t="s">
        <v>36</v>
      </c>
      <c r="AF493" t="s">
        <v>36</v>
      </c>
      <c r="AG493" t="s">
        <v>36</v>
      </c>
      <c r="AH493" t="s">
        <v>36</v>
      </c>
      <c r="AI493" t="s">
        <v>36</v>
      </c>
      <c r="AJ493" t="s">
        <v>36</v>
      </c>
    </row>
    <row r="494" spans="1:36" x14ac:dyDescent="0.35">
      <c r="A494">
        <v>4189</v>
      </c>
      <c r="B494" t="s">
        <v>1254</v>
      </c>
      <c r="C494" t="s">
        <v>36</v>
      </c>
      <c r="D494" t="s">
        <v>36</v>
      </c>
      <c r="E494" t="s">
        <v>36</v>
      </c>
      <c r="F494" t="s">
        <v>36</v>
      </c>
      <c r="G494" s="1">
        <v>43530</v>
      </c>
      <c r="H494" t="s">
        <v>36</v>
      </c>
      <c r="I494" t="s">
        <v>36</v>
      </c>
      <c r="J494" t="s">
        <v>36</v>
      </c>
      <c r="K494" t="s">
        <v>36</v>
      </c>
      <c r="L494" t="s">
        <v>36</v>
      </c>
      <c r="M494" t="s">
        <v>36</v>
      </c>
      <c r="N494" t="s">
        <v>36</v>
      </c>
      <c r="O494" t="s">
        <v>36</v>
      </c>
      <c r="P494" s="1">
        <v>43559</v>
      </c>
      <c r="Q494" t="s">
        <v>36</v>
      </c>
      <c r="R494" t="s">
        <v>36</v>
      </c>
      <c r="S494" t="s">
        <v>36</v>
      </c>
      <c r="T494" s="1">
        <v>43557</v>
      </c>
      <c r="U494" t="s">
        <v>36</v>
      </c>
      <c r="V494" t="s">
        <v>36</v>
      </c>
      <c r="W494" t="s">
        <v>36</v>
      </c>
      <c r="X494" t="s">
        <v>36</v>
      </c>
      <c r="Y494" t="s">
        <v>36</v>
      </c>
      <c r="Z494" t="s">
        <v>36</v>
      </c>
      <c r="AA494" t="s">
        <v>36</v>
      </c>
      <c r="AB494" t="s">
        <v>36</v>
      </c>
      <c r="AC494" t="s">
        <v>36</v>
      </c>
      <c r="AD494" t="s">
        <v>36</v>
      </c>
      <c r="AE494" t="s">
        <v>36</v>
      </c>
      <c r="AF494" s="1">
        <v>43529</v>
      </c>
      <c r="AG494" t="s">
        <v>36</v>
      </c>
      <c r="AH494" t="s">
        <v>36</v>
      </c>
      <c r="AI494" s="1">
        <v>43530</v>
      </c>
      <c r="AJ494" s="1">
        <v>43528</v>
      </c>
    </row>
    <row r="495" spans="1:36" x14ac:dyDescent="0.35">
      <c r="A495">
        <v>4190</v>
      </c>
      <c r="B495" t="s">
        <v>1255</v>
      </c>
      <c r="C495" t="s">
        <v>36</v>
      </c>
      <c r="D495" t="s">
        <v>36</v>
      </c>
      <c r="E495" t="s">
        <v>36</v>
      </c>
      <c r="F495" t="s">
        <v>36</v>
      </c>
      <c r="G495" s="1">
        <v>43530</v>
      </c>
      <c r="H495" t="s">
        <v>36</v>
      </c>
      <c r="I495" t="s">
        <v>36</v>
      </c>
      <c r="J495" t="s">
        <v>36</v>
      </c>
      <c r="K495" t="s">
        <v>36</v>
      </c>
      <c r="L495" t="s">
        <v>36</v>
      </c>
      <c r="M495" t="s">
        <v>36</v>
      </c>
      <c r="N495" t="s">
        <v>36</v>
      </c>
      <c r="O495" t="s">
        <v>36</v>
      </c>
      <c r="P495" s="1">
        <v>43557</v>
      </c>
      <c r="Q495" t="s">
        <v>36</v>
      </c>
      <c r="R495" t="s">
        <v>36</v>
      </c>
      <c r="S495" t="s">
        <v>36</v>
      </c>
      <c r="T495" s="1">
        <v>43557</v>
      </c>
      <c r="U495" t="s">
        <v>36</v>
      </c>
      <c r="V495" t="s">
        <v>36</v>
      </c>
      <c r="W495" t="s">
        <v>36</v>
      </c>
      <c r="X495" t="s">
        <v>36</v>
      </c>
      <c r="Y495" t="s">
        <v>36</v>
      </c>
      <c r="Z495" t="s">
        <v>36</v>
      </c>
      <c r="AA495" t="s">
        <v>36</v>
      </c>
      <c r="AB495" t="s">
        <v>36</v>
      </c>
      <c r="AC495" t="s">
        <v>36</v>
      </c>
      <c r="AD495" t="s">
        <v>36</v>
      </c>
      <c r="AE495" t="s">
        <v>36</v>
      </c>
      <c r="AF495" s="1">
        <v>43529</v>
      </c>
      <c r="AG495" t="s">
        <v>36</v>
      </c>
      <c r="AH495" t="s">
        <v>36</v>
      </c>
      <c r="AI495" s="1">
        <v>43530</v>
      </c>
      <c r="AJ495" s="1">
        <v>43528</v>
      </c>
    </row>
    <row r="496" spans="1:36" x14ac:dyDescent="0.35">
      <c r="A496">
        <v>4191</v>
      </c>
      <c r="B496" t="s">
        <v>1256</v>
      </c>
      <c r="C496" t="s">
        <v>36</v>
      </c>
      <c r="D496" t="s">
        <v>36</v>
      </c>
      <c r="E496" t="s">
        <v>36</v>
      </c>
      <c r="F496" t="s">
        <v>36</v>
      </c>
      <c r="G496" s="1">
        <v>43530</v>
      </c>
      <c r="H496" t="s">
        <v>36</v>
      </c>
      <c r="I496" t="s">
        <v>36</v>
      </c>
      <c r="J496" t="s">
        <v>36</v>
      </c>
      <c r="K496" t="s">
        <v>36</v>
      </c>
      <c r="L496" t="s">
        <v>36</v>
      </c>
      <c r="M496" t="s">
        <v>36</v>
      </c>
      <c r="N496" t="s">
        <v>36</v>
      </c>
      <c r="O496" t="s">
        <v>36</v>
      </c>
      <c r="P496" s="1">
        <v>43557</v>
      </c>
      <c r="Q496" t="s">
        <v>36</v>
      </c>
      <c r="R496" t="s">
        <v>36</v>
      </c>
      <c r="S496" t="s">
        <v>36</v>
      </c>
      <c r="T496" s="1">
        <v>43557</v>
      </c>
      <c r="U496" t="s">
        <v>36</v>
      </c>
      <c r="V496" t="s">
        <v>36</v>
      </c>
      <c r="W496" t="s">
        <v>36</v>
      </c>
      <c r="X496" t="s">
        <v>36</v>
      </c>
      <c r="Y496" t="s">
        <v>36</v>
      </c>
      <c r="Z496" t="s">
        <v>36</v>
      </c>
      <c r="AA496" t="s">
        <v>36</v>
      </c>
      <c r="AB496" t="s">
        <v>36</v>
      </c>
      <c r="AC496" t="s">
        <v>36</v>
      </c>
      <c r="AD496" t="s">
        <v>36</v>
      </c>
      <c r="AE496" t="s">
        <v>36</v>
      </c>
      <c r="AF496" s="1">
        <v>43529</v>
      </c>
      <c r="AG496" t="s">
        <v>36</v>
      </c>
      <c r="AH496" t="s">
        <v>36</v>
      </c>
      <c r="AI496" s="1">
        <v>43530</v>
      </c>
      <c r="AJ496" s="1">
        <v>43528</v>
      </c>
    </row>
    <row r="497" spans="1:36" x14ac:dyDescent="0.35">
      <c r="A497">
        <v>423</v>
      </c>
      <c r="B497" t="s">
        <v>246</v>
      </c>
      <c r="C497" t="s">
        <v>36</v>
      </c>
      <c r="D497" t="s">
        <v>36</v>
      </c>
      <c r="E497" t="s">
        <v>36</v>
      </c>
      <c r="F497" t="s">
        <v>36</v>
      </c>
      <c r="G497" s="1">
        <v>41426</v>
      </c>
      <c r="H497" t="s">
        <v>36</v>
      </c>
      <c r="I497" t="s">
        <v>36</v>
      </c>
      <c r="J497" t="s">
        <v>36</v>
      </c>
      <c r="K497" t="s">
        <v>36</v>
      </c>
      <c r="L497" t="s">
        <v>36</v>
      </c>
      <c r="M497" t="s">
        <v>36</v>
      </c>
      <c r="N497" t="s">
        <v>36</v>
      </c>
      <c r="O497" t="s">
        <v>36</v>
      </c>
      <c r="P497" s="1">
        <v>43059.576388888891</v>
      </c>
      <c r="Q497" t="s">
        <v>36</v>
      </c>
      <c r="R497" t="s">
        <v>36</v>
      </c>
      <c r="S497" t="s">
        <v>36</v>
      </c>
      <c r="T497" s="1">
        <v>42528.291666666664</v>
      </c>
      <c r="U497" t="s">
        <v>36</v>
      </c>
      <c r="V497" t="s">
        <v>36</v>
      </c>
      <c r="W497" t="s">
        <v>36</v>
      </c>
      <c r="X497" t="s">
        <v>36</v>
      </c>
      <c r="Y497" t="s">
        <v>36</v>
      </c>
      <c r="Z497" t="s">
        <v>36</v>
      </c>
      <c r="AA497" t="s">
        <v>36</v>
      </c>
      <c r="AB497" t="s">
        <v>36</v>
      </c>
      <c r="AC497" t="s">
        <v>36</v>
      </c>
      <c r="AD497" t="s">
        <v>36</v>
      </c>
      <c r="AE497" t="s">
        <v>36</v>
      </c>
      <c r="AF497" s="1">
        <v>42058.680555555555</v>
      </c>
      <c r="AG497" t="s">
        <v>36</v>
      </c>
      <c r="AH497" t="s">
        <v>36</v>
      </c>
      <c r="AI497" s="1">
        <v>41426</v>
      </c>
      <c r="AJ497" s="1">
        <v>43059.576388888891</v>
      </c>
    </row>
    <row r="498" spans="1:36" x14ac:dyDescent="0.35">
      <c r="A498">
        <v>131</v>
      </c>
      <c r="B498" t="s">
        <v>121</v>
      </c>
      <c r="C498" t="s">
        <v>36</v>
      </c>
      <c r="D498" s="1">
        <v>42058.680555555555</v>
      </c>
      <c r="E498" t="s">
        <v>36</v>
      </c>
      <c r="F498" t="s">
        <v>36</v>
      </c>
      <c r="G498" t="s">
        <v>36</v>
      </c>
      <c r="H498" t="s">
        <v>36</v>
      </c>
      <c r="I498" t="s">
        <v>36</v>
      </c>
      <c r="J498" t="s">
        <v>36</v>
      </c>
      <c r="K498" t="s">
        <v>36</v>
      </c>
      <c r="L498" t="s">
        <v>36</v>
      </c>
      <c r="M498" t="s">
        <v>36</v>
      </c>
      <c r="N498" s="1">
        <v>42735.993055555555</v>
      </c>
      <c r="O498" s="1">
        <v>42206.583333333336</v>
      </c>
      <c r="P498" t="s">
        <v>36</v>
      </c>
      <c r="Q498" t="s">
        <v>36</v>
      </c>
      <c r="R498" t="s">
        <v>36</v>
      </c>
      <c r="S498" t="s">
        <v>36</v>
      </c>
      <c r="T498" t="s">
        <v>36</v>
      </c>
      <c r="U498" t="s">
        <v>36</v>
      </c>
      <c r="V498" t="s">
        <v>36</v>
      </c>
      <c r="W498" t="s">
        <v>36</v>
      </c>
      <c r="X498" s="1">
        <v>42193.652777777781</v>
      </c>
      <c r="Y498" t="s">
        <v>36</v>
      </c>
      <c r="Z498" t="s">
        <v>36</v>
      </c>
      <c r="AA498" t="s">
        <v>36</v>
      </c>
      <c r="AB498" t="s">
        <v>36</v>
      </c>
      <c r="AC498" t="s">
        <v>36</v>
      </c>
      <c r="AD498" t="s">
        <v>36</v>
      </c>
      <c r="AE498" t="s">
        <v>36</v>
      </c>
      <c r="AF498" t="s">
        <v>36</v>
      </c>
      <c r="AG498" t="s">
        <v>36</v>
      </c>
      <c r="AH498" t="s">
        <v>36</v>
      </c>
      <c r="AI498" t="s">
        <v>36</v>
      </c>
      <c r="AJ498" t="s">
        <v>36</v>
      </c>
    </row>
    <row r="499" spans="1:36" x14ac:dyDescent="0.35">
      <c r="A499">
        <v>132</v>
      </c>
      <c r="B499" t="s">
        <v>122</v>
      </c>
      <c r="C499" t="s">
        <v>36</v>
      </c>
      <c r="D499" s="1">
        <v>42058.680555555555</v>
      </c>
      <c r="E499" t="s">
        <v>36</v>
      </c>
      <c r="F499" t="s">
        <v>36</v>
      </c>
      <c r="G499" t="s">
        <v>36</v>
      </c>
      <c r="H499" t="s">
        <v>36</v>
      </c>
      <c r="I499" t="s">
        <v>36</v>
      </c>
      <c r="J499" t="s">
        <v>36</v>
      </c>
      <c r="K499" t="s">
        <v>36</v>
      </c>
      <c r="L499" t="s">
        <v>36</v>
      </c>
      <c r="M499" t="s">
        <v>36</v>
      </c>
      <c r="N499" s="1">
        <v>42735.993055555555</v>
      </c>
      <c r="O499" s="1">
        <v>42206.583333333336</v>
      </c>
      <c r="P499" t="s">
        <v>36</v>
      </c>
      <c r="Q499" t="s">
        <v>36</v>
      </c>
      <c r="R499" t="s">
        <v>36</v>
      </c>
      <c r="S499" t="s">
        <v>36</v>
      </c>
      <c r="T499" t="s">
        <v>36</v>
      </c>
      <c r="U499" t="s">
        <v>36</v>
      </c>
      <c r="V499" t="s">
        <v>36</v>
      </c>
      <c r="W499" t="s">
        <v>36</v>
      </c>
      <c r="X499" s="1">
        <v>42193.652777777781</v>
      </c>
      <c r="Y499" t="s">
        <v>36</v>
      </c>
      <c r="Z499" t="s">
        <v>36</v>
      </c>
      <c r="AA499" t="s">
        <v>36</v>
      </c>
      <c r="AB499" t="s">
        <v>36</v>
      </c>
      <c r="AC499" t="s">
        <v>36</v>
      </c>
      <c r="AD499" t="s">
        <v>36</v>
      </c>
      <c r="AE499" t="s">
        <v>36</v>
      </c>
      <c r="AF499" t="s">
        <v>36</v>
      </c>
      <c r="AG499" t="s">
        <v>36</v>
      </c>
      <c r="AH499" t="s">
        <v>36</v>
      </c>
      <c r="AI499" t="s">
        <v>36</v>
      </c>
      <c r="AJ499" t="s">
        <v>36</v>
      </c>
    </row>
    <row r="500" spans="1:36" x14ac:dyDescent="0.35">
      <c r="A500">
        <v>133</v>
      </c>
      <c r="B500" t="s">
        <v>123</v>
      </c>
      <c r="C500" t="s">
        <v>36</v>
      </c>
      <c r="D500" s="1">
        <v>42058.680555555555</v>
      </c>
      <c r="E500" t="s">
        <v>36</v>
      </c>
      <c r="F500" t="s">
        <v>36</v>
      </c>
      <c r="G500" t="s">
        <v>36</v>
      </c>
      <c r="H500" t="s">
        <v>36</v>
      </c>
      <c r="I500" t="s">
        <v>36</v>
      </c>
      <c r="J500" t="s">
        <v>36</v>
      </c>
      <c r="K500" t="s">
        <v>36</v>
      </c>
      <c r="L500" t="s">
        <v>36</v>
      </c>
      <c r="M500" t="s">
        <v>36</v>
      </c>
      <c r="N500" s="1">
        <v>42735.993055555555</v>
      </c>
      <c r="O500" s="1">
        <v>42206.583333333336</v>
      </c>
      <c r="P500" t="s">
        <v>36</v>
      </c>
      <c r="Q500" t="s">
        <v>36</v>
      </c>
      <c r="R500" t="s">
        <v>36</v>
      </c>
      <c r="S500" t="s">
        <v>36</v>
      </c>
      <c r="T500" t="s">
        <v>36</v>
      </c>
      <c r="U500" t="s">
        <v>36</v>
      </c>
      <c r="V500" t="s">
        <v>36</v>
      </c>
      <c r="W500" t="s">
        <v>36</v>
      </c>
      <c r="X500" s="1">
        <v>42193.652777777781</v>
      </c>
      <c r="Y500" t="s">
        <v>36</v>
      </c>
      <c r="Z500" t="s">
        <v>36</v>
      </c>
      <c r="AA500" t="s">
        <v>36</v>
      </c>
      <c r="AB500" t="s">
        <v>36</v>
      </c>
      <c r="AC500" t="s">
        <v>36</v>
      </c>
      <c r="AD500" t="s">
        <v>36</v>
      </c>
      <c r="AE500" t="s">
        <v>36</v>
      </c>
      <c r="AF500" t="s">
        <v>36</v>
      </c>
      <c r="AG500" t="s">
        <v>36</v>
      </c>
      <c r="AH500" t="s">
        <v>36</v>
      </c>
      <c r="AI500" t="s">
        <v>36</v>
      </c>
      <c r="AJ500" t="s">
        <v>36</v>
      </c>
    </row>
    <row r="501" spans="1:36" x14ac:dyDescent="0.35">
      <c r="A501">
        <v>54</v>
      </c>
      <c r="B501" t="s">
        <v>88</v>
      </c>
      <c r="C501" s="1">
        <v>42528.291666666664</v>
      </c>
      <c r="D501" s="1">
        <v>42058.680555555555</v>
      </c>
      <c r="E501" s="1">
        <v>39245.465277777781</v>
      </c>
      <c r="F501" s="1">
        <v>42735.993055555555</v>
      </c>
      <c r="G501" s="1">
        <v>41426</v>
      </c>
      <c r="H501" s="1">
        <v>43059.576388888891</v>
      </c>
      <c r="I501" s="1">
        <v>38757.354166666664</v>
      </c>
      <c r="J501" s="1">
        <v>39631.4375</v>
      </c>
      <c r="K501" s="1">
        <v>42528.291666666664</v>
      </c>
      <c r="L501" s="1">
        <v>42058.680555555555</v>
      </c>
      <c r="M501" s="1">
        <v>43348.625</v>
      </c>
      <c r="N501" s="1">
        <v>42735.993055555555</v>
      </c>
      <c r="O501" s="1">
        <v>42206.583333333336</v>
      </c>
      <c r="P501" s="1">
        <v>43059.576388888891</v>
      </c>
      <c r="Q501" s="1">
        <v>40215.493055555555</v>
      </c>
      <c r="R501" s="1">
        <v>43329.319444444445</v>
      </c>
      <c r="S501" s="1">
        <v>42735.993055555555</v>
      </c>
      <c r="T501" s="1">
        <v>42528.291666666664</v>
      </c>
      <c r="U501" s="1">
        <v>43054.631944444445</v>
      </c>
      <c r="V501" s="1">
        <v>42473.520833333336</v>
      </c>
      <c r="W501" s="1">
        <v>42735.993055555555</v>
      </c>
      <c r="X501" s="1">
        <v>42193.652777777781</v>
      </c>
      <c r="Y501" s="1">
        <v>43394</v>
      </c>
      <c r="Z501" s="1">
        <v>42648.465277777781</v>
      </c>
      <c r="AA501" s="1">
        <v>43054.611111111109</v>
      </c>
      <c r="AB501" s="1">
        <v>41225.597222222219</v>
      </c>
      <c r="AC501" s="1">
        <v>42485.743055555555</v>
      </c>
      <c r="AD501" s="1">
        <v>43009</v>
      </c>
      <c r="AE501" t="s">
        <v>36</v>
      </c>
      <c r="AF501" s="1">
        <v>42058.680555555555</v>
      </c>
      <c r="AG501" s="32">
        <v>43040</v>
      </c>
      <c r="AH501" s="1">
        <v>42735.993055555555</v>
      </c>
      <c r="AI501" s="1">
        <v>41426</v>
      </c>
      <c r="AJ501" s="1">
        <v>43059.576388888891</v>
      </c>
    </row>
    <row r="502" spans="1:36" x14ac:dyDescent="0.35">
      <c r="A502">
        <v>933</v>
      </c>
      <c r="B502" t="s">
        <v>872</v>
      </c>
      <c r="C502" s="1">
        <v>42713.375</v>
      </c>
      <c r="D502" s="1">
        <v>42087</v>
      </c>
      <c r="E502" t="s">
        <v>36</v>
      </c>
      <c r="F502" t="s">
        <v>36</v>
      </c>
      <c r="G502" s="1">
        <v>43530</v>
      </c>
      <c r="H502" t="s">
        <v>36</v>
      </c>
      <c r="I502" t="s">
        <v>36</v>
      </c>
      <c r="J502" s="1">
        <v>39631.4375</v>
      </c>
      <c r="K502" s="1">
        <v>42692.506944444445</v>
      </c>
      <c r="L502" s="1">
        <v>42058.680555555555</v>
      </c>
      <c r="M502" s="1">
        <v>43348.625</v>
      </c>
      <c r="N502" s="1">
        <v>42735.993055555555</v>
      </c>
      <c r="O502" s="1">
        <v>42206.583333333336</v>
      </c>
      <c r="P502" s="1">
        <v>43559</v>
      </c>
      <c r="Q502" t="s">
        <v>36</v>
      </c>
      <c r="R502" s="1">
        <v>43329.319444444445</v>
      </c>
      <c r="S502" t="s">
        <v>36</v>
      </c>
      <c r="T502" s="1">
        <v>43557</v>
      </c>
      <c r="U502" t="s">
        <v>36</v>
      </c>
      <c r="V502" s="1">
        <v>42719.638888888891</v>
      </c>
      <c r="W502" s="1">
        <v>42735.993055555555</v>
      </c>
      <c r="X502" s="1">
        <v>42193.652777777781</v>
      </c>
      <c r="Y502" t="s">
        <v>36</v>
      </c>
      <c r="Z502" s="1">
        <v>42713.590277777781</v>
      </c>
      <c r="AA502" t="s">
        <v>36</v>
      </c>
      <c r="AB502" s="1">
        <v>42692.506944444445</v>
      </c>
      <c r="AC502" s="1">
        <v>42692.506944444445</v>
      </c>
      <c r="AD502" s="1">
        <v>43009</v>
      </c>
      <c r="AE502" t="s">
        <v>36</v>
      </c>
      <c r="AF502" s="1">
        <v>43529</v>
      </c>
      <c r="AG502" t="s">
        <v>36</v>
      </c>
      <c r="AH502" t="s">
        <v>36</v>
      </c>
      <c r="AI502" s="1">
        <v>43530</v>
      </c>
      <c r="AJ502" s="1">
        <v>43528</v>
      </c>
    </row>
    <row r="503" spans="1:36" x14ac:dyDescent="0.35">
      <c r="A503">
        <v>934</v>
      </c>
      <c r="B503" t="s">
        <v>873</v>
      </c>
      <c r="C503" s="1">
        <v>42713.375</v>
      </c>
      <c r="D503" s="1">
        <v>42087</v>
      </c>
      <c r="E503" t="s">
        <v>36</v>
      </c>
      <c r="F503" t="s">
        <v>36</v>
      </c>
      <c r="G503" s="1">
        <v>43530</v>
      </c>
      <c r="H503" t="s">
        <v>36</v>
      </c>
      <c r="I503" t="s">
        <v>36</v>
      </c>
      <c r="J503" s="1">
        <v>39631.4375</v>
      </c>
      <c r="K503" s="1">
        <v>42692.506944444445</v>
      </c>
      <c r="L503" s="1">
        <v>42058.680555555555</v>
      </c>
      <c r="M503" s="1">
        <v>43348.625</v>
      </c>
      <c r="N503" s="1">
        <v>42735.993055555555</v>
      </c>
      <c r="O503" s="1">
        <v>42206.583333333336</v>
      </c>
      <c r="P503" s="1">
        <v>43557</v>
      </c>
      <c r="Q503" t="s">
        <v>36</v>
      </c>
      <c r="R503" s="1">
        <v>43329.319444444445</v>
      </c>
      <c r="S503" t="s">
        <v>36</v>
      </c>
      <c r="T503" s="1">
        <v>43557</v>
      </c>
      <c r="U503" t="s">
        <v>36</v>
      </c>
      <c r="V503" s="1">
        <v>42719.638888888891</v>
      </c>
      <c r="W503" s="1">
        <v>42735.993055555555</v>
      </c>
      <c r="X503" s="1">
        <v>42193.652777777781</v>
      </c>
      <c r="Y503" t="s">
        <v>36</v>
      </c>
      <c r="Z503" s="1">
        <v>42713.590277777781</v>
      </c>
      <c r="AA503" t="s">
        <v>36</v>
      </c>
      <c r="AB503" s="1">
        <v>42692.506944444445</v>
      </c>
      <c r="AC503" s="1">
        <v>42692.506944444445</v>
      </c>
      <c r="AD503" s="1">
        <v>43009</v>
      </c>
      <c r="AE503" t="s">
        <v>36</v>
      </c>
      <c r="AF503" s="1">
        <v>43529</v>
      </c>
      <c r="AG503" t="s">
        <v>36</v>
      </c>
      <c r="AH503" t="s">
        <v>36</v>
      </c>
      <c r="AI503" s="1">
        <v>43530</v>
      </c>
      <c r="AJ503" s="1">
        <v>43528</v>
      </c>
    </row>
    <row r="504" spans="1:36" x14ac:dyDescent="0.35">
      <c r="A504">
        <v>935</v>
      </c>
      <c r="B504" t="s">
        <v>874</v>
      </c>
      <c r="C504" s="1">
        <v>42713.375</v>
      </c>
      <c r="D504" s="1">
        <v>42087</v>
      </c>
      <c r="E504" t="s">
        <v>36</v>
      </c>
      <c r="F504" t="s">
        <v>36</v>
      </c>
      <c r="G504" s="1">
        <v>43530</v>
      </c>
      <c r="H504" t="s">
        <v>36</v>
      </c>
      <c r="I504" t="s">
        <v>36</v>
      </c>
      <c r="J504" s="1">
        <v>39631.4375</v>
      </c>
      <c r="K504" s="1">
        <v>42692.506944444445</v>
      </c>
      <c r="L504" s="1">
        <v>42058.680555555555</v>
      </c>
      <c r="M504" s="1">
        <v>43348.625</v>
      </c>
      <c r="N504" s="1">
        <v>42735.993055555555</v>
      </c>
      <c r="O504" s="1">
        <v>42206.583333333336</v>
      </c>
      <c r="P504" s="1">
        <v>43557</v>
      </c>
      <c r="Q504" t="s">
        <v>36</v>
      </c>
      <c r="R504" s="1">
        <v>43329.319444444445</v>
      </c>
      <c r="S504" t="s">
        <v>36</v>
      </c>
      <c r="T504" s="1">
        <v>43557</v>
      </c>
      <c r="U504" t="s">
        <v>36</v>
      </c>
      <c r="V504" s="1">
        <v>42719.638888888891</v>
      </c>
      <c r="W504" s="1">
        <v>42735.993055555555</v>
      </c>
      <c r="X504" s="1">
        <v>42193.652777777781</v>
      </c>
      <c r="Y504" t="s">
        <v>36</v>
      </c>
      <c r="Z504" s="1">
        <v>42713.590277777781</v>
      </c>
      <c r="AA504" t="s">
        <v>36</v>
      </c>
      <c r="AB504" s="1">
        <v>42692.506944444445</v>
      </c>
      <c r="AC504" s="1">
        <v>42692.506944444445</v>
      </c>
      <c r="AD504" s="1">
        <v>43009</v>
      </c>
      <c r="AE504" t="s">
        <v>36</v>
      </c>
      <c r="AF504" s="1">
        <v>43529</v>
      </c>
      <c r="AG504" t="s">
        <v>36</v>
      </c>
      <c r="AH504" t="s">
        <v>36</v>
      </c>
      <c r="AI504" s="1">
        <v>43530</v>
      </c>
      <c r="AJ504" s="1">
        <v>43528</v>
      </c>
    </row>
    <row r="505" spans="1:36" x14ac:dyDescent="0.35">
      <c r="A505">
        <v>20</v>
      </c>
      <c r="B505" t="s">
        <v>55</v>
      </c>
      <c r="C505" t="s">
        <v>36</v>
      </c>
      <c r="D505" t="s">
        <v>36</v>
      </c>
      <c r="E505" t="s">
        <v>36</v>
      </c>
      <c r="F505" t="s">
        <v>36</v>
      </c>
      <c r="G505" t="s">
        <v>36</v>
      </c>
      <c r="H505" t="s">
        <v>36</v>
      </c>
      <c r="I505" t="s">
        <v>36</v>
      </c>
      <c r="J505" t="s">
        <v>36</v>
      </c>
      <c r="K505" t="s">
        <v>36</v>
      </c>
      <c r="L505" t="s">
        <v>36</v>
      </c>
      <c r="M505" t="s">
        <v>36</v>
      </c>
      <c r="N505" t="s">
        <v>36</v>
      </c>
      <c r="O505" t="s">
        <v>36</v>
      </c>
      <c r="P505" t="s">
        <v>36</v>
      </c>
      <c r="Q505" s="1">
        <v>40911.534722222219</v>
      </c>
      <c r="R505" t="s">
        <v>36</v>
      </c>
      <c r="S505" t="s">
        <v>36</v>
      </c>
      <c r="T505" t="s">
        <v>36</v>
      </c>
      <c r="U505" t="s">
        <v>36</v>
      </c>
      <c r="V505" t="s">
        <v>36</v>
      </c>
      <c r="W505" t="s">
        <v>36</v>
      </c>
      <c r="X505" t="s">
        <v>36</v>
      </c>
      <c r="Y505" t="s">
        <v>36</v>
      </c>
      <c r="Z505" t="s">
        <v>36</v>
      </c>
      <c r="AA505" t="s">
        <v>36</v>
      </c>
      <c r="AB505" t="s">
        <v>36</v>
      </c>
      <c r="AC505" t="s">
        <v>36</v>
      </c>
      <c r="AD505" t="s">
        <v>36</v>
      </c>
      <c r="AE505" t="s">
        <v>36</v>
      </c>
      <c r="AF505" t="s">
        <v>36</v>
      </c>
      <c r="AG505" t="s">
        <v>36</v>
      </c>
      <c r="AH505" t="s">
        <v>36</v>
      </c>
      <c r="AI505" t="s">
        <v>36</v>
      </c>
      <c r="AJ505" t="s">
        <v>36</v>
      </c>
    </row>
    <row r="506" spans="1:36" x14ac:dyDescent="0.35">
      <c r="A506">
        <v>4360</v>
      </c>
      <c r="B506" t="s">
        <v>1143</v>
      </c>
      <c r="C506" t="s">
        <v>36</v>
      </c>
      <c r="D506" t="s">
        <v>36</v>
      </c>
      <c r="E506" t="s">
        <v>36</v>
      </c>
      <c r="F506" t="s">
        <v>36</v>
      </c>
      <c r="G506" t="s">
        <v>36</v>
      </c>
      <c r="H506" t="s">
        <v>36</v>
      </c>
      <c r="I506" t="s">
        <v>36</v>
      </c>
      <c r="J506" t="s">
        <v>36</v>
      </c>
      <c r="K506" t="s">
        <v>36</v>
      </c>
      <c r="L506" t="s">
        <v>36</v>
      </c>
      <c r="M506" t="s">
        <v>36</v>
      </c>
      <c r="N506" t="s">
        <v>36</v>
      </c>
      <c r="O506" t="s">
        <v>36</v>
      </c>
      <c r="P506" t="s">
        <v>36</v>
      </c>
      <c r="Q506" s="1">
        <v>43856.520833333336</v>
      </c>
      <c r="R506" t="s">
        <v>36</v>
      </c>
      <c r="S506" t="s">
        <v>36</v>
      </c>
      <c r="T506" t="s">
        <v>36</v>
      </c>
      <c r="U506" t="s">
        <v>36</v>
      </c>
      <c r="V506" t="s">
        <v>36</v>
      </c>
      <c r="W506" t="s">
        <v>36</v>
      </c>
      <c r="X506" t="s">
        <v>36</v>
      </c>
      <c r="Y506" t="s">
        <v>36</v>
      </c>
      <c r="Z506" t="s">
        <v>36</v>
      </c>
      <c r="AA506" t="s">
        <v>36</v>
      </c>
      <c r="AB506" t="s">
        <v>36</v>
      </c>
      <c r="AC506" t="s">
        <v>36</v>
      </c>
      <c r="AD506" t="s">
        <v>36</v>
      </c>
      <c r="AE506" t="s">
        <v>36</v>
      </c>
      <c r="AF506" t="s">
        <v>36</v>
      </c>
      <c r="AG506" t="s">
        <v>36</v>
      </c>
      <c r="AH506" t="s">
        <v>36</v>
      </c>
      <c r="AI506" t="s">
        <v>36</v>
      </c>
      <c r="AJ506" t="s">
        <v>36</v>
      </c>
    </row>
    <row r="507" spans="1:36" x14ac:dyDescent="0.35">
      <c r="A507">
        <v>4361</v>
      </c>
      <c r="B507" t="s">
        <v>1144</v>
      </c>
      <c r="C507" t="s">
        <v>36</v>
      </c>
      <c r="D507" t="s">
        <v>36</v>
      </c>
      <c r="E507" t="s">
        <v>36</v>
      </c>
      <c r="F507" t="s">
        <v>36</v>
      </c>
      <c r="G507" t="s">
        <v>36</v>
      </c>
      <c r="H507" t="s">
        <v>36</v>
      </c>
      <c r="I507" t="s">
        <v>36</v>
      </c>
      <c r="J507" t="s">
        <v>36</v>
      </c>
      <c r="K507" t="s">
        <v>36</v>
      </c>
      <c r="L507" t="s">
        <v>36</v>
      </c>
      <c r="M507" t="s">
        <v>36</v>
      </c>
      <c r="N507" t="s">
        <v>36</v>
      </c>
      <c r="O507" t="s">
        <v>36</v>
      </c>
      <c r="P507" t="s">
        <v>36</v>
      </c>
      <c r="Q507" s="1">
        <v>43856.520833333336</v>
      </c>
      <c r="R507" t="s">
        <v>36</v>
      </c>
      <c r="S507" t="s">
        <v>36</v>
      </c>
      <c r="T507" t="s">
        <v>36</v>
      </c>
      <c r="U507" t="s">
        <v>36</v>
      </c>
      <c r="V507" t="s">
        <v>36</v>
      </c>
      <c r="W507" t="s">
        <v>36</v>
      </c>
      <c r="X507" t="s">
        <v>36</v>
      </c>
      <c r="Y507" t="s">
        <v>36</v>
      </c>
      <c r="Z507" t="s">
        <v>36</v>
      </c>
      <c r="AA507" t="s">
        <v>36</v>
      </c>
      <c r="AB507" t="s">
        <v>36</v>
      </c>
      <c r="AC507" t="s">
        <v>36</v>
      </c>
      <c r="AD507" t="s">
        <v>36</v>
      </c>
      <c r="AE507" t="s">
        <v>36</v>
      </c>
      <c r="AF507" t="s">
        <v>36</v>
      </c>
      <c r="AG507" t="s">
        <v>36</v>
      </c>
      <c r="AH507" t="s">
        <v>36</v>
      </c>
      <c r="AI507" t="s">
        <v>36</v>
      </c>
      <c r="AJ507" t="s">
        <v>36</v>
      </c>
    </row>
    <row r="508" spans="1:36" x14ac:dyDescent="0.35">
      <c r="A508">
        <v>4362</v>
      </c>
      <c r="B508" t="s">
        <v>1145</v>
      </c>
      <c r="C508" t="s">
        <v>36</v>
      </c>
      <c r="D508" t="s">
        <v>36</v>
      </c>
      <c r="E508" t="s">
        <v>36</v>
      </c>
      <c r="F508" t="s">
        <v>36</v>
      </c>
      <c r="G508" t="s">
        <v>36</v>
      </c>
      <c r="H508" t="s">
        <v>36</v>
      </c>
      <c r="I508" t="s">
        <v>36</v>
      </c>
      <c r="J508" t="s">
        <v>36</v>
      </c>
      <c r="K508" t="s">
        <v>36</v>
      </c>
      <c r="L508" t="s">
        <v>36</v>
      </c>
      <c r="M508" t="s">
        <v>36</v>
      </c>
      <c r="N508" t="s">
        <v>36</v>
      </c>
      <c r="O508" t="s">
        <v>36</v>
      </c>
      <c r="P508" t="s">
        <v>36</v>
      </c>
      <c r="Q508" s="1">
        <v>43856.520833333336</v>
      </c>
      <c r="R508" t="s">
        <v>36</v>
      </c>
      <c r="S508" t="s">
        <v>36</v>
      </c>
      <c r="T508" t="s">
        <v>36</v>
      </c>
      <c r="U508" t="s">
        <v>36</v>
      </c>
      <c r="V508" t="s">
        <v>36</v>
      </c>
      <c r="W508" t="s">
        <v>36</v>
      </c>
      <c r="X508" t="s">
        <v>36</v>
      </c>
      <c r="Y508" t="s">
        <v>36</v>
      </c>
      <c r="Z508" t="s">
        <v>36</v>
      </c>
      <c r="AA508" t="s">
        <v>36</v>
      </c>
      <c r="AB508" t="s">
        <v>36</v>
      </c>
      <c r="AC508" t="s">
        <v>36</v>
      </c>
      <c r="AD508" t="s">
        <v>36</v>
      </c>
      <c r="AE508" t="s">
        <v>36</v>
      </c>
      <c r="AF508" t="s">
        <v>36</v>
      </c>
      <c r="AG508" t="s">
        <v>36</v>
      </c>
      <c r="AH508" t="s">
        <v>36</v>
      </c>
      <c r="AI508" t="s">
        <v>36</v>
      </c>
      <c r="AJ508" t="s">
        <v>36</v>
      </c>
    </row>
    <row r="509" spans="1:36" x14ac:dyDescent="0.35">
      <c r="A509">
        <v>21</v>
      </c>
      <c r="B509" t="s">
        <v>56</v>
      </c>
      <c r="C509" t="s">
        <v>36</v>
      </c>
      <c r="D509" t="s">
        <v>36</v>
      </c>
      <c r="E509" t="s">
        <v>36</v>
      </c>
      <c r="F509" t="s">
        <v>36</v>
      </c>
      <c r="G509" t="s">
        <v>36</v>
      </c>
      <c r="H509" t="s">
        <v>36</v>
      </c>
      <c r="I509" t="s">
        <v>36</v>
      </c>
      <c r="J509" t="s">
        <v>36</v>
      </c>
      <c r="K509" t="s">
        <v>36</v>
      </c>
      <c r="L509" t="s">
        <v>36</v>
      </c>
      <c r="M509" t="s">
        <v>36</v>
      </c>
      <c r="N509" t="s">
        <v>36</v>
      </c>
      <c r="O509" t="s">
        <v>36</v>
      </c>
      <c r="P509" t="s">
        <v>36</v>
      </c>
      <c r="Q509" s="1">
        <v>40911.534722222219</v>
      </c>
      <c r="R509" t="s">
        <v>36</v>
      </c>
      <c r="S509" t="s">
        <v>36</v>
      </c>
      <c r="T509" t="s">
        <v>36</v>
      </c>
      <c r="U509" t="s">
        <v>36</v>
      </c>
      <c r="V509" t="s">
        <v>36</v>
      </c>
      <c r="W509" t="s">
        <v>36</v>
      </c>
      <c r="X509" t="s">
        <v>36</v>
      </c>
      <c r="Y509" t="s">
        <v>36</v>
      </c>
      <c r="Z509" t="s">
        <v>36</v>
      </c>
      <c r="AA509" t="s">
        <v>36</v>
      </c>
      <c r="AB509" t="s">
        <v>36</v>
      </c>
      <c r="AC509" t="s">
        <v>36</v>
      </c>
      <c r="AD509" t="s">
        <v>36</v>
      </c>
      <c r="AE509" t="s">
        <v>36</v>
      </c>
      <c r="AF509" t="s">
        <v>36</v>
      </c>
      <c r="AG509" t="s">
        <v>36</v>
      </c>
      <c r="AH509" t="s">
        <v>36</v>
      </c>
      <c r="AI509" t="s">
        <v>36</v>
      </c>
      <c r="AJ509" t="s">
        <v>36</v>
      </c>
    </row>
    <row r="510" spans="1:36" x14ac:dyDescent="0.35">
      <c r="A510">
        <v>4363</v>
      </c>
      <c r="B510" t="s">
        <v>1146</v>
      </c>
      <c r="C510" t="s">
        <v>36</v>
      </c>
      <c r="D510" t="s">
        <v>36</v>
      </c>
      <c r="E510" t="s">
        <v>36</v>
      </c>
      <c r="F510" t="s">
        <v>36</v>
      </c>
      <c r="G510" t="s">
        <v>36</v>
      </c>
      <c r="H510" t="s">
        <v>36</v>
      </c>
      <c r="I510" t="s">
        <v>36</v>
      </c>
      <c r="J510" t="s">
        <v>36</v>
      </c>
      <c r="K510" t="s">
        <v>36</v>
      </c>
      <c r="L510" t="s">
        <v>36</v>
      </c>
      <c r="M510" t="s">
        <v>36</v>
      </c>
      <c r="N510" t="s">
        <v>36</v>
      </c>
      <c r="O510" t="s">
        <v>36</v>
      </c>
      <c r="P510" t="s">
        <v>36</v>
      </c>
      <c r="Q510" s="1">
        <v>43856.520833333336</v>
      </c>
      <c r="R510" t="s">
        <v>36</v>
      </c>
      <c r="S510" t="s">
        <v>36</v>
      </c>
      <c r="T510" t="s">
        <v>36</v>
      </c>
      <c r="U510" t="s">
        <v>36</v>
      </c>
      <c r="V510" t="s">
        <v>36</v>
      </c>
      <c r="W510" t="s">
        <v>36</v>
      </c>
      <c r="X510" t="s">
        <v>36</v>
      </c>
      <c r="Y510" t="s">
        <v>36</v>
      </c>
      <c r="Z510" t="s">
        <v>36</v>
      </c>
      <c r="AA510" t="s">
        <v>36</v>
      </c>
      <c r="AB510" t="s">
        <v>36</v>
      </c>
      <c r="AC510" t="s">
        <v>36</v>
      </c>
      <c r="AD510" t="s">
        <v>36</v>
      </c>
      <c r="AE510" t="s">
        <v>36</v>
      </c>
      <c r="AF510" t="s">
        <v>36</v>
      </c>
      <c r="AG510" t="s">
        <v>36</v>
      </c>
      <c r="AH510" t="s">
        <v>36</v>
      </c>
      <c r="AI510" t="s">
        <v>36</v>
      </c>
      <c r="AJ510" t="s">
        <v>36</v>
      </c>
    </row>
    <row r="511" spans="1:36" x14ac:dyDescent="0.35">
      <c r="A511">
        <v>4364</v>
      </c>
      <c r="B511" t="s">
        <v>1147</v>
      </c>
      <c r="C511" t="s">
        <v>36</v>
      </c>
      <c r="D511" t="s">
        <v>36</v>
      </c>
      <c r="E511" t="s">
        <v>36</v>
      </c>
      <c r="F511" t="s">
        <v>36</v>
      </c>
      <c r="G511" t="s">
        <v>36</v>
      </c>
      <c r="H511" t="s">
        <v>36</v>
      </c>
      <c r="I511" t="s">
        <v>36</v>
      </c>
      <c r="J511" t="s">
        <v>36</v>
      </c>
      <c r="K511" t="s">
        <v>36</v>
      </c>
      <c r="L511" t="s">
        <v>36</v>
      </c>
      <c r="M511" t="s">
        <v>36</v>
      </c>
      <c r="N511" t="s">
        <v>36</v>
      </c>
      <c r="O511" t="s">
        <v>36</v>
      </c>
      <c r="P511" t="s">
        <v>36</v>
      </c>
      <c r="Q511" s="1">
        <v>43856.520833333336</v>
      </c>
      <c r="R511" t="s">
        <v>36</v>
      </c>
      <c r="S511" t="s">
        <v>36</v>
      </c>
      <c r="T511" t="s">
        <v>36</v>
      </c>
      <c r="U511" t="s">
        <v>36</v>
      </c>
      <c r="V511" t="s">
        <v>36</v>
      </c>
      <c r="W511" t="s">
        <v>36</v>
      </c>
      <c r="X511" t="s">
        <v>36</v>
      </c>
      <c r="Y511" t="s">
        <v>36</v>
      </c>
      <c r="Z511" t="s">
        <v>36</v>
      </c>
      <c r="AA511" t="s">
        <v>36</v>
      </c>
      <c r="AB511" t="s">
        <v>36</v>
      </c>
      <c r="AC511" t="s">
        <v>36</v>
      </c>
      <c r="AD511" t="s">
        <v>36</v>
      </c>
      <c r="AE511" t="s">
        <v>36</v>
      </c>
      <c r="AF511" t="s">
        <v>36</v>
      </c>
      <c r="AG511" t="s">
        <v>36</v>
      </c>
      <c r="AH511" t="s">
        <v>36</v>
      </c>
      <c r="AI511" t="s">
        <v>36</v>
      </c>
      <c r="AJ511" t="s">
        <v>36</v>
      </c>
    </row>
    <row r="512" spans="1:36" x14ac:dyDescent="0.35">
      <c r="A512">
        <v>4365</v>
      </c>
      <c r="B512" t="s">
        <v>1148</v>
      </c>
      <c r="C512" t="s">
        <v>36</v>
      </c>
      <c r="D512" t="s">
        <v>36</v>
      </c>
      <c r="E512" t="s">
        <v>36</v>
      </c>
      <c r="F512" t="s">
        <v>36</v>
      </c>
      <c r="G512" t="s">
        <v>36</v>
      </c>
      <c r="H512" t="s">
        <v>36</v>
      </c>
      <c r="I512" t="s">
        <v>36</v>
      </c>
      <c r="J512" t="s">
        <v>36</v>
      </c>
      <c r="K512" t="s">
        <v>36</v>
      </c>
      <c r="L512" t="s">
        <v>36</v>
      </c>
      <c r="M512" t="s">
        <v>36</v>
      </c>
      <c r="N512" t="s">
        <v>36</v>
      </c>
      <c r="O512" t="s">
        <v>36</v>
      </c>
      <c r="P512" t="s">
        <v>36</v>
      </c>
      <c r="Q512" s="1">
        <v>43856.520833333336</v>
      </c>
      <c r="R512" t="s">
        <v>36</v>
      </c>
      <c r="S512" t="s">
        <v>36</v>
      </c>
      <c r="T512" t="s">
        <v>36</v>
      </c>
      <c r="U512" t="s">
        <v>36</v>
      </c>
      <c r="V512" t="s">
        <v>36</v>
      </c>
      <c r="W512" t="s">
        <v>36</v>
      </c>
      <c r="X512" t="s">
        <v>36</v>
      </c>
      <c r="Y512" t="s">
        <v>36</v>
      </c>
      <c r="Z512" t="s">
        <v>36</v>
      </c>
      <c r="AA512" t="s">
        <v>36</v>
      </c>
      <c r="AB512" t="s">
        <v>36</v>
      </c>
      <c r="AC512" t="s">
        <v>36</v>
      </c>
      <c r="AD512" t="s">
        <v>36</v>
      </c>
      <c r="AE512" t="s">
        <v>36</v>
      </c>
      <c r="AF512" t="s">
        <v>36</v>
      </c>
      <c r="AG512" t="s">
        <v>36</v>
      </c>
      <c r="AH512" t="s">
        <v>36</v>
      </c>
      <c r="AI512" t="s">
        <v>36</v>
      </c>
      <c r="AJ512" t="s">
        <v>36</v>
      </c>
    </row>
    <row r="513" spans="1:36" x14ac:dyDescent="0.35">
      <c r="A513">
        <v>307</v>
      </c>
      <c r="B513" t="s">
        <v>184</v>
      </c>
      <c r="C513" t="s">
        <v>36</v>
      </c>
      <c r="D513" s="1">
        <v>42486.298611111109</v>
      </c>
      <c r="E513" t="s">
        <v>36</v>
      </c>
      <c r="F513" t="s">
        <v>36</v>
      </c>
      <c r="G513" t="s">
        <v>36</v>
      </c>
      <c r="H513" t="s">
        <v>36</v>
      </c>
      <c r="I513" t="s">
        <v>36</v>
      </c>
      <c r="J513" t="s">
        <v>36</v>
      </c>
      <c r="K513" t="s">
        <v>36</v>
      </c>
      <c r="L513" t="s">
        <v>36</v>
      </c>
      <c r="M513" t="s">
        <v>36</v>
      </c>
      <c r="N513" t="s">
        <v>36</v>
      </c>
      <c r="O513" s="1">
        <v>42376.743055555555</v>
      </c>
      <c r="P513" t="s">
        <v>36</v>
      </c>
      <c r="Q513" t="s">
        <v>36</v>
      </c>
      <c r="R513" t="s">
        <v>36</v>
      </c>
      <c r="S513" t="s">
        <v>36</v>
      </c>
      <c r="T513" t="s">
        <v>36</v>
      </c>
      <c r="U513" t="s">
        <v>36</v>
      </c>
      <c r="V513" t="s">
        <v>36</v>
      </c>
      <c r="W513" t="s">
        <v>36</v>
      </c>
      <c r="X513" s="1">
        <v>42499.215277777781</v>
      </c>
      <c r="Y513" t="s">
        <v>36</v>
      </c>
      <c r="Z513" t="s">
        <v>36</v>
      </c>
      <c r="AA513" t="s">
        <v>36</v>
      </c>
      <c r="AB513" t="s">
        <v>36</v>
      </c>
      <c r="AC513" t="s">
        <v>36</v>
      </c>
      <c r="AD513" t="s">
        <v>36</v>
      </c>
      <c r="AE513" t="s">
        <v>36</v>
      </c>
      <c r="AF513" t="s">
        <v>36</v>
      </c>
      <c r="AG513" t="s">
        <v>36</v>
      </c>
      <c r="AH513" t="s">
        <v>36</v>
      </c>
      <c r="AI513" t="s">
        <v>36</v>
      </c>
      <c r="AJ513" t="s">
        <v>36</v>
      </c>
    </row>
    <row r="514" spans="1:36" x14ac:dyDescent="0.35">
      <c r="A514">
        <v>202</v>
      </c>
      <c r="B514" t="s">
        <v>148</v>
      </c>
      <c r="C514" t="s">
        <v>36</v>
      </c>
      <c r="D514" s="1">
        <v>42058.680555555555</v>
      </c>
      <c r="E514" t="s">
        <v>36</v>
      </c>
      <c r="F514" t="s">
        <v>36</v>
      </c>
      <c r="G514" t="s">
        <v>36</v>
      </c>
      <c r="H514" t="s">
        <v>36</v>
      </c>
      <c r="I514" t="s">
        <v>36</v>
      </c>
      <c r="J514" t="s">
        <v>36</v>
      </c>
      <c r="K514" t="s">
        <v>36</v>
      </c>
      <c r="L514" t="s">
        <v>36</v>
      </c>
      <c r="M514" t="s">
        <v>36</v>
      </c>
      <c r="N514" t="s">
        <v>36</v>
      </c>
      <c r="O514" t="s">
        <v>36</v>
      </c>
      <c r="P514" t="s">
        <v>36</v>
      </c>
      <c r="Q514" t="s">
        <v>36</v>
      </c>
      <c r="R514" t="s">
        <v>36</v>
      </c>
      <c r="S514" t="s">
        <v>36</v>
      </c>
      <c r="T514" t="s">
        <v>36</v>
      </c>
      <c r="U514" t="s">
        <v>36</v>
      </c>
      <c r="V514" t="s">
        <v>36</v>
      </c>
      <c r="W514" t="s">
        <v>36</v>
      </c>
      <c r="X514" s="1">
        <v>42193.652777777781</v>
      </c>
      <c r="Y514" t="s">
        <v>36</v>
      </c>
      <c r="Z514" t="s">
        <v>36</v>
      </c>
      <c r="AA514" t="s">
        <v>36</v>
      </c>
      <c r="AB514" t="s">
        <v>36</v>
      </c>
      <c r="AC514" t="s">
        <v>36</v>
      </c>
      <c r="AD514" t="s">
        <v>36</v>
      </c>
      <c r="AE514" t="s">
        <v>36</v>
      </c>
      <c r="AF514" t="s">
        <v>36</v>
      </c>
      <c r="AG514" t="s">
        <v>36</v>
      </c>
      <c r="AH514" t="s">
        <v>36</v>
      </c>
      <c r="AI514" t="s">
        <v>36</v>
      </c>
      <c r="AJ514" t="s">
        <v>36</v>
      </c>
    </row>
    <row r="515" spans="1:36" x14ac:dyDescent="0.35">
      <c r="A515">
        <v>8</v>
      </c>
      <c r="B515" t="s">
        <v>43</v>
      </c>
      <c r="C515" t="s">
        <v>36</v>
      </c>
      <c r="D515" s="1">
        <v>42058.680555555555</v>
      </c>
      <c r="E515" t="s">
        <v>36</v>
      </c>
      <c r="F515" t="s">
        <v>36</v>
      </c>
      <c r="G515" t="s">
        <v>36</v>
      </c>
      <c r="H515" t="s">
        <v>36</v>
      </c>
      <c r="I515" t="s">
        <v>36</v>
      </c>
      <c r="J515" t="s">
        <v>36</v>
      </c>
      <c r="K515" t="s">
        <v>36</v>
      </c>
      <c r="L515" t="s">
        <v>36</v>
      </c>
      <c r="M515" t="s">
        <v>36</v>
      </c>
      <c r="N515" s="1">
        <v>42735.993055555555</v>
      </c>
      <c r="O515" s="1">
        <v>42206.583333333336</v>
      </c>
      <c r="P515" t="s">
        <v>36</v>
      </c>
      <c r="Q515" s="1">
        <v>40911.534722222219</v>
      </c>
      <c r="R515" t="s">
        <v>36</v>
      </c>
      <c r="S515" t="s">
        <v>36</v>
      </c>
      <c r="T515" t="s">
        <v>36</v>
      </c>
      <c r="U515" t="s">
        <v>36</v>
      </c>
      <c r="V515" t="s">
        <v>36</v>
      </c>
      <c r="W515" t="s">
        <v>36</v>
      </c>
      <c r="X515" s="1">
        <v>42193.652777777781</v>
      </c>
      <c r="Y515" t="s">
        <v>36</v>
      </c>
      <c r="Z515" t="s">
        <v>36</v>
      </c>
      <c r="AA515" t="s">
        <v>36</v>
      </c>
      <c r="AB515" t="s">
        <v>36</v>
      </c>
      <c r="AC515" t="s">
        <v>36</v>
      </c>
      <c r="AD515" t="s">
        <v>36</v>
      </c>
      <c r="AE515" t="s">
        <v>36</v>
      </c>
      <c r="AF515" t="s">
        <v>36</v>
      </c>
      <c r="AG515" t="s">
        <v>36</v>
      </c>
      <c r="AH515" t="s">
        <v>36</v>
      </c>
      <c r="AI515" t="s">
        <v>36</v>
      </c>
      <c r="AJ515" t="s">
        <v>36</v>
      </c>
    </row>
    <row r="516" spans="1:36" x14ac:dyDescent="0.35">
      <c r="A516">
        <v>3731</v>
      </c>
      <c r="B516" t="s">
        <v>935</v>
      </c>
      <c r="C516" t="s">
        <v>36</v>
      </c>
      <c r="D516" t="s">
        <v>36</v>
      </c>
      <c r="E516" t="s">
        <v>36</v>
      </c>
      <c r="F516" t="s">
        <v>36</v>
      </c>
      <c r="G516" t="s">
        <v>36</v>
      </c>
      <c r="H516" t="s">
        <v>36</v>
      </c>
      <c r="I516" t="s">
        <v>36</v>
      </c>
      <c r="J516" t="s">
        <v>36</v>
      </c>
      <c r="K516" t="s">
        <v>36</v>
      </c>
      <c r="L516" t="s">
        <v>36</v>
      </c>
      <c r="M516" t="s">
        <v>36</v>
      </c>
      <c r="N516" s="1">
        <v>43948.465277777781</v>
      </c>
      <c r="O516" s="1">
        <v>42206.583333333336</v>
      </c>
      <c r="P516" t="s">
        <v>36</v>
      </c>
      <c r="Q516" s="1">
        <v>43643.451388888891</v>
      </c>
      <c r="R516" t="s">
        <v>36</v>
      </c>
      <c r="S516" t="s">
        <v>36</v>
      </c>
      <c r="T516" t="s">
        <v>36</v>
      </c>
      <c r="U516" t="s">
        <v>36</v>
      </c>
      <c r="V516" t="s">
        <v>36</v>
      </c>
      <c r="W516" t="s">
        <v>36</v>
      </c>
      <c r="X516" t="s">
        <v>36</v>
      </c>
      <c r="Y516" t="s">
        <v>36</v>
      </c>
      <c r="Z516" t="s">
        <v>36</v>
      </c>
      <c r="AA516" t="s">
        <v>36</v>
      </c>
      <c r="AB516" t="s">
        <v>36</v>
      </c>
      <c r="AC516" t="s">
        <v>36</v>
      </c>
      <c r="AD516" t="s">
        <v>36</v>
      </c>
      <c r="AE516" t="s">
        <v>36</v>
      </c>
      <c r="AF516" t="s">
        <v>36</v>
      </c>
      <c r="AG516" t="s">
        <v>36</v>
      </c>
      <c r="AH516" t="s">
        <v>36</v>
      </c>
      <c r="AI516" t="s">
        <v>36</v>
      </c>
      <c r="AJ516" t="s">
        <v>36</v>
      </c>
    </row>
    <row r="517" spans="1:36" x14ac:dyDescent="0.35">
      <c r="A517">
        <v>3730</v>
      </c>
      <c r="B517" t="s">
        <v>934</v>
      </c>
      <c r="C517" t="s">
        <v>36</v>
      </c>
      <c r="D517" t="s">
        <v>36</v>
      </c>
      <c r="E517" t="s">
        <v>36</v>
      </c>
      <c r="F517" t="s">
        <v>36</v>
      </c>
      <c r="G517" t="s">
        <v>36</v>
      </c>
      <c r="H517" t="s">
        <v>36</v>
      </c>
      <c r="I517" t="s">
        <v>36</v>
      </c>
      <c r="J517" t="s">
        <v>36</v>
      </c>
      <c r="K517" t="s">
        <v>36</v>
      </c>
      <c r="L517" t="s">
        <v>36</v>
      </c>
      <c r="M517" t="s">
        <v>36</v>
      </c>
      <c r="N517" s="1">
        <v>43948.465277777781</v>
      </c>
      <c r="O517" s="1">
        <v>42206.583333333336</v>
      </c>
      <c r="P517" t="s">
        <v>36</v>
      </c>
      <c r="Q517" s="1">
        <v>43643.451388888891</v>
      </c>
      <c r="R517" t="s">
        <v>36</v>
      </c>
      <c r="S517" t="s">
        <v>36</v>
      </c>
      <c r="T517" t="s">
        <v>36</v>
      </c>
      <c r="U517" t="s">
        <v>36</v>
      </c>
      <c r="V517" t="s">
        <v>36</v>
      </c>
      <c r="W517" t="s">
        <v>36</v>
      </c>
      <c r="X517" t="s">
        <v>36</v>
      </c>
      <c r="Y517" t="s">
        <v>36</v>
      </c>
      <c r="Z517" t="s">
        <v>36</v>
      </c>
      <c r="AA517" t="s">
        <v>36</v>
      </c>
      <c r="AB517" t="s">
        <v>36</v>
      </c>
      <c r="AC517" t="s">
        <v>36</v>
      </c>
      <c r="AD517" t="s">
        <v>36</v>
      </c>
      <c r="AE517" t="s">
        <v>36</v>
      </c>
      <c r="AF517" t="s">
        <v>36</v>
      </c>
      <c r="AG517" t="s">
        <v>36</v>
      </c>
      <c r="AH517" t="s">
        <v>36</v>
      </c>
      <c r="AI517" t="s">
        <v>36</v>
      </c>
      <c r="AJ517" t="s">
        <v>36</v>
      </c>
    </row>
    <row r="518" spans="1:36" x14ac:dyDescent="0.35">
      <c r="A518">
        <v>3732</v>
      </c>
      <c r="B518" t="s">
        <v>936</v>
      </c>
      <c r="C518" t="s">
        <v>36</v>
      </c>
      <c r="D518" t="s">
        <v>36</v>
      </c>
      <c r="E518" t="s">
        <v>36</v>
      </c>
      <c r="F518" t="s">
        <v>36</v>
      </c>
      <c r="G518" t="s">
        <v>36</v>
      </c>
      <c r="H518" t="s">
        <v>36</v>
      </c>
      <c r="I518" t="s">
        <v>36</v>
      </c>
      <c r="J518" t="s">
        <v>36</v>
      </c>
      <c r="K518" t="s">
        <v>36</v>
      </c>
      <c r="L518" t="s">
        <v>36</v>
      </c>
      <c r="M518" t="s">
        <v>36</v>
      </c>
      <c r="N518" t="s">
        <v>36</v>
      </c>
      <c r="O518" t="s">
        <v>36</v>
      </c>
      <c r="P518" t="s">
        <v>36</v>
      </c>
      <c r="Q518" s="1">
        <v>43643.451388888891</v>
      </c>
      <c r="R518" t="s">
        <v>36</v>
      </c>
      <c r="S518" t="s">
        <v>36</v>
      </c>
      <c r="T518" t="s">
        <v>36</v>
      </c>
      <c r="U518" t="s">
        <v>36</v>
      </c>
      <c r="V518" t="s">
        <v>36</v>
      </c>
      <c r="W518" t="s">
        <v>36</v>
      </c>
      <c r="X518" t="s">
        <v>36</v>
      </c>
      <c r="Y518" t="s">
        <v>36</v>
      </c>
      <c r="Z518" t="s">
        <v>36</v>
      </c>
      <c r="AA518" t="s">
        <v>36</v>
      </c>
      <c r="AB518" t="s">
        <v>36</v>
      </c>
      <c r="AC518" t="s">
        <v>36</v>
      </c>
      <c r="AD518" t="s">
        <v>36</v>
      </c>
      <c r="AE518" t="s">
        <v>36</v>
      </c>
      <c r="AF518" t="s">
        <v>36</v>
      </c>
      <c r="AG518" t="s">
        <v>36</v>
      </c>
      <c r="AH518" t="s">
        <v>36</v>
      </c>
      <c r="AI518" t="s">
        <v>36</v>
      </c>
      <c r="AJ518" t="s">
        <v>36</v>
      </c>
    </row>
    <row r="519" spans="1:36" x14ac:dyDescent="0.35">
      <c r="A519">
        <v>22</v>
      </c>
      <c r="B519" t="s">
        <v>57</v>
      </c>
      <c r="C519" s="1">
        <v>42528.291666666664</v>
      </c>
      <c r="D519" t="s">
        <v>36</v>
      </c>
      <c r="E519" t="s">
        <v>36</v>
      </c>
      <c r="F519" t="s">
        <v>36</v>
      </c>
      <c r="G519" t="s">
        <v>36</v>
      </c>
      <c r="H519" t="s">
        <v>36</v>
      </c>
      <c r="I519" t="s">
        <v>36</v>
      </c>
      <c r="J519" t="s">
        <v>36</v>
      </c>
      <c r="K519" s="1">
        <v>42528.291666666664</v>
      </c>
      <c r="L519" t="s">
        <v>36</v>
      </c>
      <c r="M519" t="s">
        <v>36</v>
      </c>
      <c r="N519" t="s">
        <v>36</v>
      </c>
      <c r="O519" t="s">
        <v>36</v>
      </c>
      <c r="P519" t="s">
        <v>36</v>
      </c>
      <c r="Q519" s="1">
        <v>40911.534722222219</v>
      </c>
      <c r="R519" t="s">
        <v>36</v>
      </c>
      <c r="S519" t="s">
        <v>36</v>
      </c>
      <c r="T519" t="s">
        <v>36</v>
      </c>
      <c r="U519" t="s">
        <v>36</v>
      </c>
      <c r="V519" s="1">
        <v>42473.520833333336</v>
      </c>
      <c r="W519" t="s">
        <v>36</v>
      </c>
      <c r="X519" t="s">
        <v>36</v>
      </c>
      <c r="Y519" t="s">
        <v>36</v>
      </c>
      <c r="Z519" s="1">
        <v>42648.465277777781</v>
      </c>
      <c r="AA519" t="s">
        <v>36</v>
      </c>
      <c r="AB519" t="s">
        <v>36</v>
      </c>
      <c r="AC519" s="1">
        <v>42485.743055555555</v>
      </c>
      <c r="AD519" s="1">
        <v>43009</v>
      </c>
      <c r="AE519" t="s">
        <v>36</v>
      </c>
      <c r="AF519" t="s">
        <v>36</v>
      </c>
      <c r="AG519" t="s">
        <v>36</v>
      </c>
      <c r="AH519" t="s">
        <v>36</v>
      </c>
      <c r="AI519" t="s">
        <v>36</v>
      </c>
      <c r="AJ519" t="s">
        <v>36</v>
      </c>
    </row>
    <row r="520" spans="1:36" x14ac:dyDescent="0.35">
      <c r="A520">
        <v>4248</v>
      </c>
      <c r="B520" t="s">
        <v>1083</v>
      </c>
      <c r="C520" s="1">
        <v>43856.486111111109</v>
      </c>
      <c r="D520" t="s">
        <v>36</v>
      </c>
      <c r="E520" t="s">
        <v>36</v>
      </c>
      <c r="F520" t="s">
        <v>36</v>
      </c>
      <c r="G520" t="s">
        <v>36</v>
      </c>
      <c r="H520" t="s">
        <v>36</v>
      </c>
      <c r="I520" t="s">
        <v>36</v>
      </c>
      <c r="J520" t="s">
        <v>36</v>
      </c>
      <c r="K520" s="1">
        <v>43856.486111111109</v>
      </c>
      <c r="L520" t="s">
        <v>36</v>
      </c>
      <c r="M520" t="s">
        <v>36</v>
      </c>
      <c r="N520" t="s">
        <v>36</v>
      </c>
      <c r="O520" t="s">
        <v>36</v>
      </c>
      <c r="P520" t="s">
        <v>36</v>
      </c>
      <c r="Q520" s="1">
        <v>43856.486111111109</v>
      </c>
      <c r="R520" t="s">
        <v>36</v>
      </c>
      <c r="S520" t="s">
        <v>36</v>
      </c>
      <c r="T520" t="s">
        <v>36</v>
      </c>
      <c r="U520" t="s">
        <v>36</v>
      </c>
      <c r="V520" s="1">
        <v>43857.458333333336</v>
      </c>
      <c r="W520" t="s">
        <v>36</v>
      </c>
      <c r="X520" t="s">
        <v>36</v>
      </c>
      <c r="Y520" t="s">
        <v>36</v>
      </c>
      <c r="Z520" s="1">
        <v>43856.486111111109</v>
      </c>
      <c r="AA520" t="s">
        <v>36</v>
      </c>
      <c r="AB520" t="s">
        <v>36</v>
      </c>
      <c r="AC520" s="1">
        <v>43856.402777777781</v>
      </c>
      <c r="AD520" s="1">
        <v>43856.486111111109</v>
      </c>
      <c r="AE520" t="s">
        <v>36</v>
      </c>
      <c r="AF520" t="s">
        <v>36</v>
      </c>
      <c r="AG520" t="s">
        <v>36</v>
      </c>
      <c r="AH520" t="s">
        <v>36</v>
      </c>
      <c r="AI520" t="s">
        <v>36</v>
      </c>
      <c r="AJ520" t="s">
        <v>36</v>
      </c>
    </row>
    <row r="521" spans="1:36" x14ac:dyDescent="0.35">
      <c r="A521">
        <v>4249</v>
      </c>
      <c r="B521" t="s">
        <v>1084</v>
      </c>
      <c r="C521" s="1">
        <v>43856.486111111109</v>
      </c>
      <c r="D521" t="s">
        <v>36</v>
      </c>
      <c r="E521" t="s">
        <v>36</v>
      </c>
      <c r="F521" t="s">
        <v>36</v>
      </c>
      <c r="G521" t="s">
        <v>36</v>
      </c>
      <c r="H521" t="s">
        <v>36</v>
      </c>
      <c r="I521" t="s">
        <v>36</v>
      </c>
      <c r="J521" t="s">
        <v>36</v>
      </c>
      <c r="K521" s="1">
        <v>43856.486111111109</v>
      </c>
      <c r="L521" t="s">
        <v>36</v>
      </c>
      <c r="M521" t="s">
        <v>36</v>
      </c>
      <c r="N521" t="s">
        <v>36</v>
      </c>
      <c r="O521" t="s">
        <v>36</v>
      </c>
      <c r="P521" t="s">
        <v>36</v>
      </c>
      <c r="Q521" s="1">
        <v>43856.486111111109</v>
      </c>
      <c r="R521" t="s">
        <v>36</v>
      </c>
      <c r="S521" t="s">
        <v>36</v>
      </c>
      <c r="T521" t="s">
        <v>36</v>
      </c>
      <c r="U521" t="s">
        <v>36</v>
      </c>
      <c r="V521" s="1">
        <v>43857.458333333336</v>
      </c>
      <c r="W521" t="s">
        <v>36</v>
      </c>
      <c r="X521" t="s">
        <v>36</v>
      </c>
      <c r="Y521" t="s">
        <v>36</v>
      </c>
      <c r="Z521" s="1">
        <v>43856.486111111109</v>
      </c>
      <c r="AA521" t="s">
        <v>36</v>
      </c>
      <c r="AB521" t="s">
        <v>36</v>
      </c>
      <c r="AC521" s="1">
        <v>43856.402777777781</v>
      </c>
      <c r="AD521" s="1">
        <v>43856.486111111109</v>
      </c>
      <c r="AE521" t="s">
        <v>36</v>
      </c>
      <c r="AF521" t="s">
        <v>36</v>
      </c>
      <c r="AG521" t="s">
        <v>36</v>
      </c>
      <c r="AH521" t="s">
        <v>36</v>
      </c>
      <c r="AI521" t="s">
        <v>36</v>
      </c>
      <c r="AJ521" t="s">
        <v>36</v>
      </c>
    </row>
    <row r="522" spans="1:36" x14ac:dyDescent="0.35">
      <c r="A522">
        <v>4250</v>
      </c>
      <c r="B522" t="s">
        <v>1085</v>
      </c>
      <c r="C522" s="1">
        <v>43856.486111111109</v>
      </c>
      <c r="D522" t="s">
        <v>36</v>
      </c>
      <c r="E522" t="s">
        <v>36</v>
      </c>
      <c r="F522" t="s">
        <v>36</v>
      </c>
      <c r="G522" t="s">
        <v>36</v>
      </c>
      <c r="H522" t="s">
        <v>36</v>
      </c>
      <c r="I522" t="s">
        <v>36</v>
      </c>
      <c r="J522" t="s">
        <v>36</v>
      </c>
      <c r="K522" s="1">
        <v>43856.486111111109</v>
      </c>
      <c r="L522" t="s">
        <v>36</v>
      </c>
      <c r="M522" t="s">
        <v>36</v>
      </c>
      <c r="N522" t="s">
        <v>36</v>
      </c>
      <c r="O522" t="s">
        <v>36</v>
      </c>
      <c r="P522" t="s">
        <v>36</v>
      </c>
      <c r="Q522" s="1">
        <v>43856.486111111109</v>
      </c>
      <c r="R522" t="s">
        <v>36</v>
      </c>
      <c r="S522" t="s">
        <v>36</v>
      </c>
      <c r="T522" t="s">
        <v>36</v>
      </c>
      <c r="U522" t="s">
        <v>36</v>
      </c>
      <c r="V522" s="1">
        <v>43857.458333333336</v>
      </c>
      <c r="W522" t="s">
        <v>36</v>
      </c>
      <c r="X522" t="s">
        <v>36</v>
      </c>
      <c r="Y522" t="s">
        <v>36</v>
      </c>
      <c r="Z522" s="1">
        <v>43856.486111111109</v>
      </c>
      <c r="AA522" t="s">
        <v>36</v>
      </c>
      <c r="AB522" t="s">
        <v>36</v>
      </c>
      <c r="AC522" s="1">
        <v>43856.402777777781</v>
      </c>
      <c r="AD522" s="1">
        <v>43856.486111111109</v>
      </c>
      <c r="AE522" t="s">
        <v>36</v>
      </c>
      <c r="AF522" t="s">
        <v>36</v>
      </c>
      <c r="AG522" t="s">
        <v>36</v>
      </c>
      <c r="AH522" t="s">
        <v>36</v>
      </c>
      <c r="AI522" t="s">
        <v>36</v>
      </c>
      <c r="AJ522" t="s">
        <v>36</v>
      </c>
    </row>
    <row r="523" spans="1:36" x14ac:dyDescent="0.35">
      <c r="A523">
        <v>23</v>
      </c>
      <c r="B523" t="s">
        <v>58</v>
      </c>
      <c r="C523" t="s">
        <v>36</v>
      </c>
      <c r="D523" t="s">
        <v>36</v>
      </c>
      <c r="E523" t="s">
        <v>36</v>
      </c>
      <c r="F523" t="s">
        <v>36</v>
      </c>
      <c r="G523" t="s">
        <v>36</v>
      </c>
      <c r="H523" t="s">
        <v>36</v>
      </c>
      <c r="I523" t="s">
        <v>36</v>
      </c>
      <c r="J523" t="s">
        <v>36</v>
      </c>
      <c r="K523" t="s">
        <v>36</v>
      </c>
      <c r="L523" t="s">
        <v>36</v>
      </c>
      <c r="M523" t="s">
        <v>36</v>
      </c>
      <c r="N523" t="s">
        <v>36</v>
      </c>
      <c r="O523" t="s">
        <v>36</v>
      </c>
      <c r="P523" t="s">
        <v>36</v>
      </c>
      <c r="Q523" s="1">
        <v>40911.534722222219</v>
      </c>
      <c r="R523" t="s">
        <v>36</v>
      </c>
      <c r="S523" t="s">
        <v>36</v>
      </c>
      <c r="T523" t="s">
        <v>36</v>
      </c>
      <c r="U523" t="s">
        <v>36</v>
      </c>
      <c r="V523" t="s">
        <v>36</v>
      </c>
      <c r="W523" t="s">
        <v>36</v>
      </c>
      <c r="X523" t="s">
        <v>36</v>
      </c>
      <c r="Y523" t="s">
        <v>36</v>
      </c>
      <c r="Z523" t="s">
        <v>36</v>
      </c>
      <c r="AA523" t="s">
        <v>36</v>
      </c>
      <c r="AB523" t="s">
        <v>36</v>
      </c>
      <c r="AC523" t="s">
        <v>36</v>
      </c>
      <c r="AD523" t="s">
        <v>36</v>
      </c>
      <c r="AE523" t="s">
        <v>36</v>
      </c>
      <c r="AF523" t="s">
        <v>36</v>
      </c>
      <c r="AG523" t="s">
        <v>36</v>
      </c>
      <c r="AH523" t="s">
        <v>36</v>
      </c>
      <c r="AI523" t="s">
        <v>36</v>
      </c>
      <c r="AJ523" t="s">
        <v>36</v>
      </c>
    </row>
    <row r="524" spans="1:36" x14ac:dyDescent="0.35">
      <c r="A524">
        <v>4251</v>
      </c>
      <c r="B524" t="s">
        <v>1086</v>
      </c>
      <c r="C524" t="s">
        <v>36</v>
      </c>
      <c r="D524" t="s">
        <v>36</v>
      </c>
      <c r="E524" t="s">
        <v>36</v>
      </c>
      <c r="F524" t="s">
        <v>36</v>
      </c>
      <c r="G524" t="s">
        <v>36</v>
      </c>
      <c r="H524" t="s">
        <v>36</v>
      </c>
      <c r="I524" t="s">
        <v>36</v>
      </c>
      <c r="J524" t="s">
        <v>36</v>
      </c>
      <c r="K524" t="s">
        <v>36</v>
      </c>
      <c r="L524" t="s">
        <v>36</v>
      </c>
      <c r="M524" t="s">
        <v>36</v>
      </c>
      <c r="N524" t="s">
        <v>36</v>
      </c>
      <c r="O524" t="s">
        <v>36</v>
      </c>
      <c r="P524" t="s">
        <v>36</v>
      </c>
      <c r="Q524" s="1">
        <v>43856.486111111109</v>
      </c>
      <c r="R524" t="s">
        <v>36</v>
      </c>
      <c r="S524" t="s">
        <v>36</v>
      </c>
      <c r="T524" t="s">
        <v>36</v>
      </c>
      <c r="U524" t="s">
        <v>36</v>
      </c>
      <c r="V524" t="s">
        <v>36</v>
      </c>
      <c r="W524" t="s">
        <v>36</v>
      </c>
      <c r="X524" t="s">
        <v>36</v>
      </c>
      <c r="Y524" t="s">
        <v>36</v>
      </c>
      <c r="Z524" t="s">
        <v>36</v>
      </c>
      <c r="AA524" t="s">
        <v>36</v>
      </c>
      <c r="AB524" t="s">
        <v>36</v>
      </c>
      <c r="AC524" t="s">
        <v>36</v>
      </c>
      <c r="AD524" t="s">
        <v>36</v>
      </c>
      <c r="AE524" t="s">
        <v>36</v>
      </c>
      <c r="AF524" t="s">
        <v>36</v>
      </c>
      <c r="AG524" t="s">
        <v>36</v>
      </c>
      <c r="AH524" t="s">
        <v>36</v>
      </c>
      <c r="AI524" t="s">
        <v>36</v>
      </c>
      <c r="AJ524" t="s">
        <v>36</v>
      </c>
    </row>
    <row r="525" spans="1:36" x14ac:dyDescent="0.35">
      <c r="A525">
        <v>4252</v>
      </c>
      <c r="B525" t="s">
        <v>1087</v>
      </c>
      <c r="C525" t="s">
        <v>36</v>
      </c>
      <c r="D525" t="s">
        <v>36</v>
      </c>
      <c r="E525" t="s">
        <v>36</v>
      </c>
      <c r="F525" t="s">
        <v>36</v>
      </c>
      <c r="G525" t="s">
        <v>36</v>
      </c>
      <c r="H525" t="s">
        <v>36</v>
      </c>
      <c r="I525" t="s">
        <v>36</v>
      </c>
      <c r="J525" t="s">
        <v>36</v>
      </c>
      <c r="K525" t="s">
        <v>36</v>
      </c>
      <c r="L525" t="s">
        <v>36</v>
      </c>
      <c r="M525" t="s">
        <v>36</v>
      </c>
      <c r="N525" t="s">
        <v>36</v>
      </c>
      <c r="O525" t="s">
        <v>36</v>
      </c>
      <c r="P525" t="s">
        <v>36</v>
      </c>
      <c r="Q525" s="1">
        <v>43856.486111111109</v>
      </c>
      <c r="R525" t="s">
        <v>36</v>
      </c>
      <c r="S525" t="s">
        <v>36</v>
      </c>
      <c r="T525" t="s">
        <v>36</v>
      </c>
      <c r="U525" t="s">
        <v>36</v>
      </c>
      <c r="V525" t="s">
        <v>36</v>
      </c>
      <c r="W525" t="s">
        <v>36</v>
      </c>
      <c r="X525" t="s">
        <v>36</v>
      </c>
      <c r="Y525" t="s">
        <v>36</v>
      </c>
      <c r="Z525" t="s">
        <v>36</v>
      </c>
      <c r="AA525" t="s">
        <v>36</v>
      </c>
      <c r="AB525" t="s">
        <v>36</v>
      </c>
      <c r="AC525" t="s">
        <v>36</v>
      </c>
      <c r="AD525" t="s">
        <v>36</v>
      </c>
      <c r="AE525" t="s">
        <v>36</v>
      </c>
      <c r="AF525" t="s">
        <v>36</v>
      </c>
      <c r="AG525" t="s">
        <v>36</v>
      </c>
      <c r="AH525" t="s">
        <v>36</v>
      </c>
      <c r="AI525" t="s">
        <v>36</v>
      </c>
      <c r="AJ525" t="s">
        <v>36</v>
      </c>
    </row>
    <row r="526" spans="1:36" x14ac:dyDescent="0.35">
      <c r="A526">
        <v>4253</v>
      </c>
      <c r="B526" t="s">
        <v>1088</v>
      </c>
      <c r="C526" t="s">
        <v>36</v>
      </c>
      <c r="D526" t="s">
        <v>36</v>
      </c>
      <c r="E526" t="s">
        <v>36</v>
      </c>
      <c r="F526" t="s">
        <v>36</v>
      </c>
      <c r="G526" t="s">
        <v>36</v>
      </c>
      <c r="H526" t="s">
        <v>36</v>
      </c>
      <c r="I526" t="s">
        <v>36</v>
      </c>
      <c r="J526" t="s">
        <v>36</v>
      </c>
      <c r="K526" t="s">
        <v>36</v>
      </c>
      <c r="L526" t="s">
        <v>36</v>
      </c>
      <c r="M526" t="s">
        <v>36</v>
      </c>
      <c r="N526" t="s">
        <v>36</v>
      </c>
      <c r="O526" t="s">
        <v>36</v>
      </c>
      <c r="P526" t="s">
        <v>36</v>
      </c>
      <c r="Q526" s="1">
        <v>43856.486111111109</v>
      </c>
      <c r="R526" t="s">
        <v>36</v>
      </c>
      <c r="S526" t="s">
        <v>36</v>
      </c>
      <c r="T526" t="s">
        <v>36</v>
      </c>
      <c r="U526" t="s">
        <v>36</v>
      </c>
      <c r="V526" t="s">
        <v>36</v>
      </c>
      <c r="W526" t="s">
        <v>36</v>
      </c>
      <c r="X526" t="s">
        <v>36</v>
      </c>
      <c r="Y526" t="s">
        <v>36</v>
      </c>
      <c r="Z526" t="s">
        <v>36</v>
      </c>
      <c r="AA526" t="s">
        <v>36</v>
      </c>
      <c r="AB526" t="s">
        <v>36</v>
      </c>
      <c r="AC526" t="s">
        <v>36</v>
      </c>
      <c r="AD526" t="s">
        <v>36</v>
      </c>
      <c r="AE526" t="s">
        <v>36</v>
      </c>
      <c r="AF526" t="s">
        <v>36</v>
      </c>
      <c r="AG526" t="s">
        <v>36</v>
      </c>
      <c r="AH526" t="s">
        <v>36</v>
      </c>
      <c r="AI526" t="s">
        <v>36</v>
      </c>
      <c r="AJ526" t="s">
        <v>36</v>
      </c>
    </row>
    <row r="527" spans="1:36" x14ac:dyDescent="0.35">
      <c r="A527">
        <v>395</v>
      </c>
      <c r="B527" t="s">
        <v>222</v>
      </c>
      <c r="C527" t="s">
        <v>36</v>
      </c>
      <c r="D527" t="s">
        <v>36</v>
      </c>
      <c r="E527" t="s">
        <v>36</v>
      </c>
      <c r="F527" t="s">
        <v>36</v>
      </c>
      <c r="G527" t="s">
        <v>36</v>
      </c>
      <c r="H527" t="s">
        <v>36</v>
      </c>
      <c r="I527" t="s">
        <v>36</v>
      </c>
      <c r="J527" t="s">
        <v>36</v>
      </c>
      <c r="K527" t="s">
        <v>36</v>
      </c>
      <c r="L527" t="s">
        <v>36</v>
      </c>
      <c r="M527" t="s">
        <v>36</v>
      </c>
      <c r="N527" t="s">
        <v>36</v>
      </c>
      <c r="O527" t="s">
        <v>36</v>
      </c>
      <c r="P527" t="s">
        <v>36</v>
      </c>
      <c r="Q527" t="s">
        <v>36</v>
      </c>
      <c r="R527" t="s">
        <v>36</v>
      </c>
      <c r="S527" t="s">
        <v>36</v>
      </c>
      <c r="T527" t="s">
        <v>36</v>
      </c>
      <c r="U527" t="s">
        <v>36</v>
      </c>
      <c r="V527" t="s">
        <v>36</v>
      </c>
      <c r="W527" t="s">
        <v>36</v>
      </c>
      <c r="X527" t="s">
        <v>36</v>
      </c>
      <c r="Y527" t="s">
        <v>36</v>
      </c>
      <c r="Z527" t="s">
        <v>36</v>
      </c>
      <c r="AA527" t="s">
        <v>36</v>
      </c>
      <c r="AB527" t="s">
        <v>36</v>
      </c>
      <c r="AC527" t="s">
        <v>36</v>
      </c>
      <c r="AD527" t="s">
        <v>36</v>
      </c>
      <c r="AE527" t="s">
        <v>36</v>
      </c>
      <c r="AF527" t="s">
        <v>36</v>
      </c>
      <c r="AG527" s="32">
        <v>43040</v>
      </c>
      <c r="AH527" t="s">
        <v>36</v>
      </c>
      <c r="AI527" t="s">
        <v>36</v>
      </c>
      <c r="AJ527" t="s">
        <v>36</v>
      </c>
    </row>
    <row r="528" spans="1:36" x14ac:dyDescent="0.35">
      <c r="A528">
        <v>396</v>
      </c>
      <c r="B528" t="s">
        <v>223</v>
      </c>
      <c r="C528" t="s">
        <v>36</v>
      </c>
      <c r="D528" t="s">
        <v>36</v>
      </c>
      <c r="E528" t="s">
        <v>36</v>
      </c>
      <c r="F528" t="s">
        <v>36</v>
      </c>
      <c r="G528" t="s">
        <v>36</v>
      </c>
      <c r="H528" t="s">
        <v>36</v>
      </c>
      <c r="I528" t="s">
        <v>36</v>
      </c>
      <c r="J528" t="s">
        <v>36</v>
      </c>
      <c r="K528" t="s">
        <v>36</v>
      </c>
      <c r="L528" t="s">
        <v>36</v>
      </c>
      <c r="M528" t="s">
        <v>36</v>
      </c>
      <c r="N528" t="s">
        <v>36</v>
      </c>
      <c r="O528" t="s">
        <v>36</v>
      </c>
      <c r="P528" t="s">
        <v>36</v>
      </c>
      <c r="Q528" t="s">
        <v>36</v>
      </c>
      <c r="R528" t="s">
        <v>36</v>
      </c>
      <c r="S528" t="s">
        <v>36</v>
      </c>
      <c r="T528" t="s">
        <v>36</v>
      </c>
      <c r="U528" t="s">
        <v>36</v>
      </c>
      <c r="V528" t="s">
        <v>36</v>
      </c>
      <c r="W528" t="s">
        <v>36</v>
      </c>
      <c r="X528" t="s">
        <v>36</v>
      </c>
      <c r="Y528" t="s">
        <v>36</v>
      </c>
      <c r="Z528" t="s">
        <v>36</v>
      </c>
      <c r="AA528" t="s">
        <v>36</v>
      </c>
      <c r="AB528" t="s">
        <v>36</v>
      </c>
      <c r="AC528" t="s">
        <v>36</v>
      </c>
      <c r="AD528" t="s">
        <v>36</v>
      </c>
      <c r="AE528" t="s">
        <v>36</v>
      </c>
      <c r="AF528" t="s">
        <v>36</v>
      </c>
      <c r="AG528" s="32">
        <v>43040</v>
      </c>
      <c r="AH528" t="s">
        <v>36</v>
      </c>
      <c r="AI528" t="s">
        <v>36</v>
      </c>
      <c r="AJ528" t="s">
        <v>36</v>
      </c>
    </row>
    <row r="529" spans="1:36" x14ac:dyDescent="0.35">
      <c r="A529">
        <v>397</v>
      </c>
      <c r="B529" t="s">
        <v>224</v>
      </c>
      <c r="C529" t="s">
        <v>36</v>
      </c>
      <c r="D529" t="s">
        <v>36</v>
      </c>
      <c r="E529" t="s">
        <v>36</v>
      </c>
      <c r="F529" t="s">
        <v>36</v>
      </c>
      <c r="G529" t="s">
        <v>36</v>
      </c>
      <c r="H529" t="s">
        <v>36</v>
      </c>
      <c r="I529" t="s">
        <v>36</v>
      </c>
      <c r="J529" t="s">
        <v>36</v>
      </c>
      <c r="K529" t="s">
        <v>36</v>
      </c>
      <c r="L529" t="s">
        <v>36</v>
      </c>
      <c r="M529" t="s">
        <v>36</v>
      </c>
      <c r="N529" t="s">
        <v>36</v>
      </c>
      <c r="O529" t="s">
        <v>36</v>
      </c>
      <c r="P529" t="s">
        <v>36</v>
      </c>
      <c r="Q529" t="s">
        <v>36</v>
      </c>
      <c r="R529" t="s">
        <v>36</v>
      </c>
      <c r="S529" t="s">
        <v>36</v>
      </c>
      <c r="T529" t="s">
        <v>36</v>
      </c>
      <c r="U529" t="s">
        <v>36</v>
      </c>
      <c r="V529" t="s">
        <v>36</v>
      </c>
      <c r="W529" t="s">
        <v>36</v>
      </c>
      <c r="X529" t="s">
        <v>36</v>
      </c>
      <c r="Y529" t="s">
        <v>36</v>
      </c>
      <c r="Z529" t="s">
        <v>36</v>
      </c>
      <c r="AA529" t="s">
        <v>36</v>
      </c>
      <c r="AB529" t="s">
        <v>36</v>
      </c>
      <c r="AC529" t="s">
        <v>36</v>
      </c>
      <c r="AD529" t="s">
        <v>36</v>
      </c>
      <c r="AE529" t="s">
        <v>36</v>
      </c>
      <c r="AF529" t="s">
        <v>36</v>
      </c>
      <c r="AG529" s="32">
        <v>43040</v>
      </c>
      <c r="AH529" t="s">
        <v>36</v>
      </c>
      <c r="AI529" t="s">
        <v>36</v>
      </c>
      <c r="AJ529" t="s">
        <v>36</v>
      </c>
    </row>
    <row r="530" spans="1:36" x14ac:dyDescent="0.35">
      <c r="A530">
        <v>35</v>
      </c>
      <c r="B530" t="s">
        <v>70</v>
      </c>
      <c r="C530" t="s">
        <v>36</v>
      </c>
      <c r="D530" t="s">
        <v>36</v>
      </c>
      <c r="E530" t="s">
        <v>36</v>
      </c>
      <c r="F530" t="s">
        <v>36</v>
      </c>
      <c r="G530" t="s">
        <v>36</v>
      </c>
      <c r="H530" t="s">
        <v>36</v>
      </c>
      <c r="I530" t="s">
        <v>36</v>
      </c>
      <c r="J530" t="s">
        <v>36</v>
      </c>
      <c r="K530" t="s">
        <v>36</v>
      </c>
      <c r="L530" t="s">
        <v>36</v>
      </c>
      <c r="M530" t="s">
        <v>36</v>
      </c>
      <c r="N530" t="s">
        <v>36</v>
      </c>
      <c r="O530" t="s">
        <v>36</v>
      </c>
      <c r="P530" t="s">
        <v>36</v>
      </c>
      <c r="Q530" s="1">
        <v>41578.5</v>
      </c>
      <c r="R530" t="s">
        <v>36</v>
      </c>
      <c r="S530" t="s">
        <v>36</v>
      </c>
      <c r="T530" t="s">
        <v>36</v>
      </c>
      <c r="U530" t="s">
        <v>36</v>
      </c>
      <c r="V530" t="s">
        <v>36</v>
      </c>
      <c r="W530" t="s">
        <v>36</v>
      </c>
      <c r="X530" t="s">
        <v>36</v>
      </c>
      <c r="Y530" t="s">
        <v>36</v>
      </c>
      <c r="Z530" t="s">
        <v>36</v>
      </c>
      <c r="AA530" t="s">
        <v>36</v>
      </c>
      <c r="AB530" t="s">
        <v>36</v>
      </c>
      <c r="AC530" t="s">
        <v>36</v>
      </c>
      <c r="AD530" t="s">
        <v>36</v>
      </c>
      <c r="AE530" t="s">
        <v>36</v>
      </c>
      <c r="AF530" t="s">
        <v>36</v>
      </c>
      <c r="AG530" t="s">
        <v>36</v>
      </c>
      <c r="AH530" t="s">
        <v>36</v>
      </c>
      <c r="AI530" t="s">
        <v>36</v>
      </c>
      <c r="AJ530" t="s">
        <v>36</v>
      </c>
    </row>
    <row r="531" spans="1:36" x14ac:dyDescent="0.35">
      <c r="A531">
        <v>5076</v>
      </c>
      <c r="B531" t="s">
        <v>1212</v>
      </c>
      <c r="C531" t="s">
        <v>36</v>
      </c>
      <c r="D531" t="s">
        <v>36</v>
      </c>
      <c r="E531" t="s">
        <v>36</v>
      </c>
      <c r="F531" t="s">
        <v>36</v>
      </c>
      <c r="G531" t="s">
        <v>36</v>
      </c>
      <c r="H531" t="s">
        <v>36</v>
      </c>
      <c r="I531" t="s">
        <v>36</v>
      </c>
      <c r="J531" t="s">
        <v>36</v>
      </c>
      <c r="K531" t="s">
        <v>36</v>
      </c>
      <c r="L531" t="s">
        <v>36</v>
      </c>
      <c r="M531" t="s">
        <v>36</v>
      </c>
      <c r="N531" t="s">
        <v>36</v>
      </c>
      <c r="O531" t="s">
        <v>36</v>
      </c>
      <c r="P531" t="s">
        <v>36</v>
      </c>
      <c r="Q531" s="1">
        <v>43858.930555555555</v>
      </c>
      <c r="R531" t="s">
        <v>36</v>
      </c>
      <c r="S531" t="s">
        <v>36</v>
      </c>
      <c r="T531" t="s">
        <v>36</v>
      </c>
      <c r="U531" t="s">
        <v>36</v>
      </c>
      <c r="V531" t="s">
        <v>36</v>
      </c>
      <c r="W531" t="s">
        <v>36</v>
      </c>
      <c r="X531" t="s">
        <v>36</v>
      </c>
      <c r="Y531" t="s">
        <v>36</v>
      </c>
      <c r="Z531" t="s">
        <v>36</v>
      </c>
      <c r="AA531" t="s">
        <v>36</v>
      </c>
      <c r="AB531" t="s">
        <v>36</v>
      </c>
      <c r="AC531" t="s">
        <v>36</v>
      </c>
      <c r="AD531" t="s">
        <v>36</v>
      </c>
      <c r="AE531" t="s">
        <v>36</v>
      </c>
      <c r="AF531" t="s">
        <v>36</v>
      </c>
      <c r="AG531" t="s">
        <v>36</v>
      </c>
      <c r="AH531" t="s">
        <v>36</v>
      </c>
      <c r="AI531" t="s">
        <v>36</v>
      </c>
      <c r="AJ531" t="s">
        <v>36</v>
      </c>
    </row>
    <row r="532" spans="1:36" x14ac:dyDescent="0.35">
      <c r="A532">
        <v>5077</v>
      </c>
      <c r="B532" t="s">
        <v>1213</v>
      </c>
      <c r="C532" t="s">
        <v>36</v>
      </c>
      <c r="D532" t="s">
        <v>36</v>
      </c>
      <c r="E532" t="s">
        <v>36</v>
      </c>
      <c r="F532" t="s">
        <v>36</v>
      </c>
      <c r="G532" t="s">
        <v>36</v>
      </c>
      <c r="H532" t="s">
        <v>36</v>
      </c>
      <c r="I532" t="s">
        <v>36</v>
      </c>
      <c r="J532" t="s">
        <v>36</v>
      </c>
      <c r="K532" t="s">
        <v>36</v>
      </c>
      <c r="L532" t="s">
        <v>36</v>
      </c>
      <c r="M532" t="s">
        <v>36</v>
      </c>
      <c r="N532" t="s">
        <v>36</v>
      </c>
      <c r="O532" t="s">
        <v>36</v>
      </c>
      <c r="P532" t="s">
        <v>36</v>
      </c>
      <c r="Q532" s="1">
        <v>43858.930555555555</v>
      </c>
      <c r="R532" t="s">
        <v>36</v>
      </c>
      <c r="S532" t="s">
        <v>36</v>
      </c>
      <c r="T532" t="s">
        <v>36</v>
      </c>
      <c r="U532" t="s">
        <v>36</v>
      </c>
      <c r="V532" t="s">
        <v>36</v>
      </c>
      <c r="W532" t="s">
        <v>36</v>
      </c>
      <c r="X532" t="s">
        <v>36</v>
      </c>
      <c r="Y532" t="s">
        <v>36</v>
      </c>
      <c r="Z532" t="s">
        <v>36</v>
      </c>
      <c r="AA532" t="s">
        <v>36</v>
      </c>
      <c r="AB532" t="s">
        <v>36</v>
      </c>
      <c r="AC532" t="s">
        <v>36</v>
      </c>
      <c r="AD532" t="s">
        <v>36</v>
      </c>
      <c r="AE532" t="s">
        <v>36</v>
      </c>
      <c r="AF532" t="s">
        <v>36</v>
      </c>
      <c r="AG532" t="s">
        <v>36</v>
      </c>
      <c r="AH532" t="s">
        <v>36</v>
      </c>
      <c r="AI532" t="s">
        <v>36</v>
      </c>
      <c r="AJ532" t="s">
        <v>36</v>
      </c>
    </row>
    <row r="533" spans="1:36" x14ac:dyDescent="0.35">
      <c r="A533">
        <v>5078</v>
      </c>
      <c r="B533" t="s">
        <v>1214</v>
      </c>
      <c r="C533" t="s">
        <v>36</v>
      </c>
      <c r="D533" t="s">
        <v>36</v>
      </c>
      <c r="E533" t="s">
        <v>36</v>
      </c>
      <c r="F533" t="s">
        <v>36</v>
      </c>
      <c r="G533" t="s">
        <v>36</v>
      </c>
      <c r="H533" t="s">
        <v>36</v>
      </c>
      <c r="I533" t="s">
        <v>36</v>
      </c>
      <c r="J533" t="s">
        <v>36</v>
      </c>
      <c r="K533" t="s">
        <v>36</v>
      </c>
      <c r="L533" t="s">
        <v>36</v>
      </c>
      <c r="M533" t="s">
        <v>36</v>
      </c>
      <c r="N533" t="s">
        <v>36</v>
      </c>
      <c r="O533" t="s">
        <v>36</v>
      </c>
      <c r="P533" t="s">
        <v>36</v>
      </c>
      <c r="Q533" s="1">
        <v>43858.930555555555</v>
      </c>
      <c r="R533" t="s">
        <v>36</v>
      </c>
      <c r="S533" t="s">
        <v>36</v>
      </c>
      <c r="T533" t="s">
        <v>36</v>
      </c>
      <c r="U533" t="s">
        <v>36</v>
      </c>
      <c r="V533" t="s">
        <v>36</v>
      </c>
      <c r="W533" t="s">
        <v>36</v>
      </c>
      <c r="X533" t="s">
        <v>36</v>
      </c>
      <c r="Y533" t="s">
        <v>36</v>
      </c>
      <c r="Z533" t="s">
        <v>36</v>
      </c>
      <c r="AA533" t="s">
        <v>36</v>
      </c>
      <c r="AB533" t="s">
        <v>36</v>
      </c>
      <c r="AC533" t="s">
        <v>36</v>
      </c>
      <c r="AD533" t="s">
        <v>36</v>
      </c>
      <c r="AE533" t="s">
        <v>36</v>
      </c>
      <c r="AF533" t="s">
        <v>36</v>
      </c>
      <c r="AG533" t="s">
        <v>36</v>
      </c>
      <c r="AH533" t="s">
        <v>36</v>
      </c>
      <c r="AI533" t="s">
        <v>36</v>
      </c>
      <c r="AJ533" t="s">
        <v>36</v>
      </c>
    </row>
    <row r="534" spans="1:36" x14ac:dyDescent="0.35">
      <c r="A534">
        <v>44</v>
      </c>
      <c r="B534" t="s">
        <v>79</v>
      </c>
      <c r="C534" t="s">
        <v>36</v>
      </c>
      <c r="D534" t="s">
        <v>36</v>
      </c>
      <c r="E534" t="s">
        <v>36</v>
      </c>
      <c r="F534" t="s">
        <v>36</v>
      </c>
      <c r="G534" t="s">
        <v>36</v>
      </c>
      <c r="H534" t="s">
        <v>36</v>
      </c>
      <c r="I534" t="s">
        <v>36</v>
      </c>
      <c r="J534" t="s">
        <v>36</v>
      </c>
      <c r="K534" t="s">
        <v>36</v>
      </c>
      <c r="L534" t="s">
        <v>36</v>
      </c>
      <c r="M534" t="s">
        <v>36</v>
      </c>
      <c r="N534" t="s">
        <v>36</v>
      </c>
      <c r="O534" t="s">
        <v>36</v>
      </c>
      <c r="P534" t="s">
        <v>36</v>
      </c>
      <c r="Q534" s="1">
        <v>41578.5</v>
      </c>
      <c r="R534" t="s">
        <v>36</v>
      </c>
      <c r="S534" t="s">
        <v>36</v>
      </c>
      <c r="T534" t="s">
        <v>36</v>
      </c>
      <c r="U534" t="s">
        <v>36</v>
      </c>
      <c r="V534" t="s">
        <v>36</v>
      </c>
      <c r="W534" t="s">
        <v>36</v>
      </c>
      <c r="X534" t="s">
        <v>36</v>
      </c>
      <c r="Y534" t="s">
        <v>36</v>
      </c>
      <c r="Z534" t="s">
        <v>36</v>
      </c>
      <c r="AA534" t="s">
        <v>36</v>
      </c>
      <c r="AB534" t="s">
        <v>36</v>
      </c>
      <c r="AC534" t="s">
        <v>36</v>
      </c>
      <c r="AD534" t="s">
        <v>36</v>
      </c>
      <c r="AE534" t="s">
        <v>36</v>
      </c>
      <c r="AF534" t="s">
        <v>36</v>
      </c>
      <c r="AG534" t="s">
        <v>36</v>
      </c>
      <c r="AH534" t="s">
        <v>36</v>
      </c>
      <c r="AI534" t="s">
        <v>36</v>
      </c>
      <c r="AJ534" t="s">
        <v>36</v>
      </c>
    </row>
    <row r="535" spans="1:36" x14ac:dyDescent="0.35">
      <c r="A535">
        <v>5079</v>
      </c>
      <c r="B535" t="s">
        <v>1215</v>
      </c>
      <c r="C535" t="s">
        <v>36</v>
      </c>
      <c r="D535" t="s">
        <v>36</v>
      </c>
      <c r="E535" t="s">
        <v>36</v>
      </c>
      <c r="F535" t="s">
        <v>36</v>
      </c>
      <c r="G535" t="s">
        <v>36</v>
      </c>
      <c r="H535" t="s">
        <v>36</v>
      </c>
      <c r="I535" t="s">
        <v>36</v>
      </c>
      <c r="J535" t="s">
        <v>36</v>
      </c>
      <c r="K535" t="s">
        <v>36</v>
      </c>
      <c r="L535" t="s">
        <v>36</v>
      </c>
      <c r="M535" t="s">
        <v>36</v>
      </c>
      <c r="N535" t="s">
        <v>36</v>
      </c>
      <c r="O535" t="s">
        <v>36</v>
      </c>
      <c r="P535" t="s">
        <v>36</v>
      </c>
      <c r="Q535" s="1">
        <v>43858.930555555555</v>
      </c>
      <c r="R535" t="s">
        <v>36</v>
      </c>
      <c r="S535" t="s">
        <v>36</v>
      </c>
      <c r="T535" t="s">
        <v>36</v>
      </c>
      <c r="U535" t="s">
        <v>36</v>
      </c>
      <c r="V535" t="s">
        <v>36</v>
      </c>
      <c r="W535" t="s">
        <v>36</v>
      </c>
      <c r="X535" t="s">
        <v>36</v>
      </c>
      <c r="Y535" t="s">
        <v>36</v>
      </c>
      <c r="Z535" t="s">
        <v>36</v>
      </c>
      <c r="AA535" t="s">
        <v>36</v>
      </c>
      <c r="AB535" t="s">
        <v>36</v>
      </c>
      <c r="AC535" t="s">
        <v>36</v>
      </c>
      <c r="AD535" t="s">
        <v>36</v>
      </c>
      <c r="AE535" t="s">
        <v>36</v>
      </c>
      <c r="AF535" t="s">
        <v>36</v>
      </c>
      <c r="AG535" t="s">
        <v>36</v>
      </c>
      <c r="AH535" t="s">
        <v>36</v>
      </c>
      <c r="AI535" t="s">
        <v>36</v>
      </c>
      <c r="AJ535" t="s">
        <v>36</v>
      </c>
    </row>
    <row r="536" spans="1:36" x14ac:dyDescent="0.35">
      <c r="A536">
        <v>5080</v>
      </c>
      <c r="B536" t="s">
        <v>1216</v>
      </c>
      <c r="C536" t="s">
        <v>36</v>
      </c>
      <c r="D536" t="s">
        <v>36</v>
      </c>
      <c r="E536" t="s">
        <v>36</v>
      </c>
      <c r="F536" t="s">
        <v>36</v>
      </c>
      <c r="G536" t="s">
        <v>36</v>
      </c>
      <c r="H536" t="s">
        <v>36</v>
      </c>
      <c r="I536" t="s">
        <v>36</v>
      </c>
      <c r="J536" t="s">
        <v>36</v>
      </c>
      <c r="K536" t="s">
        <v>36</v>
      </c>
      <c r="L536" t="s">
        <v>36</v>
      </c>
      <c r="M536" t="s">
        <v>36</v>
      </c>
      <c r="N536" t="s">
        <v>36</v>
      </c>
      <c r="O536" t="s">
        <v>36</v>
      </c>
      <c r="P536" t="s">
        <v>36</v>
      </c>
      <c r="Q536" s="1">
        <v>43858.930555555555</v>
      </c>
      <c r="R536" t="s">
        <v>36</v>
      </c>
      <c r="S536" t="s">
        <v>36</v>
      </c>
      <c r="T536" t="s">
        <v>36</v>
      </c>
      <c r="U536" t="s">
        <v>36</v>
      </c>
      <c r="V536" t="s">
        <v>36</v>
      </c>
      <c r="W536" t="s">
        <v>36</v>
      </c>
      <c r="X536" t="s">
        <v>36</v>
      </c>
      <c r="Y536" t="s">
        <v>36</v>
      </c>
      <c r="Z536" t="s">
        <v>36</v>
      </c>
      <c r="AA536" t="s">
        <v>36</v>
      </c>
      <c r="AB536" t="s">
        <v>36</v>
      </c>
      <c r="AC536" t="s">
        <v>36</v>
      </c>
      <c r="AD536" t="s">
        <v>36</v>
      </c>
      <c r="AE536" t="s">
        <v>36</v>
      </c>
      <c r="AF536" t="s">
        <v>36</v>
      </c>
      <c r="AG536" t="s">
        <v>36</v>
      </c>
      <c r="AH536" t="s">
        <v>36</v>
      </c>
      <c r="AI536" t="s">
        <v>36</v>
      </c>
      <c r="AJ536" t="s">
        <v>36</v>
      </c>
    </row>
    <row r="537" spans="1:36" x14ac:dyDescent="0.35">
      <c r="A537">
        <v>5081</v>
      </c>
      <c r="B537" t="s">
        <v>1217</v>
      </c>
      <c r="C537" t="s">
        <v>36</v>
      </c>
      <c r="D537" t="s">
        <v>36</v>
      </c>
      <c r="E537" t="s">
        <v>36</v>
      </c>
      <c r="F537" t="s">
        <v>36</v>
      </c>
      <c r="G537" t="s">
        <v>36</v>
      </c>
      <c r="H537" t="s">
        <v>36</v>
      </c>
      <c r="I537" t="s">
        <v>36</v>
      </c>
      <c r="J537" t="s">
        <v>36</v>
      </c>
      <c r="K537" t="s">
        <v>36</v>
      </c>
      <c r="L537" t="s">
        <v>36</v>
      </c>
      <c r="M537" t="s">
        <v>36</v>
      </c>
      <c r="N537" t="s">
        <v>36</v>
      </c>
      <c r="O537" t="s">
        <v>36</v>
      </c>
      <c r="P537" t="s">
        <v>36</v>
      </c>
      <c r="Q537" s="1">
        <v>43858.930555555555</v>
      </c>
      <c r="R537" t="s">
        <v>36</v>
      </c>
      <c r="S537" t="s">
        <v>36</v>
      </c>
      <c r="T537" t="s">
        <v>36</v>
      </c>
      <c r="U537" t="s">
        <v>36</v>
      </c>
      <c r="V537" t="s">
        <v>36</v>
      </c>
      <c r="W537" t="s">
        <v>36</v>
      </c>
      <c r="X537" t="s">
        <v>36</v>
      </c>
      <c r="Y537" t="s">
        <v>36</v>
      </c>
      <c r="Z537" t="s">
        <v>36</v>
      </c>
      <c r="AA537" t="s">
        <v>36</v>
      </c>
      <c r="AB537" t="s">
        <v>36</v>
      </c>
      <c r="AC537" t="s">
        <v>36</v>
      </c>
      <c r="AD537" t="s">
        <v>36</v>
      </c>
      <c r="AE537" t="s">
        <v>36</v>
      </c>
      <c r="AF537" t="s">
        <v>36</v>
      </c>
      <c r="AG537" t="s">
        <v>36</v>
      </c>
      <c r="AH537" t="s">
        <v>36</v>
      </c>
      <c r="AI537" t="s">
        <v>36</v>
      </c>
      <c r="AJ537" t="s">
        <v>36</v>
      </c>
    </row>
    <row r="538" spans="1:36" x14ac:dyDescent="0.35">
      <c r="A538">
        <v>45</v>
      </c>
      <c r="B538" t="s">
        <v>80</v>
      </c>
      <c r="C538" t="s">
        <v>36</v>
      </c>
      <c r="D538" t="s">
        <v>36</v>
      </c>
      <c r="E538" t="s">
        <v>36</v>
      </c>
      <c r="F538" t="s">
        <v>36</v>
      </c>
      <c r="G538" t="s">
        <v>36</v>
      </c>
      <c r="H538" t="s">
        <v>36</v>
      </c>
      <c r="I538" t="s">
        <v>36</v>
      </c>
      <c r="J538" t="s">
        <v>36</v>
      </c>
      <c r="K538" t="s">
        <v>36</v>
      </c>
      <c r="L538" t="s">
        <v>36</v>
      </c>
      <c r="M538" t="s">
        <v>36</v>
      </c>
      <c r="N538" t="s">
        <v>36</v>
      </c>
      <c r="O538" t="s">
        <v>36</v>
      </c>
      <c r="P538" t="s">
        <v>36</v>
      </c>
      <c r="Q538" s="1">
        <v>41578.5</v>
      </c>
      <c r="R538" t="s">
        <v>36</v>
      </c>
      <c r="S538" t="s">
        <v>36</v>
      </c>
      <c r="T538" t="s">
        <v>36</v>
      </c>
      <c r="U538" t="s">
        <v>36</v>
      </c>
      <c r="V538" t="s">
        <v>36</v>
      </c>
      <c r="W538" t="s">
        <v>36</v>
      </c>
      <c r="X538" t="s">
        <v>36</v>
      </c>
      <c r="Y538" t="s">
        <v>36</v>
      </c>
      <c r="Z538" t="s">
        <v>36</v>
      </c>
      <c r="AA538" t="s">
        <v>36</v>
      </c>
      <c r="AB538" t="s">
        <v>36</v>
      </c>
      <c r="AC538" t="s">
        <v>36</v>
      </c>
      <c r="AD538" t="s">
        <v>36</v>
      </c>
      <c r="AE538" t="s">
        <v>36</v>
      </c>
      <c r="AF538" t="s">
        <v>36</v>
      </c>
      <c r="AG538" t="s">
        <v>36</v>
      </c>
      <c r="AH538" t="s">
        <v>36</v>
      </c>
      <c r="AI538" t="s">
        <v>36</v>
      </c>
      <c r="AJ538" t="s">
        <v>36</v>
      </c>
    </row>
    <row r="539" spans="1:36" x14ac:dyDescent="0.35">
      <c r="A539">
        <v>5082</v>
      </c>
      <c r="B539" t="s">
        <v>1218</v>
      </c>
      <c r="C539" t="s">
        <v>36</v>
      </c>
      <c r="D539" t="s">
        <v>36</v>
      </c>
      <c r="E539" t="s">
        <v>36</v>
      </c>
      <c r="F539" t="s">
        <v>36</v>
      </c>
      <c r="G539" t="s">
        <v>36</v>
      </c>
      <c r="H539" t="s">
        <v>36</v>
      </c>
      <c r="I539" t="s">
        <v>36</v>
      </c>
      <c r="J539" t="s">
        <v>36</v>
      </c>
      <c r="K539" t="s">
        <v>36</v>
      </c>
      <c r="L539" t="s">
        <v>36</v>
      </c>
      <c r="M539" t="s">
        <v>36</v>
      </c>
      <c r="N539" t="s">
        <v>36</v>
      </c>
      <c r="O539" t="s">
        <v>36</v>
      </c>
      <c r="P539" t="s">
        <v>36</v>
      </c>
      <c r="Q539" s="1">
        <v>43858.930555555555</v>
      </c>
      <c r="R539" t="s">
        <v>36</v>
      </c>
      <c r="S539" t="s">
        <v>36</v>
      </c>
      <c r="T539" t="s">
        <v>36</v>
      </c>
      <c r="U539" t="s">
        <v>36</v>
      </c>
      <c r="V539" t="s">
        <v>36</v>
      </c>
      <c r="W539" t="s">
        <v>36</v>
      </c>
      <c r="X539" t="s">
        <v>36</v>
      </c>
      <c r="Y539" t="s">
        <v>36</v>
      </c>
      <c r="Z539" t="s">
        <v>36</v>
      </c>
      <c r="AA539" t="s">
        <v>36</v>
      </c>
      <c r="AB539" t="s">
        <v>36</v>
      </c>
      <c r="AC539" t="s">
        <v>36</v>
      </c>
      <c r="AD539" t="s">
        <v>36</v>
      </c>
      <c r="AE539" t="s">
        <v>36</v>
      </c>
      <c r="AF539" t="s">
        <v>36</v>
      </c>
      <c r="AG539" t="s">
        <v>36</v>
      </c>
      <c r="AH539" t="s">
        <v>36</v>
      </c>
      <c r="AI539" t="s">
        <v>36</v>
      </c>
      <c r="AJ539" t="s">
        <v>36</v>
      </c>
    </row>
    <row r="540" spans="1:36" x14ac:dyDescent="0.35">
      <c r="A540">
        <v>5083</v>
      </c>
      <c r="B540" t="s">
        <v>1219</v>
      </c>
      <c r="C540" t="s">
        <v>36</v>
      </c>
      <c r="D540" t="s">
        <v>36</v>
      </c>
      <c r="E540" t="s">
        <v>36</v>
      </c>
      <c r="F540" t="s">
        <v>36</v>
      </c>
      <c r="G540" t="s">
        <v>36</v>
      </c>
      <c r="H540" t="s">
        <v>36</v>
      </c>
      <c r="I540" t="s">
        <v>36</v>
      </c>
      <c r="J540" t="s">
        <v>36</v>
      </c>
      <c r="K540" t="s">
        <v>36</v>
      </c>
      <c r="L540" t="s">
        <v>36</v>
      </c>
      <c r="M540" t="s">
        <v>36</v>
      </c>
      <c r="N540" t="s">
        <v>36</v>
      </c>
      <c r="O540" t="s">
        <v>36</v>
      </c>
      <c r="P540" t="s">
        <v>36</v>
      </c>
      <c r="Q540" s="1">
        <v>43858.930555555555</v>
      </c>
      <c r="R540" t="s">
        <v>36</v>
      </c>
      <c r="S540" t="s">
        <v>36</v>
      </c>
      <c r="T540" t="s">
        <v>36</v>
      </c>
      <c r="U540" t="s">
        <v>36</v>
      </c>
      <c r="V540" t="s">
        <v>36</v>
      </c>
      <c r="W540" t="s">
        <v>36</v>
      </c>
      <c r="X540" t="s">
        <v>36</v>
      </c>
      <c r="Y540" t="s">
        <v>36</v>
      </c>
      <c r="Z540" t="s">
        <v>36</v>
      </c>
      <c r="AA540" t="s">
        <v>36</v>
      </c>
      <c r="AB540" t="s">
        <v>36</v>
      </c>
      <c r="AC540" t="s">
        <v>36</v>
      </c>
      <c r="AD540" t="s">
        <v>36</v>
      </c>
      <c r="AE540" t="s">
        <v>36</v>
      </c>
      <c r="AF540" t="s">
        <v>36</v>
      </c>
      <c r="AG540" t="s">
        <v>36</v>
      </c>
      <c r="AH540" t="s">
        <v>36</v>
      </c>
      <c r="AI540" t="s">
        <v>36</v>
      </c>
      <c r="AJ540" t="s">
        <v>36</v>
      </c>
    </row>
    <row r="541" spans="1:36" x14ac:dyDescent="0.35">
      <c r="A541">
        <v>5084</v>
      </c>
      <c r="B541" t="s">
        <v>1220</v>
      </c>
      <c r="C541" t="s">
        <v>36</v>
      </c>
      <c r="D541" t="s">
        <v>36</v>
      </c>
      <c r="E541" t="s">
        <v>36</v>
      </c>
      <c r="F541" t="s">
        <v>36</v>
      </c>
      <c r="G541" t="s">
        <v>36</v>
      </c>
      <c r="H541" t="s">
        <v>36</v>
      </c>
      <c r="I541" t="s">
        <v>36</v>
      </c>
      <c r="J541" t="s">
        <v>36</v>
      </c>
      <c r="K541" t="s">
        <v>36</v>
      </c>
      <c r="L541" t="s">
        <v>36</v>
      </c>
      <c r="M541" t="s">
        <v>36</v>
      </c>
      <c r="N541" t="s">
        <v>36</v>
      </c>
      <c r="O541" t="s">
        <v>36</v>
      </c>
      <c r="P541" t="s">
        <v>36</v>
      </c>
      <c r="Q541" s="1">
        <v>43858.930555555555</v>
      </c>
      <c r="R541" t="s">
        <v>36</v>
      </c>
      <c r="S541" t="s">
        <v>36</v>
      </c>
      <c r="T541" t="s">
        <v>36</v>
      </c>
      <c r="U541" t="s">
        <v>36</v>
      </c>
      <c r="V541" t="s">
        <v>36</v>
      </c>
      <c r="W541" t="s">
        <v>36</v>
      </c>
      <c r="X541" t="s">
        <v>36</v>
      </c>
      <c r="Y541" t="s">
        <v>36</v>
      </c>
      <c r="Z541" t="s">
        <v>36</v>
      </c>
      <c r="AA541" t="s">
        <v>36</v>
      </c>
      <c r="AB541" t="s">
        <v>36</v>
      </c>
      <c r="AC541" t="s">
        <v>36</v>
      </c>
      <c r="AD541" t="s">
        <v>36</v>
      </c>
      <c r="AE541" t="s">
        <v>36</v>
      </c>
      <c r="AF541" t="s">
        <v>36</v>
      </c>
      <c r="AG541" t="s">
        <v>36</v>
      </c>
      <c r="AH541" t="s">
        <v>36</v>
      </c>
      <c r="AI541" t="s">
        <v>36</v>
      </c>
      <c r="AJ541" t="s">
        <v>36</v>
      </c>
    </row>
    <row r="542" spans="1:36" x14ac:dyDescent="0.35">
      <c r="A542">
        <v>36</v>
      </c>
      <c r="B542" t="s">
        <v>71</v>
      </c>
      <c r="C542" t="s">
        <v>36</v>
      </c>
      <c r="D542" t="s">
        <v>36</v>
      </c>
      <c r="E542" t="s">
        <v>36</v>
      </c>
      <c r="F542" t="s">
        <v>36</v>
      </c>
      <c r="G542" t="s">
        <v>36</v>
      </c>
      <c r="H542" t="s">
        <v>36</v>
      </c>
      <c r="I542" t="s">
        <v>36</v>
      </c>
      <c r="J542" t="s">
        <v>36</v>
      </c>
      <c r="K542" t="s">
        <v>36</v>
      </c>
      <c r="L542" t="s">
        <v>36</v>
      </c>
      <c r="M542" t="s">
        <v>36</v>
      </c>
      <c r="N542" t="s">
        <v>36</v>
      </c>
      <c r="O542" t="s">
        <v>36</v>
      </c>
      <c r="P542" t="s">
        <v>36</v>
      </c>
      <c r="Q542" s="1">
        <v>41578.5</v>
      </c>
      <c r="R542" t="s">
        <v>36</v>
      </c>
      <c r="S542" t="s">
        <v>36</v>
      </c>
      <c r="T542" t="s">
        <v>36</v>
      </c>
      <c r="U542" t="s">
        <v>36</v>
      </c>
      <c r="V542" t="s">
        <v>36</v>
      </c>
      <c r="W542" t="s">
        <v>36</v>
      </c>
      <c r="X542" t="s">
        <v>36</v>
      </c>
      <c r="Y542" t="s">
        <v>36</v>
      </c>
      <c r="Z542" t="s">
        <v>36</v>
      </c>
      <c r="AA542" t="s">
        <v>36</v>
      </c>
      <c r="AB542" t="s">
        <v>36</v>
      </c>
      <c r="AC542" t="s">
        <v>36</v>
      </c>
      <c r="AD542" t="s">
        <v>36</v>
      </c>
      <c r="AE542" t="s">
        <v>36</v>
      </c>
      <c r="AF542" t="s">
        <v>36</v>
      </c>
      <c r="AG542" t="s">
        <v>36</v>
      </c>
      <c r="AH542" t="s">
        <v>36</v>
      </c>
      <c r="AI542" t="s">
        <v>36</v>
      </c>
      <c r="AJ542" t="s">
        <v>36</v>
      </c>
    </row>
    <row r="543" spans="1:36" x14ac:dyDescent="0.35">
      <c r="A543">
        <v>5085</v>
      </c>
      <c r="B543" t="s">
        <v>1221</v>
      </c>
      <c r="C543" t="s">
        <v>36</v>
      </c>
      <c r="D543" t="s">
        <v>36</v>
      </c>
      <c r="E543" t="s">
        <v>36</v>
      </c>
      <c r="F543" t="s">
        <v>36</v>
      </c>
      <c r="G543" t="s">
        <v>36</v>
      </c>
      <c r="H543" t="s">
        <v>36</v>
      </c>
      <c r="I543" t="s">
        <v>36</v>
      </c>
      <c r="J543" t="s">
        <v>36</v>
      </c>
      <c r="K543" t="s">
        <v>36</v>
      </c>
      <c r="L543" t="s">
        <v>36</v>
      </c>
      <c r="M543" t="s">
        <v>36</v>
      </c>
      <c r="N543" t="s">
        <v>36</v>
      </c>
      <c r="O543" t="s">
        <v>36</v>
      </c>
      <c r="P543" t="s">
        <v>36</v>
      </c>
      <c r="Q543" s="1">
        <v>43858.930555555555</v>
      </c>
      <c r="R543" t="s">
        <v>36</v>
      </c>
      <c r="S543" t="s">
        <v>36</v>
      </c>
      <c r="T543" t="s">
        <v>36</v>
      </c>
      <c r="U543" t="s">
        <v>36</v>
      </c>
      <c r="V543" t="s">
        <v>36</v>
      </c>
      <c r="W543" t="s">
        <v>36</v>
      </c>
      <c r="X543" t="s">
        <v>36</v>
      </c>
      <c r="Y543" t="s">
        <v>36</v>
      </c>
      <c r="Z543" t="s">
        <v>36</v>
      </c>
      <c r="AA543" t="s">
        <v>36</v>
      </c>
      <c r="AB543" t="s">
        <v>36</v>
      </c>
      <c r="AC543" t="s">
        <v>36</v>
      </c>
      <c r="AD543" t="s">
        <v>36</v>
      </c>
      <c r="AE543" t="s">
        <v>36</v>
      </c>
      <c r="AF543" t="s">
        <v>36</v>
      </c>
      <c r="AG543" t="s">
        <v>36</v>
      </c>
      <c r="AH543" t="s">
        <v>36</v>
      </c>
      <c r="AI543" t="s">
        <v>36</v>
      </c>
      <c r="AJ543" t="s">
        <v>36</v>
      </c>
    </row>
    <row r="544" spans="1:36" x14ac:dyDescent="0.35">
      <c r="A544">
        <v>5086</v>
      </c>
      <c r="B544" t="s">
        <v>1222</v>
      </c>
      <c r="C544" t="s">
        <v>36</v>
      </c>
      <c r="D544" t="s">
        <v>36</v>
      </c>
      <c r="E544" t="s">
        <v>36</v>
      </c>
      <c r="F544" t="s">
        <v>36</v>
      </c>
      <c r="G544" t="s">
        <v>36</v>
      </c>
      <c r="H544" t="s">
        <v>36</v>
      </c>
      <c r="I544" t="s">
        <v>36</v>
      </c>
      <c r="J544" t="s">
        <v>36</v>
      </c>
      <c r="K544" t="s">
        <v>36</v>
      </c>
      <c r="L544" t="s">
        <v>36</v>
      </c>
      <c r="M544" t="s">
        <v>36</v>
      </c>
      <c r="N544" t="s">
        <v>36</v>
      </c>
      <c r="O544" t="s">
        <v>36</v>
      </c>
      <c r="P544" t="s">
        <v>36</v>
      </c>
      <c r="Q544" s="1">
        <v>43858.930555555555</v>
      </c>
      <c r="R544" t="s">
        <v>36</v>
      </c>
      <c r="S544" t="s">
        <v>36</v>
      </c>
      <c r="T544" t="s">
        <v>36</v>
      </c>
      <c r="U544" t="s">
        <v>36</v>
      </c>
      <c r="V544" t="s">
        <v>36</v>
      </c>
      <c r="W544" t="s">
        <v>36</v>
      </c>
      <c r="X544" t="s">
        <v>36</v>
      </c>
      <c r="Y544" t="s">
        <v>36</v>
      </c>
      <c r="Z544" t="s">
        <v>36</v>
      </c>
      <c r="AA544" t="s">
        <v>36</v>
      </c>
      <c r="AB544" t="s">
        <v>36</v>
      </c>
      <c r="AC544" t="s">
        <v>36</v>
      </c>
      <c r="AD544" t="s">
        <v>36</v>
      </c>
      <c r="AE544" t="s">
        <v>36</v>
      </c>
      <c r="AF544" t="s">
        <v>36</v>
      </c>
      <c r="AG544" t="s">
        <v>36</v>
      </c>
      <c r="AH544" t="s">
        <v>36</v>
      </c>
      <c r="AI544" t="s">
        <v>36</v>
      </c>
      <c r="AJ544" t="s">
        <v>36</v>
      </c>
    </row>
    <row r="545" spans="1:36" x14ac:dyDescent="0.35">
      <c r="A545">
        <v>5087</v>
      </c>
      <c r="B545" t="s">
        <v>1223</v>
      </c>
      <c r="C545" t="s">
        <v>36</v>
      </c>
      <c r="D545" t="s">
        <v>36</v>
      </c>
      <c r="E545" t="s">
        <v>36</v>
      </c>
      <c r="F545" t="s">
        <v>36</v>
      </c>
      <c r="G545" t="s">
        <v>36</v>
      </c>
      <c r="H545" t="s">
        <v>36</v>
      </c>
      <c r="I545" t="s">
        <v>36</v>
      </c>
      <c r="J545" t="s">
        <v>36</v>
      </c>
      <c r="K545" t="s">
        <v>36</v>
      </c>
      <c r="L545" t="s">
        <v>36</v>
      </c>
      <c r="M545" t="s">
        <v>36</v>
      </c>
      <c r="N545" t="s">
        <v>36</v>
      </c>
      <c r="O545" t="s">
        <v>36</v>
      </c>
      <c r="P545" t="s">
        <v>36</v>
      </c>
      <c r="Q545" s="1">
        <v>43858.930555555555</v>
      </c>
      <c r="R545" t="s">
        <v>36</v>
      </c>
      <c r="S545" t="s">
        <v>36</v>
      </c>
      <c r="T545" t="s">
        <v>36</v>
      </c>
      <c r="U545" t="s">
        <v>36</v>
      </c>
      <c r="V545" t="s">
        <v>36</v>
      </c>
      <c r="W545" t="s">
        <v>36</v>
      </c>
      <c r="X545" t="s">
        <v>36</v>
      </c>
      <c r="Y545" t="s">
        <v>36</v>
      </c>
      <c r="Z545" t="s">
        <v>36</v>
      </c>
      <c r="AA545" t="s">
        <v>36</v>
      </c>
      <c r="AB545" t="s">
        <v>36</v>
      </c>
      <c r="AC545" t="s">
        <v>36</v>
      </c>
      <c r="AD545" t="s">
        <v>36</v>
      </c>
      <c r="AE545" t="s">
        <v>36</v>
      </c>
      <c r="AF545" t="s">
        <v>36</v>
      </c>
      <c r="AG545" t="s">
        <v>36</v>
      </c>
      <c r="AH545" t="s">
        <v>36</v>
      </c>
      <c r="AI545" t="s">
        <v>36</v>
      </c>
      <c r="AJ545" t="s">
        <v>36</v>
      </c>
    </row>
    <row r="546" spans="1:36" x14ac:dyDescent="0.35">
      <c r="A546">
        <v>37</v>
      </c>
      <c r="B546" t="s">
        <v>72</v>
      </c>
      <c r="C546" t="s">
        <v>36</v>
      </c>
      <c r="D546" t="s">
        <v>36</v>
      </c>
      <c r="E546" t="s">
        <v>36</v>
      </c>
      <c r="F546" t="s">
        <v>36</v>
      </c>
      <c r="G546" t="s">
        <v>36</v>
      </c>
      <c r="H546" t="s">
        <v>36</v>
      </c>
      <c r="I546" t="s">
        <v>36</v>
      </c>
      <c r="J546" t="s">
        <v>36</v>
      </c>
      <c r="K546" t="s">
        <v>36</v>
      </c>
      <c r="L546" t="s">
        <v>36</v>
      </c>
      <c r="M546" t="s">
        <v>36</v>
      </c>
      <c r="N546" t="s">
        <v>36</v>
      </c>
      <c r="O546" t="s">
        <v>36</v>
      </c>
      <c r="P546" t="s">
        <v>36</v>
      </c>
      <c r="Q546" s="1">
        <v>41578.5</v>
      </c>
      <c r="R546" t="s">
        <v>36</v>
      </c>
      <c r="S546" t="s">
        <v>36</v>
      </c>
      <c r="T546" t="s">
        <v>36</v>
      </c>
      <c r="U546" t="s">
        <v>36</v>
      </c>
      <c r="V546" t="s">
        <v>36</v>
      </c>
      <c r="W546" t="s">
        <v>36</v>
      </c>
      <c r="X546" t="s">
        <v>36</v>
      </c>
      <c r="Y546" t="s">
        <v>36</v>
      </c>
      <c r="Z546" t="s">
        <v>36</v>
      </c>
      <c r="AA546" t="s">
        <v>36</v>
      </c>
      <c r="AB546" t="s">
        <v>36</v>
      </c>
      <c r="AC546" t="s">
        <v>36</v>
      </c>
      <c r="AD546" t="s">
        <v>36</v>
      </c>
      <c r="AE546" t="s">
        <v>36</v>
      </c>
      <c r="AF546" t="s">
        <v>36</v>
      </c>
      <c r="AG546" t="s">
        <v>36</v>
      </c>
      <c r="AH546" t="s">
        <v>36</v>
      </c>
      <c r="AI546" t="s">
        <v>36</v>
      </c>
      <c r="AJ546" t="s">
        <v>36</v>
      </c>
    </row>
    <row r="547" spans="1:36" x14ac:dyDescent="0.35">
      <c r="A547">
        <v>5088</v>
      </c>
      <c r="B547" t="s">
        <v>1224</v>
      </c>
      <c r="C547" t="s">
        <v>36</v>
      </c>
      <c r="D547" t="s">
        <v>36</v>
      </c>
      <c r="E547" t="s">
        <v>36</v>
      </c>
      <c r="F547" t="s">
        <v>36</v>
      </c>
      <c r="G547" t="s">
        <v>36</v>
      </c>
      <c r="H547" t="s">
        <v>36</v>
      </c>
      <c r="I547" t="s">
        <v>36</v>
      </c>
      <c r="J547" t="s">
        <v>36</v>
      </c>
      <c r="K547" t="s">
        <v>36</v>
      </c>
      <c r="L547" t="s">
        <v>36</v>
      </c>
      <c r="M547" t="s">
        <v>36</v>
      </c>
      <c r="N547" t="s">
        <v>36</v>
      </c>
      <c r="O547" t="s">
        <v>36</v>
      </c>
      <c r="P547" t="s">
        <v>36</v>
      </c>
      <c r="Q547" s="1">
        <v>43858.930555555555</v>
      </c>
      <c r="R547" t="s">
        <v>36</v>
      </c>
      <c r="S547" t="s">
        <v>36</v>
      </c>
      <c r="T547" t="s">
        <v>36</v>
      </c>
      <c r="U547" t="s">
        <v>36</v>
      </c>
      <c r="V547" t="s">
        <v>36</v>
      </c>
      <c r="W547" t="s">
        <v>36</v>
      </c>
      <c r="X547" t="s">
        <v>36</v>
      </c>
      <c r="Y547" t="s">
        <v>36</v>
      </c>
      <c r="Z547" t="s">
        <v>36</v>
      </c>
      <c r="AA547" t="s">
        <v>36</v>
      </c>
      <c r="AB547" t="s">
        <v>36</v>
      </c>
      <c r="AC547" t="s">
        <v>36</v>
      </c>
      <c r="AD547" t="s">
        <v>36</v>
      </c>
      <c r="AE547" t="s">
        <v>36</v>
      </c>
      <c r="AF547" t="s">
        <v>36</v>
      </c>
      <c r="AG547" t="s">
        <v>36</v>
      </c>
      <c r="AH547" t="s">
        <v>36</v>
      </c>
      <c r="AI547" t="s">
        <v>36</v>
      </c>
      <c r="AJ547" t="s">
        <v>36</v>
      </c>
    </row>
    <row r="548" spans="1:36" x14ac:dyDescent="0.35">
      <c r="A548">
        <v>5089</v>
      </c>
      <c r="B548" t="s">
        <v>1225</v>
      </c>
      <c r="C548" t="s">
        <v>36</v>
      </c>
      <c r="D548" t="s">
        <v>36</v>
      </c>
      <c r="E548" t="s">
        <v>36</v>
      </c>
      <c r="F548" t="s">
        <v>36</v>
      </c>
      <c r="G548" t="s">
        <v>36</v>
      </c>
      <c r="H548" t="s">
        <v>36</v>
      </c>
      <c r="I548" t="s">
        <v>36</v>
      </c>
      <c r="J548" t="s">
        <v>36</v>
      </c>
      <c r="K548" t="s">
        <v>36</v>
      </c>
      <c r="L548" t="s">
        <v>36</v>
      </c>
      <c r="M548" t="s">
        <v>36</v>
      </c>
      <c r="N548" t="s">
        <v>36</v>
      </c>
      <c r="O548" t="s">
        <v>36</v>
      </c>
      <c r="P548" t="s">
        <v>36</v>
      </c>
      <c r="Q548" s="1">
        <v>43858.930555555555</v>
      </c>
      <c r="R548" t="s">
        <v>36</v>
      </c>
      <c r="S548" t="s">
        <v>36</v>
      </c>
      <c r="T548" t="s">
        <v>36</v>
      </c>
      <c r="U548" t="s">
        <v>36</v>
      </c>
      <c r="V548" t="s">
        <v>36</v>
      </c>
      <c r="W548" t="s">
        <v>36</v>
      </c>
      <c r="X548" t="s">
        <v>36</v>
      </c>
      <c r="Y548" t="s">
        <v>36</v>
      </c>
      <c r="Z548" t="s">
        <v>36</v>
      </c>
      <c r="AA548" t="s">
        <v>36</v>
      </c>
      <c r="AB548" t="s">
        <v>36</v>
      </c>
      <c r="AC548" t="s">
        <v>36</v>
      </c>
      <c r="AD548" t="s">
        <v>36</v>
      </c>
      <c r="AE548" t="s">
        <v>36</v>
      </c>
      <c r="AF548" t="s">
        <v>36</v>
      </c>
      <c r="AG548" t="s">
        <v>36</v>
      </c>
      <c r="AH548" t="s">
        <v>36</v>
      </c>
      <c r="AI548" t="s">
        <v>36</v>
      </c>
      <c r="AJ548" t="s">
        <v>36</v>
      </c>
    </row>
    <row r="549" spans="1:36" x14ac:dyDescent="0.35">
      <c r="A549">
        <v>5090</v>
      </c>
      <c r="B549" t="s">
        <v>1226</v>
      </c>
      <c r="C549" t="s">
        <v>36</v>
      </c>
      <c r="D549" t="s">
        <v>36</v>
      </c>
      <c r="E549" t="s">
        <v>36</v>
      </c>
      <c r="F549" t="s">
        <v>36</v>
      </c>
      <c r="G549" t="s">
        <v>36</v>
      </c>
      <c r="H549" t="s">
        <v>36</v>
      </c>
      <c r="I549" t="s">
        <v>36</v>
      </c>
      <c r="J549" t="s">
        <v>36</v>
      </c>
      <c r="K549" t="s">
        <v>36</v>
      </c>
      <c r="L549" t="s">
        <v>36</v>
      </c>
      <c r="M549" t="s">
        <v>36</v>
      </c>
      <c r="N549" t="s">
        <v>36</v>
      </c>
      <c r="O549" t="s">
        <v>36</v>
      </c>
      <c r="P549" t="s">
        <v>36</v>
      </c>
      <c r="Q549" s="1">
        <v>43858.930555555555</v>
      </c>
      <c r="R549" t="s">
        <v>36</v>
      </c>
      <c r="S549" t="s">
        <v>36</v>
      </c>
      <c r="T549" t="s">
        <v>36</v>
      </c>
      <c r="U549" t="s">
        <v>36</v>
      </c>
      <c r="V549" t="s">
        <v>36</v>
      </c>
      <c r="W549" t="s">
        <v>36</v>
      </c>
      <c r="X549" t="s">
        <v>36</v>
      </c>
      <c r="Y549" t="s">
        <v>36</v>
      </c>
      <c r="Z549" t="s">
        <v>36</v>
      </c>
      <c r="AA549" t="s">
        <v>36</v>
      </c>
      <c r="AB549" t="s">
        <v>36</v>
      </c>
      <c r="AC549" t="s">
        <v>36</v>
      </c>
      <c r="AD549" t="s">
        <v>36</v>
      </c>
      <c r="AE549" t="s">
        <v>36</v>
      </c>
      <c r="AF549" t="s">
        <v>36</v>
      </c>
      <c r="AG549" t="s">
        <v>36</v>
      </c>
      <c r="AH549" t="s">
        <v>36</v>
      </c>
      <c r="AI549" t="s">
        <v>36</v>
      </c>
      <c r="AJ549" t="s">
        <v>36</v>
      </c>
    </row>
    <row r="550" spans="1:36" x14ac:dyDescent="0.35">
      <c r="A550">
        <v>38</v>
      </c>
      <c r="B550" t="s">
        <v>73</v>
      </c>
      <c r="C550" t="s">
        <v>36</v>
      </c>
      <c r="D550" t="s">
        <v>36</v>
      </c>
      <c r="E550" t="s">
        <v>36</v>
      </c>
      <c r="F550" t="s">
        <v>36</v>
      </c>
      <c r="G550" t="s">
        <v>36</v>
      </c>
      <c r="H550" t="s">
        <v>36</v>
      </c>
      <c r="I550" t="s">
        <v>36</v>
      </c>
      <c r="J550" t="s">
        <v>36</v>
      </c>
      <c r="K550" t="s">
        <v>36</v>
      </c>
      <c r="L550" t="s">
        <v>36</v>
      </c>
      <c r="M550" t="s">
        <v>36</v>
      </c>
      <c r="N550" t="s">
        <v>36</v>
      </c>
      <c r="O550" t="s">
        <v>36</v>
      </c>
      <c r="P550" t="s">
        <v>36</v>
      </c>
      <c r="Q550" s="1">
        <v>41578.5</v>
      </c>
      <c r="R550" t="s">
        <v>36</v>
      </c>
      <c r="S550" t="s">
        <v>36</v>
      </c>
      <c r="T550" t="s">
        <v>36</v>
      </c>
      <c r="U550" t="s">
        <v>36</v>
      </c>
      <c r="V550" t="s">
        <v>36</v>
      </c>
      <c r="W550" t="s">
        <v>36</v>
      </c>
      <c r="X550" t="s">
        <v>36</v>
      </c>
      <c r="Y550" t="s">
        <v>36</v>
      </c>
      <c r="Z550" t="s">
        <v>36</v>
      </c>
      <c r="AA550" t="s">
        <v>36</v>
      </c>
      <c r="AB550" t="s">
        <v>36</v>
      </c>
      <c r="AC550" t="s">
        <v>36</v>
      </c>
      <c r="AD550" t="s">
        <v>36</v>
      </c>
      <c r="AE550" t="s">
        <v>36</v>
      </c>
      <c r="AF550" t="s">
        <v>36</v>
      </c>
      <c r="AG550" t="s">
        <v>36</v>
      </c>
      <c r="AH550" t="s">
        <v>36</v>
      </c>
      <c r="AI550" t="s">
        <v>36</v>
      </c>
      <c r="AJ550" t="s">
        <v>36</v>
      </c>
    </row>
    <row r="551" spans="1:36" x14ac:dyDescent="0.35">
      <c r="A551">
        <v>5091</v>
      </c>
      <c r="B551" t="s">
        <v>1227</v>
      </c>
      <c r="C551" t="s">
        <v>36</v>
      </c>
      <c r="D551" t="s">
        <v>36</v>
      </c>
      <c r="E551" t="s">
        <v>36</v>
      </c>
      <c r="F551" t="s">
        <v>36</v>
      </c>
      <c r="G551" t="s">
        <v>36</v>
      </c>
      <c r="H551" t="s">
        <v>36</v>
      </c>
      <c r="I551" t="s">
        <v>36</v>
      </c>
      <c r="J551" t="s">
        <v>36</v>
      </c>
      <c r="K551" t="s">
        <v>36</v>
      </c>
      <c r="L551" t="s">
        <v>36</v>
      </c>
      <c r="M551" t="s">
        <v>36</v>
      </c>
      <c r="N551" t="s">
        <v>36</v>
      </c>
      <c r="O551" t="s">
        <v>36</v>
      </c>
      <c r="P551" t="s">
        <v>36</v>
      </c>
      <c r="Q551" s="1">
        <v>43858.930555555555</v>
      </c>
      <c r="R551" t="s">
        <v>36</v>
      </c>
      <c r="S551" t="s">
        <v>36</v>
      </c>
      <c r="T551" t="s">
        <v>36</v>
      </c>
      <c r="U551" t="s">
        <v>36</v>
      </c>
      <c r="V551" t="s">
        <v>36</v>
      </c>
      <c r="W551" t="s">
        <v>36</v>
      </c>
      <c r="X551" t="s">
        <v>36</v>
      </c>
      <c r="Y551" t="s">
        <v>36</v>
      </c>
      <c r="Z551" t="s">
        <v>36</v>
      </c>
      <c r="AA551" t="s">
        <v>36</v>
      </c>
      <c r="AB551" t="s">
        <v>36</v>
      </c>
      <c r="AC551" t="s">
        <v>36</v>
      </c>
      <c r="AD551" t="s">
        <v>36</v>
      </c>
      <c r="AE551" t="s">
        <v>36</v>
      </c>
      <c r="AF551" t="s">
        <v>36</v>
      </c>
      <c r="AG551" t="s">
        <v>36</v>
      </c>
      <c r="AH551" t="s">
        <v>36</v>
      </c>
      <c r="AI551" t="s">
        <v>36</v>
      </c>
      <c r="AJ551" t="s">
        <v>36</v>
      </c>
    </row>
    <row r="552" spans="1:36" x14ac:dyDescent="0.35">
      <c r="A552">
        <v>5092</v>
      </c>
      <c r="B552" t="s">
        <v>1228</v>
      </c>
      <c r="C552" t="s">
        <v>36</v>
      </c>
      <c r="D552" t="s">
        <v>36</v>
      </c>
      <c r="E552" t="s">
        <v>36</v>
      </c>
      <c r="F552" t="s">
        <v>36</v>
      </c>
      <c r="G552" t="s">
        <v>36</v>
      </c>
      <c r="H552" t="s">
        <v>36</v>
      </c>
      <c r="I552" t="s">
        <v>36</v>
      </c>
      <c r="J552" t="s">
        <v>36</v>
      </c>
      <c r="K552" t="s">
        <v>36</v>
      </c>
      <c r="L552" t="s">
        <v>36</v>
      </c>
      <c r="M552" t="s">
        <v>36</v>
      </c>
      <c r="N552" t="s">
        <v>36</v>
      </c>
      <c r="O552" t="s">
        <v>36</v>
      </c>
      <c r="P552" t="s">
        <v>36</v>
      </c>
      <c r="Q552" s="1">
        <v>43858.930555555555</v>
      </c>
      <c r="R552" t="s">
        <v>36</v>
      </c>
      <c r="S552" t="s">
        <v>36</v>
      </c>
      <c r="T552" t="s">
        <v>36</v>
      </c>
      <c r="U552" t="s">
        <v>36</v>
      </c>
      <c r="V552" t="s">
        <v>36</v>
      </c>
      <c r="W552" t="s">
        <v>36</v>
      </c>
      <c r="X552" t="s">
        <v>36</v>
      </c>
      <c r="Y552" t="s">
        <v>36</v>
      </c>
      <c r="Z552" t="s">
        <v>36</v>
      </c>
      <c r="AA552" t="s">
        <v>36</v>
      </c>
      <c r="AB552" t="s">
        <v>36</v>
      </c>
      <c r="AC552" t="s">
        <v>36</v>
      </c>
      <c r="AD552" t="s">
        <v>36</v>
      </c>
      <c r="AE552" t="s">
        <v>36</v>
      </c>
      <c r="AF552" t="s">
        <v>36</v>
      </c>
      <c r="AG552" t="s">
        <v>36</v>
      </c>
      <c r="AH552" t="s">
        <v>36</v>
      </c>
      <c r="AI552" t="s">
        <v>36</v>
      </c>
      <c r="AJ552" t="s">
        <v>36</v>
      </c>
    </row>
    <row r="553" spans="1:36" x14ac:dyDescent="0.35">
      <c r="A553">
        <v>5093</v>
      </c>
      <c r="B553" t="s">
        <v>1229</v>
      </c>
      <c r="C553" t="s">
        <v>36</v>
      </c>
      <c r="D553" t="s">
        <v>36</v>
      </c>
      <c r="E553" t="s">
        <v>36</v>
      </c>
      <c r="F553" t="s">
        <v>36</v>
      </c>
      <c r="G553" t="s">
        <v>36</v>
      </c>
      <c r="H553" t="s">
        <v>36</v>
      </c>
      <c r="I553" t="s">
        <v>36</v>
      </c>
      <c r="J553" t="s">
        <v>36</v>
      </c>
      <c r="K553" t="s">
        <v>36</v>
      </c>
      <c r="L553" t="s">
        <v>36</v>
      </c>
      <c r="M553" t="s">
        <v>36</v>
      </c>
      <c r="N553" t="s">
        <v>36</v>
      </c>
      <c r="O553" t="s">
        <v>36</v>
      </c>
      <c r="P553" t="s">
        <v>36</v>
      </c>
      <c r="Q553" s="1">
        <v>43858.930555555555</v>
      </c>
      <c r="R553" t="s">
        <v>36</v>
      </c>
      <c r="S553" t="s">
        <v>36</v>
      </c>
      <c r="T553" t="s">
        <v>36</v>
      </c>
      <c r="U553" t="s">
        <v>36</v>
      </c>
      <c r="V553" t="s">
        <v>36</v>
      </c>
      <c r="W553" t="s">
        <v>36</v>
      </c>
      <c r="X553" t="s">
        <v>36</v>
      </c>
      <c r="Y553" t="s">
        <v>36</v>
      </c>
      <c r="Z553" t="s">
        <v>36</v>
      </c>
      <c r="AA553" t="s">
        <v>36</v>
      </c>
      <c r="AB553" t="s">
        <v>36</v>
      </c>
      <c r="AC553" t="s">
        <v>36</v>
      </c>
      <c r="AD553" t="s">
        <v>36</v>
      </c>
      <c r="AE553" t="s">
        <v>36</v>
      </c>
      <c r="AF553" t="s">
        <v>36</v>
      </c>
      <c r="AG553" t="s">
        <v>36</v>
      </c>
      <c r="AH553" t="s">
        <v>36</v>
      </c>
      <c r="AI553" t="s">
        <v>36</v>
      </c>
      <c r="AJ553" t="s">
        <v>36</v>
      </c>
    </row>
    <row r="554" spans="1:36" x14ac:dyDescent="0.35">
      <c r="A554">
        <v>39</v>
      </c>
      <c r="B554" t="s">
        <v>74</v>
      </c>
      <c r="C554" t="s">
        <v>36</v>
      </c>
      <c r="D554" t="s">
        <v>36</v>
      </c>
      <c r="E554" t="s">
        <v>36</v>
      </c>
      <c r="F554" t="s">
        <v>36</v>
      </c>
      <c r="G554" t="s">
        <v>36</v>
      </c>
      <c r="H554" t="s">
        <v>36</v>
      </c>
      <c r="I554" t="s">
        <v>36</v>
      </c>
      <c r="J554" t="s">
        <v>36</v>
      </c>
      <c r="K554" t="s">
        <v>36</v>
      </c>
      <c r="L554" t="s">
        <v>36</v>
      </c>
      <c r="M554" t="s">
        <v>36</v>
      </c>
      <c r="N554" t="s">
        <v>36</v>
      </c>
      <c r="O554" t="s">
        <v>36</v>
      </c>
      <c r="P554" t="s">
        <v>36</v>
      </c>
      <c r="Q554" s="1">
        <v>41578.5</v>
      </c>
      <c r="R554" t="s">
        <v>36</v>
      </c>
      <c r="S554" t="s">
        <v>36</v>
      </c>
      <c r="T554" t="s">
        <v>36</v>
      </c>
      <c r="U554" t="s">
        <v>36</v>
      </c>
      <c r="V554" t="s">
        <v>36</v>
      </c>
      <c r="W554" t="s">
        <v>36</v>
      </c>
      <c r="X554" t="s">
        <v>36</v>
      </c>
      <c r="Y554" t="s">
        <v>36</v>
      </c>
      <c r="Z554" t="s">
        <v>36</v>
      </c>
      <c r="AA554" t="s">
        <v>36</v>
      </c>
      <c r="AB554" t="s">
        <v>36</v>
      </c>
      <c r="AC554" t="s">
        <v>36</v>
      </c>
      <c r="AD554" t="s">
        <v>36</v>
      </c>
      <c r="AE554" t="s">
        <v>36</v>
      </c>
      <c r="AF554" t="s">
        <v>36</v>
      </c>
      <c r="AG554" t="s">
        <v>36</v>
      </c>
      <c r="AH554" t="s">
        <v>36</v>
      </c>
      <c r="AI554" t="s">
        <v>36</v>
      </c>
      <c r="AJ554" t="s">
        <v>36</v>
      </c>
    </row>
    <row r="555" spans="1:36" x14ac:dyDescent="0.35">
      <c r="A555">
        <v>5094</v>
      </c>
      <c r="B555" t="s">
        <v>1230</v>
      </c>
      <c r="C555" t="s">
        <v>36</v>
      </c>
      <c r="D555" t="s">
        <v>36</v>
      </c>
      <c r="E555" t="s">
        <v>36</v>
      </c>
      <c r="F555" t="s">
        <v>36</v>
      </c>
      <c r="G555" t="s">
        <v>36</v>
      </c>
      <c r="H555" t="s">
        <v>36</v>
      </c>
      <c r="I555" t="s">
        <v>36</v>
      </c>
      <c r="J555" t="s">
        <v>36</v>
      </c>
      <c r="K555" t="s">
        <v>36</v>
      </c>
      <c r="L555" t="s">
        <v>36</v>
      </c>
      <c r="M555" t="s">
        <v>36</v>
      </c>
      <c r="N555" t="s">
        <v>36</v>
      </c>
      <c r="O555" t="s">
        <v>36</v>
      </c>
      <c r="P555" t="s">
        <v>36</v>
      </c>
      <c r="Q555" s="1">
        <v>43858.930555555555</v>
      </c>
      <c r="R555" t="s">
        <v>36</v>
      </c>
      <c r="S555" t="s">
        <v>36</v>
      </c>
      <c r="T555" t="s">
        <v>36</v>
      </c>
      <c r="U555" t="s">
        <v>36</v>
      </c>
      <c r="V555" t="s">
        <v>36</v>
      </c>
      <c r="W555" t="s">
        <v>36</v>
      </c>
      <c r="X555" t="s">
        <v>36</v>
      </c>
      <c r="Y555" t="s">
        <v>36</v>
      </c>
      <c r="Z555" t="s">
        <v>36</v>
      </c>
      <c r="AA555" t="s">
        <v>36</v>
      </c>
      <c r="AB555" t="s">
        <v>36</v>
      </c>
      <c r="AC555" t="s">
        <v>36</v>
      </c>
      <c r="AD555" t="s">
        <v>36</v>
      </c>
      <c r="AE555" t="s">
        <v>36</v>
      </c>
      <c r="AF555" t="s">
        <v>36</v>
      </c>
      <c r="AG555" t="s">
        <v>36</v>
      </c>
      <c r="AH555" t="s">
        <v>36</v>
      </c>
      <c r="AI555" t="s">
        <v>36</v>
      </c>
      <c r="AJ555" t="s">
        <v>36</v>
      </c>
    </row>
    <row r="556" spans="1:36" x14ac:dyDescent="0.35">
      <c r="A556">
        <v>5095</v>
      </c>
      <c r="B556" t="s">
        <v>1231</v>
      </c>
      <c r="C556" t="s">
        <v>36</v>
      </c>
      <c r="D556" t="s">
        <v>36</v>
      </c>
      <c r="E556" t="s">
        <v>36</v>
      </c>
      <c r="F556" t="s">
        <v>36</v>
      </c>
      <c r="G556" t="s">
        <v>36</v>
      </c>
      <c r="H556" t="s">
        <v>36</v>
      </c>
      <c r="I556" t="s">
        <v>36</v>
      </c>
      <c r="J556" t="s">
        <v>36</v>
      </c>
      <c r="K556" t="s">
        <v>36</v>
      </c>
      <c r="L556" t="s">
        <v>36</v>
      </c>
      <c r="M556" t="s">
        <v>36</v>
      </c>
      <c r="N556" t="s">
        <v>36</v>
      </c>
      <c r="O556" t="s">
        <v>36</v>
      </c>
      <c r="P556" t="s">
        <v>36</v>
      </c>
      <c r="Q556" s="1">
        <v>43858.930555555555</v>
      </c>
      <c r="R556" t="s">
        <v>36</v>
      </c>
      <c r="S556" t="s">
        <v>36</v>
      </c>
      <c r="T556" t="s">
        <v>36</v>
      </c>
      <c r="U556" t="s">
        <v>36</v>
      </c>
      <c r="V556" t="s">
        <v>36</v>
      </c>
      <c r="W556" t="s">
        <v>36</v>
      </c>
      <c r="X556" t="s">
        <v>36</v>
      </c>
      <c r="Y556" t="s">
        <v>36</v>
      </c>
      <c r="Z556" t="s">
        <v>36</v>
      </c>
      <c r="AA556" t="s">
        <v>36</v>
      </c>
      <c r="AB556" t="s">
        <v>36</v>
      </c>
      <c r="AC556" t="s">
        <v>36</v>
      </c>
      <c r="AD556" t="s">
        <v>36</v>
      </c>
      <c r="AE556" t="s">
        <v>36</v>
      </c>
      <c r="AF556" t="s">
        <v>36</v>
      </c>
      <c r="AG556" t="s">
        <v>36</v>
      </c>
      <c r="AH556" t="s">
        <v>36</v>
      </c>
      <c r="AI556" t="s">
        <v>36</v>
      </c>
      <c r="AJ556" t="s">
        <v>36</v>
      </c>
    </row>
    <row r="557" spans="1:36" x14ac:dyDescent="0.35">
      <c r="A557">
        <v>5096</v>
      </c>
      <c r="B557" t="s">
        <v>1232</v>
      </c>
      <c r="C557" t="s">
        <v>36</v>
      </c>
      <c r="D557" t="s">
        <v>36</v>
      </c>
      <c r="E557" t="s">
        <v>36</v>
      </c>
      <c r="F557" t="s">
        <v>36</v>
      </c>
      <c r="G557" t="s">
        <v>36</v>
      </c>
      <c r="H557" t="s">
        <v>36</v>
      </c>
      <c r="I557" t="s">
        <v>36</v>
      </c>
      <c r="J557" t="s">
        <v>36</v>
      </c>
      <c r="K557" t="s">
        <v>36</v>
      </c>
      <c r="L557" t="s">
        <v>36</v>
      </c>
      <c r="M557" t="s">
        <v>36</v>
      </c>
      <c r="N557" t="s">
        <v>36</v>
      </c>
      <c r="O557" t="s">
        <v>36</v>
      </c>
      <c r="P557" t="s">
        <v>36</v>
      </c>
      <c r="Q557" s="1">
        <v>43858.930555555555</v>
      </c>
      <c r="R557" t="s">
        <v>36</v>
      </c>
      <c r="S557" t="s">
        <v>36</v>
      </c>
      <c r="T557" t="s">
        <v>36</v>
      </c>
      <c r="U557" t="s">
        <v>36</v>
      </c>
      <c r="V557" t="s">
        <v>36</v>
      </c>
      <c r="W557" t="s">
        <v>36</v>
      </c>
      <c r="X557" t="s">
        <v>36</v>
      </c>
      <c r="Y557" t="s">
        <v>36</v>
      </c>
      <c r="Z557" t="s">
        <v>36</v>
      </c>
      <c r="AA557" t="s">
        <v>36</v>
      </c>
      <c r="AB557" t="s">
        <v>36</v>
      </c>
      <c r="AC557" t="s">
        <v>36</v>
      </c>
      <c r="AD557" t="s">
        <v>36</v>
      </c>
      <c r="AE557" t="s">
        <v>36</v>
      </c>
      <c r="AF557" t="s">
        <v>36</v>
      </c>
      <c r="AG557" t="s">
        <v>36</v>
      </c>
      <c r="AH557" t="s">
        <v>36</v>
      </c>
      <c r="AI557" t="s">
        <v>36</v>
      </c>
      <c r="AJ557" t="s">
        <v>36</v>
      </c>
    </row>
    <row r="558" spans="1:36" x14ac:dyDescent="0.35">
      <c r="A558">
        <v>40</v>
      </c>
      <c r="B558" t="s">
        <v>75</v>
      </c>
      <c r="C558" t="s">
        <v>36</v>
      </c>
      <c r="D558" t="s">
        <v>36</v>
      </c>
      <c r="E558" t="s">
        <v>36</v>
      </c>
      <c r="F558" t="s">
        <v>36</v>
      </c>
      <c r="G558" t="s">
        <v>36</v>
      </c>
      <c r="H558" t="s">
        <v>36</v>
      </c>
      <c r="I558" t="s">
        <v>36</v>
      </c>
      <c r="J558" t="s">
        <v>36</v>
      </c>
      <c r="K558" t="s">
        <v>36</v>
      </c>
      <c r="L558" t="s">
        <v>36</v>
      </c>
      <c r="M558" t="s">
        <v>36</v>
      </c>
      <c r="N558" t="s">
        <v>36</v>
      </c>
      <c r="O558" t="s">
        <v>36</v>
      </c>
      <c r="P558" t="s">
        <v>36</v>
      </c>
      <c r="Q558" s="1">
        <v>41578.5</v>
      </c>
      <c r="R558" t="s">
        <v>36</v>
      </c>
      <c r="S558" t="s">
        <v>36</v>
      </c>
      <c r="T558" t="s">
        <v>36</v>
      </c>
      <c r="U558" t="s">
        <v>36</v>
      </c>
      <c r="V558" t="s">
        <v>36</v>
      </c>
      <c r="W558" t="s">
        <v>36</v>
      </c>
      <c r="X558" t="s">
        <v>36</v>
      </c>
      <c r="Y558" t="s">
        <v>36</v>
      </c>
      <c r="Z558" t="s">
        <v>36</v>
      </c>
      <c r="AA558" t="s">
        <v>36</v>
      </c>
      <c r="AB558" t="s">
        <v>36</v>
      </c>
      <c r="AC558" t="s">
        <v>36</v>
      </c>
      <c r="AD558" t="s">
        <v>36</v>
      </c>
      <c r="AE558" t="s">
        <v>36</v>
      </c>
      <c r="AF558" t="s">
        <v>36</v>
      </c>
      <c r="AG558" t="s">
        <v>36</v>
      </c>
      <c r="AH558" t="s">
        <v>36</v>
      </c>
      <c r="AI558" t="s">
        <v>36</v>
      </c>
      <c r="AJ558" t="s">
        <v>36</v>
      </c>
    </row>
    <row r="559" spans="1:36" x14ac:dyDescent="0.35">
      <c r="A559">
        <v>5097</v>
      </c>
      <c r="B559" t="s">
        <v>1233</v>
      </c>
      <c r="C559" t="s">
        <v>36</v>
      </c>
      <c r="D559" t="s">
        <v>36</v>
      </c>
      <c r="E559" t="s">
        <v>36</v>
      </c>
      <c r="F559" t="s">
        <v>36</v>
      </c>
      <c r="G559" t="s">
        <v>36</v>
      </c>
      <c r="H559" t="s">
        <v>36</v>
      </c>
      <c r="I559" t="s">
        <v>36</v>
      </c>
      <c r="J559" t="s">
        <v>36</v>
      </c>
      <c r="K559" t="s">
        <v>36</v>
      </c>
      <c r="L559" t="s">
        <v>36</v>
      </c>
      <c r="M559" t="s">
        <v>36</v>
      </c>
      <c r="N559" t="s">
        <v>36</v>
      </c>
      <c r="O559" t="s">
        <v>36</v>
      </c>
      <c r="P559" t="s">
        <v>36</v>
      </c>
      <c r="Q559" s="1">
        <v>43858.930555555555</v>
      </c>
      <c r="R559" t="s">
        <v>36</v>
      </c>
      <c r="S559" t="s">
        <v>36</v>
      </c>
      <c r="T559" t="s">
        <v>36</v>
      </c>
      <c r="U559" t="s">
        <v>36</v>
      </c>
      <c r="V559" t="s">
        <v>36</v>
      </c>
      <c r="W559" t="s">
        <v>36</v>
      </c>
      <c r="X559" t="s">
        <v>36</v>
      </c>
      <c r="Y559" t="s">
        <v>36</v>
      </c>
      <c r="Z559" t="s">
        <v>36</v>
      </c>
      <c r="AA559" t="s">
        <v>36</v>
      </c>
      <c r="AB559" t="s">
        <v>36</v>
      </c>
      <c r="AC559" t="s">
        <v>36</v>
      </c>
      <c r="AD559" t="s">
        <v>36</v>
      </c>
      <c r="AE559" t="s">
        <v>36</v>
      </c>
      <c r="AF559" t="s">
        <v>36</v>
      </c>
      <c r="AG559" t="s">
        <v>36</v>
      </c>
      <c r="AH559" t="s">
        <v>36</v>
      </c>
      <c r="AI559" t="s">
        <v>36</v>
      </c>
      <c r="AJ559" t="s">
        <v>36</v>
      </c>
    </row>
    <row r="560" spans="1:36" x14ac:dyDescent="0.35">
      <c r="A560">
        <v>5098</v>
      </c>
      <c r="B560" t="s">
        <v>1234</v>
      </c>
      <c r="C560" t="s">
        <v>36</v>
      </c>
      <c r="D560" t="s">
        <v>36</v>
      </c>
      <c r="E560" t="s">
        <v>36</v>
      </c>
      <c r="F560" t="s">
        <v>36</v>
      </c>
      <c r="G560" t="s">
        <v>36</v>
      </c>
      <c r="H560" t="s">
        <v>36</v>
      </c>
      <c r="I560" t="s">
        <v>36</v>
      </c>
      <c r="J560" t="s">
        <v>36</v>
      </c>
      <c r="K560" t="s">
        <v>36</v>
      </c>
      <c r="L560" t="s">
        <v>36</v>
      </c>
      <c r="M560" t="s">
        <v>36</v>
      </c>
      <c r="N560" t="s">
        <v>36</v>
      </c>
      <c r="O560" t="s">
        <v>36</v>
      </c>
      <c r="P560" t="s">
        <v>36</v>
      </c>
      <c r="Q560" s="1">
        <v>43858.930555555555</v>
      </c>
      <c r="R560" t="s">
        <v>36</v>
      </c>
      <c r="S560" t="s">
        <v>36</v>
      </c>
      <c r="T560" t="s">
        <v>36</v>
      </c>
      <c r="U560" t="s">
        <v>36</v>
      </c>
      <c r="V560" t="s">
        <v>36</v>
      </c>
      <c r="W560" t="s">
        <v>36</v>
      </c>
      <c r="X560" t="s">
        <v>36</v>
      </c>
      <c r="Y560" t="s">
        <v>36</v>
      </c>
      <c r="Z560" t="s">
        <v>36</v>
      </c>
      <c r="AA560" t="s">
        <v>36</v>
      </c>
      <c r="AB560" t="s">
        <v>36</v>
      </c>
      <c r="AC560" t="s">
        <v>36</v>
      </c>
      <c r="AD560" t="s">
        <v>36</v>
      </c>
      <c r="AE560" t="s">
        <v>36</v>
      </c>
      <c r="AF560" t="s">
        <v>36</v>
      </c>
      <c r="AG560" t="s">
        <v>36</v>
      </c>
      <c r="AH560" t="s">
        <v>36</v>
      </c>
      <c r="AI560" t="s">
        <v>36</v>
      </c>
      <c r="AJ560" t="s">
        <v>36</v>
      </c>
    </row>
    <row r="561" spans="1:36" x14ac:dyDescent="0.35">
      <c r="A561">
        <v>5099</v>
      </c>
      <c r="B561" t="s">
        <v>1235</v>
      </c>
      <c r="C561" t="s">
        <v>36</v>
      </c>
      <c r="D561" t="s">
        <v>36</v>
      </c>
      <c r="E561" t="s">
        <v>36</v>
      </c>
      <c r="F561" t="s">
        <v>36</v>
      </c>
      <c r="G561" t="s">
        <v>36</v>
      </c>
      <c r="H561" t="s">
        <v>36</v>
      </c>
      <c r="I561" t="s">
        <v>36</v>
      </c>
      <c r="J561" t="s">
        <v>36</v>
      </c>
      <c r="K561" t="s">
        <v>36</v>
      </c>
      <c r="L561" t="s">
        <v>36</v>
      </c>
      <c r="M561" t="s">
        <v>36</v>
      </c>
      <c r="N561" t="s">
        <v>36</v>
      </c>
      <c r="O561" t="s">
        <v>36</v>
      </c>
      <c r="P561" t="s">
        <v>36</v>
      </c>
      <c r="Q561" s="1">
        <v>43858.930555555555</v>
      </c>
      <c r="R561" t="s">
        <v>36</v>
      </c>
      <c r="S561" t="s">
        <v>36</v>
      </c>
      <c r="T561" t="s">
        <v>36</v>
      </c>
      <c r="U561" t="s">
        <v>36</v>
      </c>
      <c r="V561" t="s">
        <v>36</v>
      </c>
      <c r="W561" t="s">
        <v>36</v>
      </c>
      <c r="X561" t="s">
        <v>36</v>
      </c>
      <c r="Y561" t="s">
        <v>36</v>
      </c>
      <c r="Z561" t="s">
        <v>36</v>
      </c>
      <c r="AA561" t="s">
        <v>36</v>
      </c>
      <c r="AB561" t="s">
        <v>36</v>
      </c>
      <c r="AC561" t="s">
        <v>36</v>
      </c>
      <c r="AD561" t="s">
        <v>36</v>
      </c>
      <c r="AE561" t="s">
        <v>36</v>
      </c>
      <c r="AF561" t="s">
        <v>36</v>
      </c>
      <c r="AG561" t="s">
        <v>36</v>
      </c>
      <c r="AH561" t="s">
        <v>36</v>
      </c>
      <c r="AI561" t="s">
        <v>36</v>
      </c>
      <c r="AJ561" t="s">
        <v>36</v>
      </c>
    </row>
    <row r="562" spans="1:36" x14ac:dyDescent="0.35">
      <c r="A562">
        <v>41</v>
      </c>
      <c r="B562" t="s">
        <v>76</v>
      </c>
      <c r="C562" t="s">
        <v>36</v>
      </c>
      <c r="D562" t="s">
        <v>36</v>
      </c>
      <c r="E562" t="s">
        <v>36</v>
      </c>
      <c r="F562" t="s">
        <v>36</v>
      </c>
      <c r="G562" t="s">
        <v>36</v>
      </c>
      <c r="H562" t="s">
        <v>36</v>
      </c>
      <c r="I562" t="s">
        <v>36</v>
      </c>
      <c r="J562" t="s">
        <v>36</v>
      </c>
      <c r="K562" t="s">
        <v>36</v>
      </c>
      <c r="L562" t="s">
        <v>36</v>
      </c>
      <c r="M562" t="s">
        <v>36</v>
      </c>
      <c r="N562" t="s">
        <v>36</v>
      </c>
      <c r="O562" t="s">
        <v>36</v>
      </c>
      <c r="P562" t="s">
        <v>36</v>
      </c>
      <c r="Q562" s="1">
        <v>41578.5</v>
      </c>
      <c r="R562" t="s">
        <v>36</v>
      </c>
      <c r="S562" t="s">
        <v>36</v>
      </c>
      <c r="T562" t="s">
        <v>36</v>
      </c>
      <c r="U562" t="s">
        <v>36</v>
      </c>
      <c r="V562" t="s">
        <v>36</v>
      </c>
      <c r="W562" t="s">
        <v>36</v>
      </c>
      <c r="X562" t="s">
        <v>36</v>
      </c>
      <c r="Y562" t="s">
        <v>36</v>
      </c>
      <c r="Z562" t="s">
        <v>36</v>
      </c>
      <c r="AA562" t="s">
        <v>36</v>
      </c>
      <c r="AB562" t="s">
        <v>36</v>
      </c>
      <c r="AC562" t="s">
        <v>36</v>
      </c>
      <c r="AD562" t="s">
        <v>36</v>
      </c>
      <c r="AE562" t="s">
        <v>36</v>
      </c>
      <c r="AF562" t="s">
        <v>36</v>
      </c>
      <c r="AG562" t="s">
        <v>36</v>
      </c>
      <c r="AH562" t="s">
        <v>36</v>
      </c>
      <c r="AI562" t="s">
        <v>36</v>
      </c>
      <c r="AJ562" t="s">
        <v>36</v>
      </c>
    </row>
    <row r="563" spans="1:36" x14ac:dyDescent="0.35">
      <c r="A563">
        <v>5100</v>
      </c>
      <c r="B563" t="s">
        <v>1236</v>
      </c>
      <c r="C563" t="s">
        <v>36</v>
      </c>
      <c r="D563" t="s">
        <v>36</v>
      </c>
      <c r="E563" t="s">
        <v>36</v>
      </c>
      <c r="F563" t="s">
        <v>36</v>
      </c>
      <c r="G563" t="s">
        <v>36</v>
      </c>
      <c r="H563" t="s">
        <v>36</v>
      </c>
      <c r="I563" t="s">
        <v>36</v>
      </c>
      <c r="J563" t="s">
        <v>36</v>
      </c>
      <c r="K563" t="s">
        <v>36</v>
      </c>
      <c r="L563" t="s">
        <v>36</v>
      </c>
      <c r="M563" t="s">
        <v>36</v>
      </c>
      <c r="N563" t="s">
        <v>36</v>
      </c>
      <c r="O563" t="s">
        <v>36</v>
      </c>
      <c r="P563" t="s">
        <v>36</v>
      </c>
      <c r="Q563" s="1">
        <v>43858.930555555555</v>
      </c>
      <c r="R563" t="s">
        <v>36</v>
      </c>
      <c r="S563" t="s">
        <v>36</v>
      </c>
      <c r="T563" t="s">
        <v>36</v>
      </c>
      <c r="U563" t="s">
        <v>36</v>
      </c>
      <c r="V563" t="s">
        <v>36</v>
      </c>
      <c r="W563" t="s">
        <v>36</v>
      </c>
      <c r="X563" t="s">
        <v>36</v>
      </c>
      <c r="Y563" t="s">
        <v>36</v>
      </c>
      <c r="Z563" t="s">
        <v>36</v>
      </c>
      <c r="AA563" t="s">
        <v>36</v>
      </c>
      <c r="AB563" t="s">
        <v>36</v>
      </c>
      <c r="AC563" t="s">
        <v>36</v>
      </c>
      <c r="AD563" t="s">
        <v>36</v>
      </c>
      <c r="AE563" t="s">
        <v>36</v>
      </c>
      <c r="AF563" t="s">
        <v>36</v>
      </c>
      <c r="AG563" t="s">
        <v>36</v>
      </c>
      <c r="AH563" t="s">
        <v>36</v>
      </c>
      <c r="AI563" t="s">
        <v>36</v>
      </c>
      <c r="AJ563" t="s">
        <v>36</v>
      </c>
    </row>
    <row r="564" spans="1:36" x14ac:dyDescent="0.35">
      <c r="A564">
        <v>5101</v>
      </c>
      <c r="B564" t="s">
        <v>1237</v>
      </c>
      <c r="C564" t="s">
        <v>36</v>
      </c>
      <c r="D564" t="s">
        <v>36</v>
      </c>
      <c r="E564" t="s">
        <v>36</v>
      </c>
      <c r="F564" t="s">
        <v>36</v>
      </c>
      <c r="G564" t="s">
        <v>36</v>
      </c>
      <c r="H564" t="s">
        <v>36</v>
      </c>
      <c r="I564" t="s">
        <v>36</v>
      </c>
      <c r="J564" t="s">
        <v>36</v>
      </c>
      <c r="K564" t="s">
        <v>36</v>
      </c>
      <c r="L564" t="s">
        <v>36</v>
      </c>
      <c r="M564" t="s">
        <v>36</v>
      </c>
      <c r="N564" t="s">
        <v>36</v>
      </c>
      <c r="O564" t="s">
        <v>36</v>
      </c>
      <c r="P564" t="s">
        <v>36</v>
      </c>
      <c r="Q564" s="1">
        <v>43858.930555555555</v>
      </c>
      <c r="R564" t="s">
        <v>36</v>
      </c>
      <c r="S564" t="s">
        <v>36</v>
      </c>
      <c r="T564" t="s">
        <v>36</v>
      </c>
      <c r="U564" t="s">
        <v>36</v>
      </c>
      <c r="V564" t="s">
        <v>36</v>
      </c>
      <c r="W564" t="s">
        <v>36</v>
      </c>
      <c r="X564" t="s">
        <v>36</v>
      </c>
      <c r="Y564" t="s">
        <v>36</v>
      </c>
      <c r="Z564" t="s">
        <v>36</v>
      </c>
      <c r="AA564" t="s">
        <v>36</v>
      </c>
      <c r="AB564" t="s">
        <v>36</v>
      </c>
      <c r="AC564" t="s">
        <v>36</v>
      </c>
      <c r="AD564" t="s">
        <v>36</v>
      </c>
      <c r="AE564" t="s">
        <v>36</v>
      </c>
      <c r="AF564" t="s">
        <v>36</v>
      </c>
      <c r="AG564" t="s">
        <v>36</v>
      </c>
      <c r="AH564" t="s">
        <v>36</v>
      </c>
      <c r="AI564" t="s">
        <v>36</v>
      </c>
      <c r="AJ564" t="s">
        <v>36</v>
      </c>
    </row>
    <row r="565" spans="1:36" x14ac:dyDescent="0.35">
      <c r="A565">
        <v>5102</v>
      </c>
      <c r="B565" t="s">
        <v>1238</v>
      </c>
      <c r="C565" t="s">
        <v>36</v>
      </c>
      <c r="D565" t="s">
        <v>36</v>
      </c>
      <c r="E565" t="s">
        <v>36</v>
      </c>
      <c r="F565" t="s">
        <v>36</v>
      </c>
      <c r="G565" t="s">
        <v>36</v>
      </c>
      <c r="H565" t="s">
        <v>36</v>
      </c>
      <c r="I565" t="s">
        <v>36</v>
      </c>
      <c r="J565" t="s">
        <v>36</v>
      </c>
      <c r="K565" t="s">
        <v>36</v>
      </c>
      <c r="L565" t="s">
        <v>36</v>
      </c>
      <c r="M565" t="s">
        <v>36</v>
      </c>
      <c r="N565" t="s">
        <v>36</v>
      </c>
      <c r="O565" t="s">
        <v>36</v>
      </c>
      <c r="P565" t="s">
        <v>36</v>
      </c>
      <c r="Q565" s="1">
        <v>43858.930555555555</v>
      </c>
      <c r="R565" t="s">
        <v>36</v>
      </c>
      <c r="S565" t="s">
        <v>36</v>
      </c>
      <c r="T565" t="s">
        <v>36</v>
      </c>
      <c r="U565" t="s">
        <v>36</v>
      </c>
      <c r="V565" t="s">
        <v>36</v>
      </c>
      <c r="W565" t="s">
        <v>36</v>
      </c>
      <c r="X565" t="s">
        <v>36</v>
      </c>
      <c r="Y565" t="s">
        <v>36</v>
      </c>
      <c r="Z565" t="s">
        <v>36</v>
      </c>
      <c r="AA565" t="s">
        <v>36</v>
      </c>
      <c r="AB565" t="s">
        <v>36</v>
      </c>
      <c r="AC565" t="s">
        <v>36</v>
      </c>
      <c r="AD565" t="s">
        <v>36</v>
      </c>
      <c r="AE565" t="s">
        <v>36</v>
      </c>
      <c r="AF565" t="s">
        <v>36</v>
      </c>
      <c r="AG565" t="s">
        <v>36</v>
      </c>
      <c r="AH565" t="s">
        <v>36</v>
      </c>
      <c r="AI565" t="s">
        <v>36</v>
      </c>
      <c r="AJ565" t="s">
        <v>36</v>
      </c>
    </row>
    <row r="566" spans="1:36" x14ac:dyDescent="0.35">
      <c r="A566">
        <v>42</v>
      </c>
      <c r="B566" t="s">
        <v>77</v>
      </c>
      <c r="C566" t="s">
        <v>36</v>
      </c>
      <c r="D566" t="s">
        <v>36</v>
      </c>
      <c r="E566" t="s">
        <v>36</v>
      </c>
      <c r="F566" t="s">
        <v>36</v>
      </c>
      <c r="G566" t="s">
        <v>36</v>
      </c>
      <c r="H566" t="s">
        <v>36</v>
      </c>
      <c r="I566" t="s">
        <v>36</v>
      </c>
      <c r="J566" t="s">
        <v>36</v>
      </c>
      <c r="K566" t="s">
        <v>36</v>
      </c>
      <c r="L566" t="s">
        <v>36</v>
      </c>
      <c r="M566" t="s">
        <v>36</v>
      </c>
      <c r="N566" t="s">
        <v>36</v>
      </c>
      <c r="O566" t="s">
        <v>36</v>
      </c>
      <c r="P566" t="s">
        <v>36</v>
      </c>
      <c r="Q566" s="1">
        <v>41578.5</v>
      </c>
      <c r="R566" t="s">
        <v>36</v>
      </c>
      <c r="S566" t="s">
        <v>36</v>
      </c>
      <c r="T566" t="s">
        <v>36</v>
      </c>
      <c r="U566" t="s">
        <v>36</v>
      </c>
      <c r="V566" t="s">
        <v>36</v>
      </c>
      <c r="W566" t="s">
        <v>36</v>
      </c>
      <c r="X566" t="s">
        <v>36</v>
      </c>
      <c r="Y566" t="s">
        <v>36</v>
      </c>
      <c r="Z566" t="s">
        <v>36</v>
      </c>
      <c r="AA566" t="s">
        <v>36</v>
      </c>
      <c r="AB566" t="s">
        <v>36</v>
      </c>
      <c r="AC566" t="s">
        <v>36</v>
      </c>
      <c r="AD566" t="s">
        <v>36</v>
      </c>
      <c r="AE566" t="s">
        <v>36</v>
      </c>
      <c r="AF566" t="s">
        <v>36</v>
      </c>
      <c r="AG566" t="s">
        <v>36</v>
      </c>
      <c r="AH566" t="s">
        <v>36</v>
      </c>
      <c r="AI566" t="s">
        <v>36</v>
      </c>
      <c r="AJ566" t="s">
        <v>36</v>
      </c>
    </row>
    <row r="567" spans="1:36" x14ac:dyDescent="0.35">
      <c r="A567">
        <v>5103</v>
      </c>
      <c r="B567" t="s">
        <v>1239</v>
      </c>
      <c r="C567" t="s">
        <v>36</v>
      </c>
      <c r="D567" t="s">
        <v>36</v>
      </c>
      <c r="E567" t="s">
        <v>36</v>
      </c>
      <c r="F567" t="s">
        <v>36</v>
      </c>
      <c r="G567" t="s">
        <v>36</v>
      </c>
      <c r="H567" t="s">
        <v>36</v>
      </c>
      <c r="I567" t="s">
        <v>36</v>
      </c>
      <c r="J567" t="s">
        <v>36</v>
      </c>
      <c r="K567" t="s">
        <v>36</v>
      </c>
      <c r="L567" t="s">
        <v>36</v>
      </c>
      <c r="M567" t="s">
        <v>36</v>
      </c>
      <c r="N567" t="s">
        <v>36</v>
      </c>
      <c r="O567" t="s">
        <v>36</v>
      </c>
      <c r="P567" t="s">
        <v>36</v>
      </c>
      <c r="Q567" s="1">
        <v>43858.930555555555</v>
      </c>
      <c r="R567" t="s">
        <v>36</v>
      </c>
      <c r="S567" t="s">
        <v>36</v>
      </c>
      <c r="T567" t="s">
        <v>36</v>
      </c>
      <c r="U567" t="s">
        <v>36</v>
      </c>
      <c r="V567" t="s">
        <v>36</v>
      </c>
      <c r="W567" t="s">
        <v>36</v>
      </c>
      <c r="X567" t="s">
        <v>36</v>
      </c>
      <c r="Y567" t="s">
        <v>36</v>
      </c>
      <c r="Z567" t="s">
        <v>36</v>
      </c>
      <c r="AA567" t="s">
        <v>36</v>
      </c>
      <c r="AB567" t="s">
        <v>36</v>
      </c>
      <c r="AC567" t="s">
        <v>36</v>
      </c>
      <c r="AD567" t="s">
        <v>36</v>
      </c>
      <c r="AE567" t="s">
        <v>36</v>
      </c>
      <c r="AF567" t="s">
        <v>36</v>
      </c>
      <c r="AG567" t="s">
        <v>36</v>
      </c>
      <c r="AH567" t="s">
        <v>36</v>
      </c>
      <c r="AI567" t="s">
        <v>36</v>
      </c>
      <c r="AJ567" t="s">
        <v>36</v>
      </c>
    </row>
    <row r="568" spans="1:36" x14ac:dyDescent="0.35">
      <c r="A568">
        <v>5104</v>
      </c>
      <c r="B568" t="s">
        <v>1240</v>
      </c>
      <c r="C568" t="s">
        <v>36</v>
      </c>
      <c r="D568" t="s">
        <v>36</v>
      </c>
      <c r="E568" t="s">
        <v>36</v>
      </c>
      <c r="F568" t="s">
        <v>36</v>
      </c>
      <c r="G568" t="s">
        <v>36</v>
      </c>
      <c r="H568" t="s">
        <v>36</v>
      </c>
      <c r="I568" t="s">
        <v>36</v>
      </c>
      <c r="J568" t="s">
        <v>36</v>
      </c>
      <c r="K568" t="s">
        <v>36</v>
      </c>
      <c r="L568" t="s">
        <v>36</v>
      </c>
      <c r="M568" t="s">
        <v>36</v>
      </c>
      <c r="N568" t="s">
        <v>36</v>
      </c>
      <c r="O568" t="s">
        <v>36</v>
      </c>
      <c r="P568" t="s">
        <v>36</v>
      </c>
      <c r="Q568" s="1">
        <v>43858.930555555555</v>
      </c>
      <c r="R568" t="s">
        <v>36</v>
      </c>
      <c r="S568" t="s">
        <v>36</v>
      </c>
      <c r="T568" t="s">
        <v>36</v>
      </c>
      <c r="U568" t="s">
        <v>36</v>
      </c>
      <c r="V568" t="s">
        <v>36</v>
      </c>
      <c r="W568" t="s">
        <v>36</v>
      </c>
      <c r="X568" t="s">
        <v>36</v>
      </c>
      <c r="Y568" t="s">
        <v>36</v>
      </c>
      <c r="Z568" t="s">
        <v>36</v>
      </c>
      <c r="AA568" t="s">
        <v>36</v>
      </c>
      <c r="AB568" t="s">
        <v>36</v>
      </c>
      <c r="AC568" t="s">
        <v>36</v>
      </c>
      <c r="AD568" t="s">
        <v>36</v>
      </c>
      <c r="AE568" t="s">
        <v>36</v>
      </c>
      <c r="AF568" t="s">
        <v>36</v>
      </c>
      <c r="AG568" t="s">
        <v>36</v>
      </c>
      <c r="AH568" t="s">
        <v>36</v>
      </c>
      <c r="AI568" t="s">
        <v>36</v>
      </c>
      <c r="AJ568" t="s">
        <v>36</v>
      </c>
    </row>
    <row r="569" spans="1:36" x14ac:dyDescent="0.35">
      <c r="A569">
        <v>5105</v>
      </c>
      <c r="B569" t="s">
        <v>1241</v>
      </c>
      <c r="C569" t="s">
        <v>36</v>
      </c>
      <c r="D569" t="s">
        <v>36</v>
      </c>
      <c r="E569" t="s">
        <v>36</v>
      </c>
      <c r="F569" t="s">
        <v>36</v>
      </c>
      <c r="G569" t="s">
        <v>36</v>
      </c>
      <c r="H569" t="s">
        <v>36</v>
      </c>
      <c r="I569" t="s">
        <v>36</v>
      </c>
      <c r="J569" t="s">
        <v>36</v>
      </c>
      <c r="K569" t="s">
        <v>36</v>
      </c>
      <c r="L569" t="s">
        <v>36</v>
      </c>
      <c r="M569" t="s">
        <v>36</v>
      </c>
      <c r="N569" t="s">
        <v>36</v>
      </c>
      <c r="O569" t="s">
        <v>36</v>
      </c>
      <c r="P569" t="s">
        <v>36</v>
      </c>
      <c r="Q569" s="1">
        <v>43858.930555555555</v>
      </c>
      <c r="R569" t="s">
        <v>36</v>
      </c>
      <c r="S569" t="s">
        <v>36</v>
      </c>
      <c r="T569" t="s">
        <v>36</v>
      </c>
      <c r="U569" t="s">
        <v>36</v>
      </c>
      <c r="V569" t="s">
        <v>36</v>
      </c>
      <c r="W569" t="s">
        <v>36</v>
      </c>
      <c r="X569" t="s">
        <v>36</v>
      </c>
      <c r="Y569" t="s">
        <v>36</v>
      </c>
      <c r="Z569" t="s">
        <v>36</v>
      </c>
      <c r="AA569" t="s">
        <v>36</v>
      </c>
      <c r="AB569" t="s">
        <v>36</v>
      </c>
      <c r="AC569" t="s">
        <v>36</v>
      </c>
      <c r="AD569" t="s">
        <v>36</v>
      </c>
      <c r="AE569" t="s">
        <v>36</v>
      </c>
      <c r="AF569" t="s">
        <v>36</v>
      </c>
      <c r="AG569" t="s">
        <v>36</v>
      </c>
      <c r="AH569" t="s">
        <v>36</v>
      </c>
      <c r="AI569" t="s">
        <v>36</v>
      </c>
      <c r="AJ569" t="s">
        <v>36</v>
      </c>
    </row>
    <row r="570" spans="1:36" x14ac:dyDescent="0.35">
      <c r="A570">
        <v>43</v>
      </c>
      <c r="B570" t="s">
        <v>78</v>
      </c>
      <c r="C570" t="s">
        <v>36</v>
      </c>
      <c r="D570" t="s">
        <v>36</v>
      </c>
      <c r="E570" t="s">
        <v>36</v>
      </c>
      <c r="F570" t="s">
        <v>36</v>
      </c>
      <c r="G570" t="s">
        <v>36</v>
      </c>
      <c r="H570" t="s">
        <v>36</v>
      </c>
      <c r="I570" t="s">
        <v>36</v>
      </c>
      <c r="J570" t="s">
        <v>36</v>
      </c>
      <c r="K570" t="s">
        <v>36</v>
      </c>
      <c r="L570" t="s">
        <v>36</v>
      </c>
      <c r="M570" t="s">
        <v>36</v>
      </c>
      <c r="N570" t="s">
        <v>36</v>
      </c>
      <c r="O570" t="s">
        <v>36</v>
      </c>
      <c r="P570" t="s">
        <v>36</v>
      </c>
      <c r="Q570" s="1">
        <v>41578.5</v>
      </c>
      <c r="R570" t="s">
        <v>36</v>
      </c>
      <c r="S570" t="s">
        <v>36</v>
      </c>
      <c r="T570" t="s">
        <v>36</v>
      </c>
      <c r="U570" t="s">
        <v>36</v>
      </c>
      <c r="V570" t="s">
        <v>36</v>
      </c>
      <c r="W570" t="s">
        <v>36</v>
      </c>
      <c r="X570" t="s">
        <v>36</v>
      </c>
      <c r="Y570" t="s">
        <v>36</v>
      </c>
      <c r="Z570" t="s">
        <v>36</v>
      </c>
      <c r="AA570" t="s">
        <v>36</v>
      </c>
      <c r="AB570" t="s">
        <v>36</v>
      </c>
      <c r="AC570" t="s">
        <v>36</v>
      </c>
      <c r="AD570" t="s">
        <v>36</v>
      </c>
      <c r="AE570" t="s">
        <v>36</v>
      </c>
      <c r="AF570" t="s">
        <v>36</v>
      </c>
      <c r="AG570" t="s">
        <v>36</v>
      </c>
      <c r="AH570" t="s">
        <v>36</v>
      </c>
      <c r="AI570" t="s">
        <v>36</v>
      </c>
      <c r="AJ570" t="s">
        <v>36</v>
      </c>
    </row>
    <row r="571" spans="1:36" x14ac:dyDescent="0.35">
      <c r="A571">
        <v>5106</v>
      </c>
      <c r="B571" t="s">
        <v>1242</v>
      </c>
      <c r="C571" t="s">
        <v>36</v>
      </c>
      <c r="D571" t="s">
        <v>36</v>
      </c>
      <c r="E571" t="s">
        <v>36</v>
      </c>
      <c r="F571" t="s">
        <v>36</v>
      </c>
      <c r="G571" t="s">
        <v>36</v>
      </c>
      <c r="H571" t="s">
        <v>36</v>
      </c>
      <c r="I571" t="s">
        <v>36</v>
      </c>
      <c r="J571" t="s">
        <v>36</v>
      </c>
      <c r="K571" t="s">
        <v>36</v>
      </c>
      <c r="L571" t="s">
        <v>36</v>
      </c>
      <c r="M571" t="s">
        <v>36</v>
      </c>
      <c r="N571" t="s">
        <v>36</v>
      </c>
      <c r="O571" t="s">
        <v>36</v>
      </c>
      <c r="P571" t="s">
        <v>36</v>
      </c>
      <c r="Q571" s="1">
        <v>43858.930555555555</v>
      </c>
      <c r="R571" t="s">
        <v>36</v>
      </c>
      <c r="S571" t="s">
        <v>36</v>
      </c>
      <c r="T571" t="s">
        <v>36</v>
      </c>
      <c r="U571" t="s">
        <v>36</v>
      </c>
      <c r="V571" t="s">
        <v>36</v>
      </c>
      <c r="W571" t="s">
        <v>36</v>
      </c>
      <c r="X571" t="s">
        <v>36</v>
      </c>
      <c r="Y571" t="s">
        <v>36</v>
      </c>
      <c r="Z571" t="s">
        <v>36</v>
      </c>
      <c r="AA571" t="s">
        <v>36</v>
      </c>
      <c r="AB571" t="s">
        <v>36</v>
      </c>
      <c r="AC571" t="s">
        <v>36</v>
      </c>
      <c r="AD571" t="s">
        <v>36</v>
      </c>
      <c r="AE571" t="s">
        <v>36</v>
      </c>
      <c r="AF571" t="s">
        <v>36</v>
      </c>
      <c r="AG571" t="s">
        <v>36</v>
      </c>
      <c r="AH571" t="s">
        <v>36</v>
      </c>
      <c r="AI571" t="s">
        <v>36</v>
      </c>
      <c r="AJ571" t="s">
        <v>36</v>
      </c>
    </row>
    <row r="572" spans="1:36" x14ac:dyDescent="0.35">
      <c r="A572">
        <v>5107</v>
      </c>
      <c r="B572" t="s">
        <v>1243</v>
      </c>
      <c r="C572" t="s">
        <v>36</v>
      </c>
      <c r="D572" t="s">
        <v>36</v>
      </c>
      <c r="E572" t="s">
        <v>36</v>
      </c>
      <c r="F572" t="s">
        <v>36</v>
      </c>
      <c r="G572" t="s">
        <v>36</v>
      </c>
      <c r="H572" t="s">
        <v>36</v>
      </c>
      <c r="I572" t="s">
        <v>36</v>
      </c>
      <c r="J572" t="s">
        <v>36</v>
      </c>
      <c r="K572" t="s">
        <v>36</v>
      </c>
      <c r="L572" t="s">
        <v>36</v>
      </c>
      <c r="M572" t="s">
        <v>36</v>
      </c>
      <c r="N572" t="s">
        <v>36</v>
      </c>
      <c r="O572" t="s">
        <v>36</v>
      </c>
      <c r="P572" t="s">
        <v>36</v>
      </c>
      <c r="Q572" s="1">
        <v>43858.930555555555</v>
      </c>
      <c r="R572" t="s">
        <v>36</v>
      </c>
      <c r="S572" t="s">
        <v>36</v>
      </c>
      <c r="T572" t="s">
        <v>36</v>
      </c>
      <c r="U572" t="s">
        <v>36</v>
      </c>
      <c r="V572" t="s">
        <v>36</v>
      </c>
      <c r="W572" t="s">
        <v>36</v>
      </c>
      <c r="X572" t="s">
        <v>36</v>
      </c>
      <c r="Y572" t="s">
        <v>36</v>
      </c>
      <c r="Z572" t="s">
        <v>36</v>
      </c>
      <c r="AA572" t="s">
        <v>36</v>
      </c>
      <c r="AB572" t="s">
        <v>36</v>
      </c>
      <c r="AC572" t="s">
        <v>36</v>
      </c>
      <c r="AD572" t="s">
        <v>36</v>
      </c>
      <c r="AE572" t="s">
        <v>36</v>
      </c>
      <c r="AF572" t="s">
        <v>36</v>
      </c>
      <c r="AG572" t="s">
        <v>36</v>
      </c>
      <c r="AH572" t="s">
        <v>36</v>
      </c>
      <c r="AI572" t="s">
        <v>36</v>
      </c>
      <c r="AJ572" t="s">
        <v>36</v>
      </c>
    </row>
    <row r="573" spans="1:36" x14ac:dyDescent="0.35">
      <c r="A573">
        <v>5108</v>
      </c>
      <c r="B573" t="s">
        <v>1244</v>
      </c>
      <c r="C573" t="s">
        <v>36</v>
      </c>
      <c r="D573" t="s">
        <v>36</v>
      </c>
      <c r="E573" t="s">
        <v>36</v>
      </c>
      <c r="F573" t="s">
        <v>36</v>
      </c>
      <c r="G573" t="s">
        <v>36</v>
      </c>
      <c r="H573" t="s">
        <v>36</v>
      </c>
      <c r="I573" t="s">
        <v>36</v>
      </c>
      <c r="J573" t="s">
        <v>36</v>
      </c>
      <c r="K573" t="s">
        <v>36</v>
      </c>
      <c r="L573" t="s">
        <v>36</v>
      </c>
      <c r="M573" t="s">
        <v>36</v>
      </c>
      <c r="N573" t="s">
        <v>36</v>
      </c>
      <c r="O573" t="s">
        <v>36</v>
      </c>
      <c r="P573" t="s">
        <v>36</v>
      </c>
      <c r="Q573" s="1">
        <v>43858.930555555555</v>
      </c>
      <c r="R573" t="s">
        <v>36</v>
      </c>
      <c r="S573" t="s">
        <v>36</v>
      </c>
      <c r="T573" t="s">
        <v>36</v>
      </c>
      <c r="U573" t="s">
        <v>36</v>
      </c>
      <c r="V573" t="s">
        <v>36</v>
      </c>
      <c r="W573" t="s">
        <v>36</v>
      </c>
      <c r="X573" t="s">
        <v>36</v>
      </c>
      <c r="Y573" t="s">
        <v>36</v>
      </c>
      <c r="Z573" t="s">
        <v>36</v>
      </c>
      <c r="AA573" t="s">
        <v>36</v>
      </c>
      <c r="AB573" t="s">
        <v>36</v>
      </c>
      <c r="AC573" t="s">
        <v>36</v>
      </c>
      <c r="AD573" t="s">
        <v>36</v>
      </c>
      <c r="AE573" t="s">
        <v>36</v>
      </c>
      <c r="AF573" t="s">
        <v>36</v>
      </c>
      <c r="AG573" t="s">
        <v>36</v>
      </c>
      <c r="AH573" t="s">
        <v>36</v>
      </c>
      <c r="AI573" t="s">
        <v>36</v>
      </c>
      <c r="AJ573" t="s">
        <v>36</v>
      </c>
    </row>
    <row r="574" spans="1:36" x14ac:dyDescent="0.35">
      <c r="A574">
        <v>387</v>
      </c>
      <c r="B574" t="s">
        <v>214</v>
      </c>
      <c r="C574" t="s">
        <v>36</v>
      </c>
      <c r="D574" t="s">
        <v>36</v>
      </c>
      <c r="E574" t="s">
        <v>36</v>
      </c>
      <c r="F574" t="s">
        <v>36</v>
      </c>
      <c r="G574" t="s">
        <v>36</v>
      </c>
      <c r="H574" t="s">
        <v>36</v>
      </c>
      <c r="I574" t="s">
        <v>36</v>
      </c>
      <c r="J574" t="s">
        <v>36</v>
      </c>
      <c r="K574" t="s">
        <v>36</v>
      </c>
      <c r="L574" t="s">
        <v>36</v>
      </c>
      <c r="M574" t="s">
        <v>36</v>
      </c>
      <c r="N574" t="s">
        <v>36</v>
      </c>
      <c r="O574" t="s">
        <v>36</v>
      </c>
      <c r="P574" t="s">
        <v>36</v>
      </c>
      <c r="Q574" t="s">
        <v>36</v>
      </c>
      <c r="R574" t="s">
        <v>36</v>
      </c>
      <c r="S574" t="s">
        <v>36</v>
      </c>
      <c r="T574" t="s">
        <v>36</v>
      </c>
      <c r="U574" t="s">
        <v>36</v>
      </c>
      <c r="V574" t="s">
        <v>36</v>
      </c>
      <c r="W574" t="s">
        <v>36</v>
      </c>
      <c r="X574" t="s">
        <v>36</v>
      </c>
      <c r="Y574" t="s">
        <v>36</v>
      </c>
      <c r="Z574" t="s">
        <v>36</v>
      </c>
      <c r="AA574" t="s">
        <v>36</v>
      </c>
      <c r="AB574" t="s">
        <v>36</v>
      </c>
      <c r="AC574" t="s">
        <v>36</v>
      </c>
      <c r="AD574" t="s">
        <v>36</v>
      </c>
      <c r="AE574" t="s">
        <v>36</v>
      </c>
      <c r="AF574" t="s">
        <v>36</v>
      </c>
      <c r="AG574" s="32">
        <v>43040</v>
      </c>
      <c r="AH574" t="s">
        <v>36</v>
      </c>
      <c r="AI574" t="s">
        <v>36</v>
      </c>
      <c r="AJ574" t="s">
        <v>36</v>
      </c>
    </row>
    <row r="575" spans="1:36" x14ac:dyDescent="0.35">
      <c r="A575">
        <v>388</v>
      </c>
      <c r="B575" t="s">
        <v>215</v>
      </c>
      <c r="C575" t="s">
        <v>36</v>
      </c>
      <c r="D575" t="s">
        <v>36</v>
      </c>
      <c r="E575" t="s">
        <v>36</v>
      </c>
      <c r="F575" t="s">
        <v>36</v>
      </c>
      <c r="G575" s="1">
        <v>41426</v>
      </c>
      <c r="H575" t="s">
        <v>36</v>
      </c>
      <c r="I575" t="s">
        <v>36</v>
      </c>
      <c r="J575" t="s">
        <v>36</v>
      </c>
      <c r="K575" t="s">
        <v>36</v>
      </c>
      <c r="L575" t="s">
        <v>36</v>
      </c>
      <c r="M575" t="s">
        <v>36</v>
      </c>
      <c r="N575" t="s">
        <v>36</v>
      </c>
      <c r="O575" t="s">
        <v>36</v>
      </c>
      <c r="P575" s="1">
        <v>43059.576388888891</v>
      </c>
      <c r="Q575" t="s">
        <v>36</v>
      </c>
      <c r="R575" t="s">
        <v>36</v>
      </c>
      <c r="S575" t="s">
        <v>36</v>
      </c>
      <c r="T575" s="1">
        <v>42528.291666666664</v>
      </c>
      <c r="U575" t="s">
        <v>36</v>
      </c>
      <c r="V575" t="s">
        <v>36</v>
      </c>
      <c r="W575" t="s">
        <v>36</v>
      </c>
      <c r="X575" t="s">
        <v>36</v>
      </c>
      <c r="Y575" t="s">
        <v>36</v>
      </c>
      <c r="Z575" t="s">
        <v>36</v>
      </c>
      <c r="AA575" t="s">
        <v>36</v>
      </c>
      <c r="AB575" t="s">
        <v>36</v>
      </c>
      <c r="AC575" t="s">
        <v>36</v>
      </c>
      <c r="AD575" t="s">
        <v>36</v>
      </c>
      <c r="AE575" t="s">
        <v>36</v>
      </c>
      <c r="AF575" s="1">
        <v>42058.680555555555</v>
      </c>
      <c r="AG575" s="32">
        <v>43040</v>
      </c>
      <c r="AH575" t="s">
        <v>36</v>
      </c>
      <c r="AI575" s="1">
        <v>41426</v>
      </c>
      <c r="AJ575" s="1">
        <v>43059.576388888891</v>
      </c>
    </row>
    <row r="576" spans="1:36" x14ac:dyDescent="0.35">
      <c r="A576">
        <v>4329</v>
      </c>
      <c r="B576" t="s">
        <v>1131</v>
      </c>
      <c r="C576" t="s">
        <v>36</v>
      </c>
      <c r="D576" t="s">
        <v>36</v>
      </c>
      <c r="E576" t="s">
        <v>36</v>
      </c>
      <c r="F576" t="s">
        <v>36</v>
      </c>
      <c r="G576" s="1">
        <v>43530</v>
      </c>
      <c r="H576" t="s">
        <v>36</v>
      </c>
      <c r="I576" t="s">
        <v>36</v>
      </c>
      <c r="J576" t="s">
        <v>36</v>
      </c>
      <c r="K576" t="s">
        <v>36</v>
      </c>
      <c r="L576" t="s">
        <v>36</v>
      </c>
      <c r="M576" t="s">
        <v>36</v>
      </c>
      <c r="N576" t="s">
        <v>36</v>
      </c>
      <c r="O576" t="s">
        <v>36</v>
      </c>
      <c r="P576" s="1">
        <v>43559</v>
      </c>
      <c r="Q576" t="s">
        <v>36</v>
      </c>
      <c r="R576" t="s">
        <v>36</v>
      </c>
      <c r="S576" t="s">
        <v>36</v>
      </c>
      <c r="T576" s="1">
        <v>43557</v>
      </c>
      <c r="U576" t="s">
        <v>36</v>
      </c>
      <c r="V576" t="s">
        <v>36</v>
      </c>
      <c r="W576" t="s">
        <v>36</v>
      </c>
      <c r="X576" t="s">
        <v>36</v>
      </c>
      <c r="Y576" t="s">
        <v>36</v>
      </c>
      <c r="Z576" t="s">
        <v>36</v>
      </c>
      <c r="AA576" t="s">
        <v>36</v>
      </c>
      <c r="AB576" t="s">
        <v>36</v>
      </c>
      <c r="AC576" t="s">
        <v>36</v>
      </c>
      <c r="AD576" t="s">
        <v>36</v>
      </c>
      <c r="AE576" t="s">
        <v>36</v>
      </c>
      <c r="AF576" s="1">
        <v>43529</v>
      </c>
      <c r="AG576" t="s">
        <v>36</v>
      </c>
      <c r="AH576" t="s">
        <v>36</v>
      </c>
      <c r="AI576" s="1">
        <v>43530</v>
      </c>
      <c r="AJ576" s="1">
        <v>43528</v>
      </c>
    </row>
    <row r="577" spans="1:36" x14ac:dyDescent="0.35">
      <c r="A577">
        <v>4330</v>
      </c>
      <c r="B577" t="s">
        <v>1132</v>
      </c>
      <c r="C577" t="s">
        <v>36</v>
      </c>
      <c r="D577" t="s">
        <v>36</v>
      </c>
      <c r="E577" t="s">
        <v>36</v>
      </c>
      <c r="F577" t="s">
        <v>36</v>
      </c>
      <c r="G577" s="1">
        <v>43530</v>
      </c>
      <c r="H577" t="s">
        <v>36</v>
      </c>
      <c r="I577" t="s">
        <v>36</v>
      </c>
      <c r="J577" t="s">
        <v>36</v>
      </c>
      <c r="K577" t="s">
        <v>36</v>
      </c>
      <c r="L577" t="s">
        <v>36</v>
      </c>
      <c r="M577" t="s">
        <v>36</v>
      </c>
      <c r="N577" t="s">
        <v>36</v>
      </c>
      <c r="O577" t="s">
        <v>36</v>
      </c>
      <c r="P577" s="1">
        <v>43557</v>
      </c>
      <c r="Q577" t="s">
        <v>36</v>
      </c>
      <c r="R577" t="s">
        <v>36</v>
      </c>
      <c r="S577" t="s">
        <v>36</v>
      </c>
      <c r="T577" s="1">
        <v>43557</v>
      </c>
      <c r="U577" t="s">
        <v>36</v>
      </c>
      <c r="V577" t="s">
        <v>36</v>
      </c>
      <c r="W577" t="s">
        <v>36</v>
      </c>
      <c r="X577" t="s">
        <v>36</v>
      </c>
      <c r="Y577" t="s">
        <v>36</v>
      </c>
      <c r="Z577" t="s">
        <v>36</v>
      </c>
      <c r="AA577" t="s">
        <v>36</v>
      </c>
      <c r="AB577" t="s">
        <v>36</v>
      </c>
      <c r="AC577" t="s">
        <v>36</v>
      </c>
      <c r="AD577" t="s">
        <v>36</v>
      </c>
      <c r="AE577" t="s">
        <v>36</v>
      </c>
      <c r="AF577" s="1">
        <v>43529</v>
      </c>
      <c r="AG577" t="s">
        <v>36</v>
      </c>
      <c r="AH577" t="s">
        <v>36</v>
      </c>
      <c r="AI577" s="1">
        <v>43530</v>
      </c>
      <c r="AJ577" s="1">
        <v>43528</v>
      </c>
    </row>
    <row r="578" spans="1:36" x14ac:dyDescent="0.35">
      <c r="A578">
        <v>4331</v>
      </c>
      <c r="B578" t="s">
        <v>1133</v>
      </c>
      <c r="C578" t="s">
        <v>36</v>
      </c>
      <c r="D578" t="s">
        <v>36</v>
      </c>
      <c r="E578" t="s">
        <v>36</v>
      </c>
      <c r="F578" t="s">
        <v>36</v>
      </c>
      <c r="G578" s="1">
        <v>43530</v>
      </c>
      <c r="H578" t="s">
        <v>36</v>
      </c>
      <c r="I578" t="s">
        <v>36</v>
      </c>
      <c r="J578" t="s">
        <v>36</v>
      </c>
      <c r="K578" t="s">
        <v>36</v>
      </c>
      <c r="L578" t="s">
        <v>36</v>
      </c>
      <c r="M578" t="s">
        <v>36</v>
      </c>
      <c r="N578" t="s">
        <v>36</v>
      </c>
      <c r="O578" t="s">
        <v>36</v>
      </c>
      <c r="P578" s="1">
        <v>43557</v>
      </c>
      <c r="Q578" t="s">
        <v>36</v>
      </c>
      <c r="R578" t="s">
        <v>36</v>
      </c>
      <c r="S578" t="s">
        <v>36</v>
      </c>
      <c r="T578" s="1">
        <v>43557</v>
      </c>
      <c r="U578" t="s">
        <v>36</v>
      </c>
      <c r="V578" t="s">
        <v>36</v>
      </c>
      <c r="W578" t="s">
        <v>36</v>
      </c>
      <c r="X578" t="s">
        <v>36</v>
      </c>
      <c r="Y578" t="s">
        <v>36</v>
      </c>
      <c r="Z578" t="s">
        <v>36</v>
      </c>
      <c r="AA578" t="s">
        <v>36</v>
      </c>
      <c r="AB578" t="s">
        <v>36</v>
      </c>
      <c r="AC578" t="s">
        <v>36</v>
      </c>
      <c r="AD578" t="s">
        <v>36</v>
      </c>
      <c r="AE578" t="s">
        <v>36</v>
      </c>
      <c r="AF578" s="1">
        <v>43529</v>
      </c>
      <c r="AG578" t="s">
        <v>36</v>
      </c>
      <c r="AH578" t="s">
        <v>36</v>
      </c>
      <c r="AI578" s="1">
        <v>43530</v>
      </c>
      <c r="AJ578" s="1">
        <v>43528</v>
      </c>
    </row>
    <row r="579" spans="1:36" x14ac:dyDescent="0.35">
      <c r="A579">
        <v>389</v>
      </c>
      <c r="B579" t="s">
        <v>216</v>
      </c>
      <c r="C579" t="s">
        <v>36</v>
      </c>
      <c r="D579" t="s">
        <v>36</v>
      </c>
      <c r="E579" t="s">
        <v>36</v>
      </c>
      <c r="F579" t="s">
        <v>36</v>
      </c>
      <c r="G579" s="1">
        <v>41426</v>
      </c>
      <c r="H579" t="s">
        <v>36</v>
      </c>
      <c r="I579" t="s">
        <v>36</v>
      </c>
      <c r="J579" t="s">
        <v>36</v>
      </c>
      <c r="K579" t="s">
        <v>36</v>
      </c>
      <c r="L579" t="s">
        <v>36</v>
      </c>
      <c r="M579" t="s">
        <v>36</v>
      </c>
      <c r="N579" t="s">
        <v>36</v>
      </c>
      <c r="O579" t="s">
        <v>36</v>
      </c>
      <c r="P579" s="1">
        <v>43059.576388888891</v>
      </c>
      <c r="Q579" t="s">
        <v>36</v>
      </c>
      <c r="R579" t="s">
        <v>36</v>
      </c>
      <c r="S579" t="s">
        <v>36</v>
      </c>
      <c r="T579" s="1">
        <v>42528.291666666664</v>
      </c>
      <c r="U579" t="s">
        <v>36</v>
      </c>
      <c r="V579" t="s">
        <v>36</v>
      </c>
      <c r="W579" t="s">
        <v>36</v>
      </c>
      <c r="X579" t="s">
        <v>36</v>
      </c>
      <c r="Y579" t="s">
        <v>36</v>
      </c>
      <c r="Z579" t="s">
        <v>36</v>
      </c>
      <c r="AA579" t="s">
        <v>36</v>
      </c>
      <c r="AB579" t="s">
        <v>36</v>
      </c>
      <c r="AC579" t="s">
        <v>36</v>
      </c>
      <c r="AD579" t="s">
        <v>36</v>
      </c>
      <c r="AE579" t="s">
        <v>36</v>
      </c>
      <c r="AF579" s="1">
        <v>42058.680555555555</v>
      </c>
      <c r="AG579" s="32">
        <v>43040</v>
      </c>
      <c r="AH579" t="s">
        <v>36</v>
      </c>
      <c r="AI579" s="1">
        <v>41426</v>
      </c>
      <c r="AJ579" s="1">
        <v>43059.576388888891</v>
      </c>
    </row>
    <row r="580" spans="1:36" x14ac:dyDescent="0.35">
      <c r="A580">
        <v>4332</v>
      </c>
      <c r="B580" t="s">
        <v>1134</v>
      </c>
      <c r="C580" t="s">
        <v>36</v>
      </c>
      <c r="D580" t="s">
        <v>36</v>
      </c>
      <c r="E580" t="s">
        <v>36</v>
      </c>
      <c r="F580" t="s">
        <v>36</v>
      </c>
      <c r="G580" s="1">
        <v>43530</v>
      </c>
      <c r="H580" t="s">
        <v>36</v>
      </c>
      <c r="I580" t="s">
        <v>36</v>
      </c>
      <c r="J580" t="s">
        <v>36</v>
      </c>
      <c r="K580" t="s">
        <v>36</v>
      </c>
      <c r="L580" t="s">
        <v>36</v>
      </c>
      <c r="M580" t="s">
        <v>36</v>
      </c>
      <c r="N580" t="s">
        <v>36</v>
      </c>
      <c r="O580" t="s">
        <v>36</v>
      </c>
      <c r="P580" s="1">
        <v>43559</v>
      </c>
      <c r="Q580" t="s">
        <v>36</v>
      </c>
      <c r="R580" t="s">
        <v>36</v>
      </c>
      <c r="S580" t="s">
        <v>36</v>
      </c>
      <c r="T580" s="1">
        <v>43557</v>
      </c>
      <c r="U580" t="s">
        <v>36</v>
      </c>
      <c r="V580" t="s">
        <v>36</v>
      </c>
      <c r="W580" t="s">
        <v>36</v>
      </c>
      <c r="X580" t="s">
        <v>36</v>
      </c>
      <c r="Y580" t="s">
        <v>36</v>
      </c>
      <c r="Z580" t="s">
        <v>36</v>
      </c>
      <c r="AA580" t="s">
        <v>36</v>
      </c>
      <c r="AB580" t="s">
        <v>36</v>
      </c>
      <c r="AC580" t="s">
        <v>36</v>
      </c>
      <c r="AD580" t="s">
        <v>36</v>
      </c>
      <c r="AE580" t="s">
        <v>36</v>
      </c>
      <c r="AF580" s="1">
        <v>43529</v>
      </c>
      <c r="AG580" t="s">
        <v>36</v>
      </c>
      <c r="AH580" t="s">
        <v>36</v>
      </c>
      <c r="AI580" s="1">
        <v>43530</v>
      </c>
      <c r="AJ580" s="1">
        <v>43528</v>
      </c>
    </row>
    <row r="581" spans="1:36" x14ac:dyDescent="0.35">
      <c r="A581">
        <v>4333</v>
      </c>
      <c r="B581" t="s">
        <v>1135</v>
      </c>
      <c r="C581" t="s">
        <v>36</v>
      </c>
      <c r="D581" t="s">
        <v>36</v>
      </c>
      <c r="E581" t="s">
        <v>36</v>
      </c>
      <c r="F581" t="s">
        <v>36</v>
      </c>
      <c r="G581" s="1">
        <v>43530</v>
      </c>
      <c r="H581" t="s">
        <v>36</v>
      </c>
      <c r="I581" t="s">
        <v>36</v>
      </c>
      <c r="J581" t="s">
        <v>36</v>
      </c>
      <c r="K581" t="s">
        <v>36</v>
      </c>
      <c r="L581" t="s">
        <v>36</v>
      </c>
      <c r="M581" t="s">
        <v>36</v>
      </c>
      <c r="N581" t="s">
        <v>36</v>
      </c>
      <c r="O581" t="s">
        <v>36</v>
      </c>
      <c r="P581" s="1">
        <v>43557</v>
      </c>
      <c r="Q581" t="s">
        <v>36</v>
      </c>
      <c r="R581" t="s">
        <v>36</v>
      </c>
      <c r="S581" t="s">
        <v>36</v>
      </c>
      <c r="T581" s="1">
        <v>43557</v>
      </c>
      <c r="U581" t="s">
        <v>36</v>
      </c>
      <c r="V581" t="s">
        <v>36</v>
      </c>
      <c r="W581" t="s">
        <v>36</v>
      </c>
      <c r="X581" t="s">
        <v>36</v>
      </c>
      <c r="Y581" t="s">
        <v>36</v>
      </c>
      <c r="Z581" t="s">
        <v>36</v>
      </c>
      <c r="AA581" t="s">
        <v>36</v>
      </c>
      <c r="AB581" t="s">
        <v>36</v>
      </c>
      <c r="AC581" t="s">
        <v>36</v>
      </c>
      <c r="AD581" t="s">
        <v>36</v>
      </c>
      <c r="AE581" t="s">
        <v>36</v>
      </c>
      <c r="AF581" s="1">
        <v>43529</v>
      </c>
      <c r="AG581" t="s">
        <v>36</v>
      </c>
      <c r="AH581" t="s">
        <v>36</v>
      </c>
      <c r="AI581" s="1">
        <v>43530</v>
      </c>
      <c r="AJ581" s="1">
        <v>43528</v>
      </c>
    </row>
    <row r="582" spans="1:36" x14ac:dyDescent="0.35">
      <c r="A582">
        <v>4334</v>
      </c>
      <c r="B582" t="s">
        <v>1136</v>
      </c>
      <c r="C582" t="s">
        <v>36</v>
      </c>
      <c r="D582" t="s">
        <v>36</v>
      </c>
      <c r="E582" t="s">
        <v>36</v>
      </c>
      <c r="F582" t="s">
        <v>36</v>
      </c>
      <c r="G582" s="1">
        <v>43530</v>
      </c>
      <c r="H582" t="s">
        <v>36</v>
      </c>
      <c r="I582" t="s">
        <v>36</v>
      </c>
      <c r="J582" t="s">
        <v>36</v>
      </c>
      <c r="K582" t="s">
        <v>36</v>
      </c>
      <c r="L582" t="s">
        <v>36</v>
      </c>
      <c r="M582" t="s">
        <v>36</v>
      </c>
      <c r="N582" t="s">
        <v>36</v>
      </c>
      <c r="O582" t="s">
        <v>36</v>
      </c>
      <c r="P582" s="1">
        <v>43557</v>
      </c>
      <c r="Q582" t="s">
        <v>36</v>
      </c>
      <c r="R582" t="s">
        <v>36</v>
      </c>
      <c r="S582" t="s">
        <v>36</v>
      </c>
      <c r="T582" s="1">
        <v>43557</v>
      </c>
      <c r="U582" t="s">
        <v>36</v>
      </c>
      <c r="V582" t="s">
        <v>36</v>
      </c>
      <c r="W582" t="s">
        <v>36</v>
      </c>
      <c r="X582" t="s">
        <v>36</v>
      </c>
      <c r="Y582" t="s">
        <v>36</v>
      </c>
      <c r="Z582" t="s">
        <v>36</v>
      </c>
      <c r="AA582" t="s">
        <v>36</v>
      </c>
      <c r="AB582" t="s">
        <v>36</v>
      </c>
      <c r="AC582" t="s">
        <v>36</v>
      </c>
      <c r="AD582" t="s">
        <v>36</v>
      </c>
      <c r="AE582" t="s">
        <v>36</v>
      </c>
      <c r="AF582" s="1">
        <v>43529</v>
      </c>
      <c r="AG582" t="s">
        <v>36</v>
      </c>
      <c r="AH582" t="s">
        <v>36</v>
      </c>
      <c r="AI582" s="1">
        <v>43530</v>
      </c>
      <c r="AJ582" s="1">
        <v>43528</v>
      </c>
    </row>
    <row r="583" spans="1:36" x14ac:dyDescent="0.35">
      <c r="A583">
        <v>256</v>
      </c>
      <c r="B583" t="s">
        <v>161</v>
      </c>
      <c r="C583" t="s">
        <v>36</v>
      </c>
      <c r="D583" t="s">
        <v>36</v>
      </c>
      <c r="E583" t="s">
        <v>36</v>
      </c>
      <c r="F583" t="s">
        <v>36</v>
      </c>
      <c r="G583" t="s">
        <v>36</v>
      </c>
      <c r="H583" t="s">
        <v>36</v>
      </c>
      <c r="I583" t="s">
        <v>36</v>
      </c>
      <c r="J583" t="s">
        <v>36</v>
      </c>
      <c r="K583" t="s">
        <v>36</v>
      </c>
      <c r="L583" t="s">
        <v>36</v>
      </c>
      <c r="M583" t="s">
        <v>36</v>
      </c>
      <c r="N583" t="s">
        <v>36</v>
      </c>
      <c r="O583" t="s">
        <v>36</v>
      </c>
      <c r="P583" t="s">
        <v>36</v>
      </c>
      <c r="Q583" t="s">
        <v>36</v>
      </c>
      <c r="R583" t="s">
        <v>36</v>
      </c>
      <c r="S583" t="s">
        <v>36</v>
      </c>
      <c r="T583" t="s">
        <v>36</v>
      </c>
      <c r="U583" t="s">
        <v>36</v>
      </c>
      <c r="V583" t="s">
        <v>36</v>
      </c>
      <c r="W583" t="s">
        <v>36</v>
      </c>
      <c r="X583" t="s">
        <v>36</v>
      </c>
      <c r="Y583" t="s">
        <v>36</v>
      </c>
      <c r="Z583" t="s">
        <v>36</v>
      </c>
      <c r="AA583" t="s">
        <v>36</v>
      </c>
      <c r="AB583" t="s">
        <v>36</v>
      </c>
      <c r="AC583" t="s">
        <v>36</v>
      </c>
      <c r="AD583" t="s">
        <v>36</v>
      </c>
      <c r="AE583" t="s">
        <v>36</v>
      </c>
      <c r="AF583" t="s">
        <v>36</v>
      </c>
      <c r="AG583" s="32">
        <v>43040</v>
      </c>
      <c r="AH583" t="s">
        <v>36</v>
      </c>
      <c r="AI583" t="s">
        <v>36</v>
      </c>
      <c r="AJ583" t="s">
        <v>36</v>
      </c>
    </row>
    <row r="584" spans="1:36" x14ac:dyDescent="0.35">
      <c r="A584">
        <v>393</v>
      </c>
      <c r="B584" t="s">
        <v>220</v>
      </c>
      <c r="C584" t="s">
        <v>36</v>
      </c>
      <c r="D584" t="s">
        <v>36</v>
      </c>
      <c r="E584" t="s">
        <v>36</v>
      </c>
      <c r="F584" t="s">
        <v>36</v>
      </c>
      <c r="G584" t="s">
        <v>36</v>
      </c>
      <c r="H584" t="s">
        <v>36</v>
      </c>
      <c r="I584" t="s">
        <v>36</v>
      </c>
      <c r="J584" t="s">
        <v>36</v>
      </c>
      <c r="K584" t="s">
        <v>36</v>
      </c>
      <c r="L584" t="s">
        <v>36</v>
      </c>
      <c r="M584" t="s">
        <v>36</v>
      </c>
      <c r="N584" t="s">
        <v>36</v>
      </c>
      <c r="O584" t="s">
        <v>36</v>
      </c>
      <c r="P584" t="s">
        <v>36</v>
      </c>
      <c r="Q584" t="s">
        <v>36</v>
      </c>
      <c r="R584" t="s">
        <v>36</v>
      </c>
      <c r="S584" t="s">
        <v>36</v>
      </c>
      <c r="T584" t="s">
        <v>36</v>
      </c>
      <c r="U584" t="s">
        <v>36</v>
      </c>
      <c r="V584" t="s">
        <v>36</v>
      </c>
      <c r="W584" t="s">
        <v>36</v>
      </c>
      <c r="X584" t="s">
        <v>36</v>
      </c>
      <c r="Y584" t="s">
        <v>36</v>
      </c>
      <c r="Z584" t="s">
        <v>36</v>
      </c>
      <c r="AA584" t="s">
        <v>36</v>
      </c>
      <c r="AB584" t="s">
        <v>36</v>
      </c>
      <c r="AC584" t="s">
        <v>36</v>
      </c>
      <c r="AD584" t="s">
        <v>36</v>
      </c>
      <c r="AE584" t="s">
        <v>36</v>
      </c>
      <c r="AF584" t="s">
        <v>36</v>
      </c>
      <c r="AG584" s="32">
        <v>43040</v>
      </c>
      <c r="AH584" t="s">
        <v>36</v>
      </c>
      <c r="AI584" t="s">
        <v>36</v>
      </c>
      <c r="AJ584" t="s">
        <v>36</v>
      </c>
    </row>
    <row r="585" spans="1:36" x14ac:dyDescent="0.35">
      <c r="A585">
        <v>942</v>
      </c>
      <c r="B585" t="s">
        <v>878</v>
      </c>
      <c r="C585" t="s">
        <v>36</v>
      </c>
      <c r="D585" t="s">
        <v>36</v>
      </c>
      <c r="E585" t="s">
        <v>36</v>
      </c>
      <c r="F585" t="s">
        <v>36</v>
      </c>
      <c r="G585" t="s">
        <v>36</v>
      </c>
      <c r="H585" t="s">
        <v>36</v>
      </c>
      <c r="I585" t="s">
        <v>36</v>
      </c>
      <c r="J585" t="s">
        <v>36</v>
      </c>
      <c r="K585" t="s">
        <v>36</v>
      </c>
      <c r="L585" t="s">
        <v>36</v>
      </c>
      <c r="M585" t="s">
        <v>36</v>
      </c>
      <c r="N585" t="s">
        <v>36</v>
      </c>
      <c r="O585" t="s">
        <v>36</v>
      </c>
      <c r="P585" t="s">
        <v>36</v>
      </c>
      <c r="Q585" t="s">
        <v>36</v>
      </c>
      <c r="R585" t="s">
        <v>36</v>
      </c>
      <c r="S585" t="s">
        <v>36</v>
      </c>
      <c r="T585" t="s">
        <v>36</v>
      </c>
      <c r="U585" t="s">
        <v>36</v>
      </c>
      <c r="V585" t="s">
        <v>36</v>
      </c>
      <c r="W585" t="s">
        <v>36</v>
      </c>
      <c r="X585" t="s">
        <v>36</v>
      </c>
      <c r="Y585" t="s">
        <v>36</v>
      </c>
      <c r="Z585" t="s">
        <v>36</v>
      </c>
      <c r="AA585" t="s">
        <v>36</v>
      </c>
      <c r="AB585" t="s">
        <v>36</v>
      </c>
      <c r="AC585" t="s">
        <v>36</v>
      </c>
      <c r="AD585" t="s">
        <v>36</v>
      </c>
      <c r="AE585" t="s">
        <v>36</v>
      </c>
      <c r="AF585" t="s">
        <v>36</v>
      </c>
      <c r="AG585" t="s">
        <v>36</v>
      </c>
      <c r="AH585" t="s">
        <v>36</v>
      </c>
      <c r="AI585" t="s">
        <v>36</v>
      </c>
      <c r="AJ585" t="s">
        <v>36</v>
      </c>
    </row>
    <row r="586" spans="1:36" x14ac:dyDescent="0.35">
      <c r="A586">
        <v>943</v>
      </c>
      <c r="B586" t="s">
        <v>879</v>
      </c>
      <c r="C586" t="s">
        <v>36</v>
      </c>
      <c r="D586" t="s">
        <v>36</v>
      </c>
      <c r="E586" t="s">
        <v>36</v>
      </c>
      <c r="F586" t="s">
        <v>36</v>
      </c>
      <c r="G586" t="s">
        <v>36</v>
      </c>
      <c r="H586" t="s">
        <v>36</v>
      </c>
      <c r="I586" t="s">
        <v>36</v>
      </c>
      <c r="J586" t="s">
        <v>36</v>
      </c>
      <c r="K586" t="s">
        <v>36</v>
      </c>
      <c r="L586" t="s">
        <v>36</v>
      </c>
      <c r="M586" t="s">
        <v>36</v>
      </c>
      <c r="N586" t="s">
        <v>36</v>
      </c>
      <c r="O586" t="s">
        <v>36</v>
      </c>
      <c r="P586" t="s">
        <v>36</v>
      </c>
      <c r="Q586" t="s">
        <v>36</v>
      </c>
      <c r="R586" t="s">
        <v>36</v>
      </c>
      <c r="S586" t="s">
        <v>36</v>
      </c>
      <c r="T586" t="s">
        <v>36</v>
      </c>
      <c r="U586" t="s">
        <v>36</v>
      </c>
      <c r="V586" t="s">
        <v>36</v>
      </c>
      <c r="W586" t="s">
        <v>36</v>
      </c>
      <c r="X586" t="s">
        <v>36</v>
      </c>
      <c r="Y586" t="s">
        <v>36</v>
      </c>
      <c r="Z586" t="s">
        <v>36</v>
      </c>
      <c r="AA586" t="s">
        <v>36</v>
      </c>
      <c r="AB586" t="s">
        <v>36</v>
      </c>
      <c r="AC586" t="s">
        <v>36</v>
      </c>
      <c r="AD586" t="s">
        <v>36</v>
      </c>
      <c r="AE586" t="s">
        <v>36</v>
      </c>
      <c r="AF586" t="s">
        <v>36</v>
      </c>
      <c r="AG586" t="s">
        <v>36</v>
      </c>
      <c r="AH586" t="s">
        <v>36</v>
      </c>
      <c r="AI586" t="s">
        <v>36</v>
      </c>
      <c r="AJ586" t="s">
        <v>36</v>
      </c>
    </row>
    <row r="587" spans="1:36" x14ac:dyDescent="0.35">
      <c r="A587">
        <v>944</v>
      </c>
      <c r="B587" t="s">
        <v>880</v>
      </c>
      <c r="C587" t="s">
        <v>36</v>
      </c>
      <c r="D587" t="s">
        <v>36</v>
      </c>
      <c r="E587" t="s">
        <v>36</v>
      </c>
      <c r="F587" t="s">
        <v>36</v>
      </c>
      <c r="G587" t="s">
        <v>36</v>
      </c>
      <c r="H587" t="s">
        <v>36</v>
      </c>
      <c r="I587" t="s">
        <v>36</v>
      </c>
      <c r="J587" t="s">
        <v>36</v>
      </c>
      <c r="K587" t="s">
        <v>36</v>
      </c>
      <c r="L587" t="s">
        <v>36</v>
      </c>
      <c r="M587" t="s">
        <v>36</v>
      </c>
      <c r="N587" t="s">
        <v>36</v>
      </c>
      <c r="O587" t="s">
        <v>36</v>
      </c>
      <c r="P587" t="s">
        <v>36</v>
      </c>
      <c r="Q587" t="s">
        <v>36</v>
      </c>
      <c r="R587" t="s">
        <v>36</v>
      </c>
      <c r="S587" t="s">
        <v>36</v>
      </c>
      <c r="T587" t="s">
        <v>36</v>
      </c>
      <c r="U587" t="s">
        <v>36</v>
      </c>
      <c r="V587" t="s">
        <v>36</v>
      </c>
      <c r="W587" t="s">
        <v>36</v>
      </c>
      <c r="X587" t="s">
        <v>36</v>
      </c>
      <c r="Y587" t="s">
        <v>36</v>
      </c>
      <c r="Z587" t="s">
        <v>36</v>
      </c>
      <c r="AA587" t="s">
        <v>36</v>
      </c>
      <c r="AB587" t="s">
        <v>36</v>
      </c>
      <c r="AC587" t="s">
        <v>36</v>
      </c>
      <c r="AD587" t="s">
        <v>36</v>
      </c>
      <c r="AE587" t="s">
        <v>36</v>
      </c>
      <c r="AF587" t="s">
        <v>36</v>
      </c>
      <c r="AG587" t="s">
        <v>36</v>
      </c>
      <c r="AH587" t="s">
        <v>36</v>
      </c>
      <c r="AI587" t="s">
        <v>36</v>
      </c>
      <c r="AJ587" t="s">
        <v>36</v>
      </c>
    </row>
    <row r="588" spans="1:36" x14ac:dyDescent="0.35">
      <c r="A588">
        <v>258</v>
      </c>
      <c r="B588" t="s">
        <v>162</v>
      </c>
      <c r="C588" t="s">
        <v>36</v>
      </c>
      <c r="D588" t="s">
        <v>36</v>
      </c>
      <c r="E588" t="s">
        <v>36</v>
      </c>
      <c r="F588" t="s">
        <v>36</v>
      </c>
      <c r="G588" s="1">
        <v>42482.388888888891</v>
      </c>
      <c r="H588" t="s">
        <v>36</v>
      </c>
      <c r="I588" t="s">
        <v>36</v>
      </c>
      <c r="J588" t="s">
        <v>36</v>
      </c>
      <c r="K588" t="s">
        <v>36</v>
      </c>
      <c r="L588" t="s">
        <v>36</v>
      </c>
      <c r="M588" t="s">
        <v>36</v>
      </c>
      <c r="N588" t="s">
        <v>36</v>
      </c>
      <c r="O588" t="s">
        <v>36</v>
      </c>
      <c r="P588" s="1">
        <v>43059.576388888891</v>
      </c>
      <c r="Q588" t="s">
        <v>36</v>
      </c>
      <c r="R588" t="s">
        <v>36</v>
      </c>
      <c r="S588" t="s">
        <v>36</v>
      </c>
      <c r="T588" s="1">
        <v>42555.659722222219</v>
      </c>
      <c r="U588" t="s">
        <v>36</v>
      </c>
      <c r="V588" t="s">
        <v>36</v>
      </c>
      <c r="W588" t="s">
        <v>36</v>
      </c>
      <c r="X588" t="s">
        <v>36</v>
      </c>
      <c r="Y588" t="s">
        <v>36</v>
      </c>
      <c r="Z588" t="s">
        <v>36</v>
      </c>
      <c r="AA588" t="s">
        <v>36</v>
      </c>
      <c r="AB588" t="s">
        <v>36</v>
      </c>
      <c r="AC588" t="s">
        <v>36</v>
      </c>
      <c r="AD588" t="s">
        <v>36</v>
      </c>
      <c r="AE588" t="s">
        <v>36</v>
      </c>
      <c r="AF588" s="1">
        <v>42492.493055555555</v>
      </c>
      <c r="AG588" t="s">
        <v>36</v>
      </c>
      <c r="AH588" t="s">
        <v>36</v>
      </c>
      <c r="AI588" s="1">
        <v>42492.895833333336</v>
      </c>
      <c r="AJ588" s="1">
        <v>43059.576388888891</v>
      </c>
    </row>
    <row r="589" spans="1:36" x14ac:dyDescent="0.35">
      <c r="A589">
        <v>4335</v>
      </c>
      <c r="B589" t="s">
        <v>1137</v>
      </c>
      <c r="C589" t="s">
        <v>36</v>
      </c>
      <c r="D589" t="s">
        <v>36</v>
      </c>
      <c r="E589" t="s">
        <v>36</v>
      </c>
      <c r="F589" t="s">
        <v>36</v>
      </c>
      <c r="G589" s="1">
        <v>43856.506944444445</v>
      </c>
      <c r="H589" t="s">
        <v>36</v>
      </c>
      <c r="I589" t="s">
        <v>36</v>
      </c>
      <c r="J589" t="s">
        <v>36</v>
      </c>
      <c r="K589" t="s">
        <v>36</v>
      </c>
      <c r="L589" t="s">
        <v>36</v>
      </c>
      <c r="M589" t="s">
        <v>36</v>
      </c>
      <c r="N589" t="s">
        <v>36</v>
      </c>
      <c r="O589" t="s">
        <v>36</v>
      </c>
      <c r="P589" s="1">
        <v>43856.506944444445</v>
      </c>
      <c r="Q589" t="s">
        <v>36</v>
      </c>
      <c r="R589" t="s">
        <v>36</v>
      </c>
      <c r="S589" t="s">
        <v>36</v>
      </c>
      <c r="T589" s="1">
        <v>43856.506944444445</v>
      </c>
      <c r="U589" t="s">
        <v>36</v>
      </c>
      <c r="V589" t="s">
        <v>36</v>
      </c>
      <c r="W589" t="s">
        <v>36</v>
      </c>
      <c r="X589" t="s">
        <v>36</v>
      </c>
      <c r="Y589" t="s">
        <v>36</v>
      </c>
      <c r="Z589" t="s">
        <v>36</v>
      </c>
      <c r="AA589" t="s">
        <v>36</v>
      </c>
      <c r="AB589" t="s">
        <v>36</v>
      </c>
      <c r="AC589" t="s">
        <v>36</v>
      </c>
      <c r="AD589" t="s">
        <v>36</v>
      </c>
      <c r="AE589" t="s">
        <v>36</v>
      </c>
      <c r="AF589" s="1">
        <v>43856.506944444445</v>
      </c>
      <c r="AG589" t="s">
        <v>36</v>
      </c>
      <c r="AH589" t="s">
        <v>36</v>
      </c>
      <c r="AI589" s="1">
        <v>43856.506944444445</v>
      </c>
      <c r="AJ589" s="1">
        <v>43856.506944444445</v>
      </c>
    </row>
    <row r="590" spans="1:36" x14ac:dyDescent="0.35">
      <c r="A590">
        <v>4336</v>
      </c>
      <c r="B590" t="s">
        <v>1138</v>
      </c>
      <c r="C590" t="s">
        <v>36</v>
      </c>
      <c r="D590" t="s">
        <v>36</v>
      </c>
      <c r="E590" t="s">
        <v>36</v>
      </c>
      <c r="F590" t="s">
        <v>36</v>
      </c>
      <c r="G590" s="1">
        <v>43856.506944444445</v>
      </c>
      <c r="H590" t="s">
        <v>36</v>
      </c>
      <c r="I590" t="s">
        <v>36</v>
      </c>
      <c r="J590" t="s">
        <v>36</v>
      </c>
      <c r="K590" t="s">
        <v>36</v>
      </c>
      <c r="L590" t="s">
        <v>36</v>
      </c>
      <c r="M590" t="s">
        <v>36</v>
      </c>
      <c r="N590" t="s">
        <v>36</v>
      </c>
      <c r="O590" t="s">
        <v>36</v>
      </c>
      <c r="P590" s="1">
        <v>43856.506944444445</v>
      </c>
      <c r="Q590" t="s">
        <v>36</v>
      </c>
      <c r="R590" t="s">
        <v>36</v>
      </c>
      <c r="S590" t="s">
        <v>36</v>
      </c>
      <c r="T590" s="1">
        <v>43856.506944444445</v>
      </c>
      <c r="U590" t="s">
        <v>36</v>
      </c>
      <c r="V590" t="s">
        <v>36</v>
      </c>
      <c r="W590" t="s">
        <v>36</v>
      </c>
      <c r="X590" t="s">
        <v>36</v>
      </c>
      <c r="Y590" t="s">
        <v>36</v>
      </c>
      <c r="Z590" t="s">
        <v>36</v>
      </c>
      <c r="AA590" t="s">
        <v>36</v>
      </c>
      <c r="AB590" t="s">
        <v>36</v>
      </c>
      <c r="AC590" t="s">
        <v>36</v>
      </c>
      <c r="AD590" t="s">
        <v>36</v>
      </c>
      <c r="AE590" t="s">
        <v>36</v>
      </c>
      <c r="AF590" s="1">
        <v>43856.506944444445</v>
      </c>
      <c r="AG590" t="s">
        <v>36</v>
      </c>
      <c r="AH590" t="s">
        <v>36</v>
      </c>
      <c r="AI590" s="1">
        <v>43856.506944444445</v>
      </c>
      <c r="AJ590" s="1">
        <v>43856.506944444445</v>
      </c>
    </row>
    <row r="591" spans="1:36" x14ac:dyDescent="0.35">
      <c r="A591">
        <v>4337</v>
      </c>
      <c r="B591" t="s">
        <v>1139</v>
      </c>
      <c r="C591" t="s">
        <v>36</v>
      </c>
      <c r="D591" t="s">
        <v>36</v>
      </c>
      <c r="E591" t="s">
        <v>36</v>
      </c>
      <c r="F591" t="s">
        <v>36</v>
      </c>
      <c r="G591" s="1">
        <v>43856.506944444445</v>
      </c>
      <c r="H591" t="s">
        <v>36</v>
      </c>
      <c r="I591" t="s">
        <v>36</v>
      </c>
      <c r="J591" t="s">
        <v>36</v>
      </c>
      <c r="K591" t="s">
        <v>36</v>
      </c>
      <c r="L591" t="s">
        <v>36</v>
      </c>
      <c r="M591" t="s">
        <v>36</v>
      </c>
      <c r="N591" t="s">
        <v>36</v>
      </c>
      <c r="O591" t="s">
        <v>36</v>
      </c>
      <c r="P591" s="1">
        <v>43856.506944444445</v>
      </c>
      <c r="Q591" t="s">
        <v>36</v>
      </c>
      <c r="R591" t="s">
        <v>36</v>
      </c>
      <c r="S591" t="s">
        <v>36</v>
      </c>
      <c r="T591" s="1">
        <v>43856.506944444445</v>
      </c>
      <c r="U591" t="s">
        <v>36</v>
      </c>
      <c r="V591" t="s">
        <v>36</v>
      </c>
      <c r="W591" t="s">
        <v>36</v>
      </c>
      <c r="X591" t="s">
        <v>36</v>
      </c>
      <c r="Y591" t="s">
        <v>36</v>
      </c>
      <c r="Z591" t="s">
        <v>36</v>
      </c>
      <c r="AA591" t="s">
        <v>36</v>
      </c>
      <c r="AB591" t="s">
        <v>36</v>
      </c>
      <c r="AC591" t="s">
        <v>36</v>
      </c>
      <c r="AD591" t="s">
        <v>36</v>
      </c>
      <c r="AE591" t="s">
        <v>36</v>
      </c>
      <c r="AF591" s="1">
        <v>43856.506944444445</v>
      </c>
      <c r="AG591" t="s">
        <v>36</v>
      </c>
      <c r="AH591" t="s">
        <v>36</v>
      </c>
      <c r="AI591" s="1">
        <v>43856.506944444445</v>
      </c>
      <c r="AJ591" s="1">
        <v>43856.506944444445</v>
      </c>
    </row>
    <row r="592" spans="1:36" x14ac:dyDescent="0.35">
      <c r="A592">
        <v>260</v>
      </c>
      <c r="B592" t="s">
        <v>163</v>
      </c>
      <c r="C592" s="1">
        <v>42528.291666666664</v>
      </c>
      <c r="D592" t="s">
        <v>36</v>
      </c>
      <c r="E592" t="s">
        <v>36</v>
      </c>
      <c r="F592" t="s">
        <v>36</v>
      </c>
      <c r="G592" t="s">
        <v>36</v>
      </c>
      <c r="H592" t="s">
        <v>36</v>
      </c>
      <c r="I592" t="s">
        <v>36</v>
      </c>
      <c r="J592" t="s">
        <v>36</v>
      </c>
      <c r="K592" s="1">
        <v>42528.291666666664</v>
      </c>
      <c r="L592" t="s">
        <v>36</v>
      </c>
      <c r="M592" t="s">
        <v>36</v>
      </c>
      <c r="N592" t="s">
        <v>36</v>
      </c>
      <c r="O592" t="s">
        <v>36</v>
      </c>
      <c r="P592" t="s">
        <v>36</v>
      </c>
      <c r="Q592" t="s">
        <v>36</v>
      </c>
      <c r="R592" t="s">
        <v>36</v>
      </c>
      <c r="S592" t="s">
        <v>36</v>
      </c>
      <c r="T592" t="s">
        <v>36</v>
      </c>
      <c r="U592" t="s">
        <v>36</v>
      </c>
      <c r="V592" s="1">
        <v>42473.520833333336</v>
      </c>
      <c r="W592" t="s">
        <v>36</v>
      </c>
      <c r="X592" t="s">
        <v>36</v>
      </c>
      <c r="Y592" t="s">
        <v>36</v>
      </c>
      <c r="Z592" s="1">
        <v>42648.458333333336</v>
      </c>
      <c r="AA592" t="s">
        <v>36</v>
      </c>
      <c r="AB592" t="s">
        <v>36</v>
      </c>
      <c r="AC592" s="1">
        <v>42485.743055555555</v>
      </c>
      <c r="AD592" s="1">
        <v>43009</v>
      </c>
      <c r="AE592" t="s">
        <v>36</v>
      </c>
      <c r="AF592" t="s">
        <v>36</v>
      </c>
      <c r="AG592" t="s">
        <v>36</v>
      </c>
      <c r="AH592" t="s">
        <v>36</v>
      </c>
      <c r="AI592" t="s">
        <v>36</v>
      </c>
      <c r="AJ592" t="s">
        <v>36</v>
      </c>
    </row>
    <row r="593" spans="1:36" x14ac:dyDescent="0.35">
      <c r="A593">
        <v>383</v>
      </c>
      <c r="B593" t="s">
        <v>212</v>
      </c>
      <c r="C593" t="s">
        <v>36</v>
      </c>
      <c r="D593" t="s">
        <v>36</v>
      </c>
      <c r="E593" t="s">
        <v>36</v>
      </c>
      <c r="F593" t="s">
        <v>36</v>
      </c>
      <c r="G593" t="s">
        <v>36</v>
      </c>
      <c r="H593" t="s">
        <v>36</v>
      </c>
      <c r="I593" t="s">
        <v>36</v>
      </c>
      <c r="J593" t="s">
        <v>36</v>
      </c>
      <c r="K593" t="s">
        <v>36</v>
      </c>
      <c r="L593" t="s">
        <v>36</v>
      </c>
      <c r="M593" t="s">
        <v>36</v>
      </c>
      <c r="N593" t="s">
        <v>36</v>
      </c>
      <c r="O593" t="s">
        <v>36</v>
      </c>
      <c r="P593" t="s">
        <v>36</v>
      </c>
      <c r="Q593" t="s">
        <v>36</v>
      </c>
      <c r="R593" t="s">
        <v>36</v>
      </c>
      <c r="S593" t="s">
        <v>36</v>
      </c>
      <c r="T593" t="s">
        <v>36</v>
      </c>
      <c r="U593" t="s">
        <v>36</v>
      </c>
      <c r="V593" t="s">
        <v>36</v>
      </c>
      <c r="W593" t="s">
        <v>36</v>
      </c>
      <c r="X593" t="s">
        <v>36</v>
      </c>
      <c r="Y593" t="s">
        <v>36</v>
      </c>
      <c r="Z593" t="s">
        <v>36</v>
      </c>
      <c r="AA593" t="s">
        <v>36</v>
      </c>
      <c r="AB593" t="s">
        <v>36</v>
      </c>
      <c r="AC593" t="s">
        <v>36</v>
      </c>
      <c r="AD593" t="s">
        <v>36</v>
      </c>
      <c r="AE593" t="s">
        <v>36</v>
      </c>
      <c r="AF593" t="s">
        <v>36</v>
      </c>
      <c r="AG593" s="32">
        <v>43040</v>
      </c>
      <c r="AH593" t="s">
        <v>36</v>
      </c>
      <c r="AI593" t="s">
        <v>36</v>
      </c>
      <c r="AJ593" t="s">
        <v>36</v>
      </c>
    </row>
    <row r="594" spans="1:36" x14ac:dyDescent="0.35">
      <c r="A594">
        <v>384</v>
      </c>
      <c r="B594" t="s">
        <v>213</v>
      </c>
      <c r="C594" t="s">
        <v>36</v>
      </c>
      <c r="D594" t="s">
        <v>36</v>
      </c>
      <c r="E594" t="s">
        <v>36</v>
      </c>
      <c r="F594" t="s">
        <v>36</v>
      </c>
      <c r="G594" t="s">
        <v>36</v>
      </c>
      <c r="H594" t="s">
        <v>36</v>
      </c>
      <c r="I594" t="s">
        <v>36</v>
      </c>
      <c r="J594" t="s">
        <v>36</v>
      </c>
      <c r="K594" t="s">
        <v>36</v>
      </c>
      <c r="L594" t="s">
        <v>36</v>
      </c>
      <c r="M594" t="s">
        <v>36</v>
      </c>
      <c r="N594" t="s">
        <v>36</v>
      </c>
      <c r="O594" t="s">
        <v>36</v>
      </c>
      <c r="P594" t="s">
        <v>36</v>
      </c>
      <c r="Q594" t="s">
        <v>36</v>
      </c>
      <c r="R594" t="s">
        <v>36</v>
      </c>
      <c r="S594" t="s">
        <v>36</v>
      </c>
      <c r="T594" t="s">
        <v>36</v>
      </c>
      <c r="U594" t="s">
        <v>36</v>
      </c>
      <c r="V594" t="s">
        <v>36</v>
      </c>
      <c r="W594" t="s">
        <v>36</v>
      </c>
      <c r="X594" t="s">
        <v>36</v>
      </c>
      <c r="Y594" t="s">
        <v>36</v>
      </c>
      <c r="Z594" t="s">
        <v>36</v>
      </c>
      <c r="AA594" t="s">
        <v>36</v>
      </c>
      <c r="AB594" t="s">
        <v>36</v>
      </c>
      <c r="AC594" t="s">
        <v>36</v>
      </c>
      <c r="AD594" t="s">
        <v>36</v>
      </c>
      <c r="AE594" t="s">
        <v>36</v>
      </c>
      <c r="AF594" t="s">
        <v>36</v>
      </c>
      <c r="AG594" s="32">
        <v>43040</v>
      </c>
      <c r="AH594" t="s">
        <v>36</v>
      </c>
      <c r="AI594" t="s">
        <v>36</v>
      </c>
      <c r="AJ594" t="s">
        <v>36</v>
      </c>
    </row>
    <row r="595" spans="1:36" x14ac:dyDescent="0.35">
      <c r="A595">
        <v>4254</v>
      </c>
      <c r="B595" t="s">
        <v>1089</v>
      </c>
      <c r="C595" s="1">
        <v>43856.486111111109</v>
      </c>
      <c r="D595" t="s">
        <v>36</v>
      </c>
      <c r="E595" t="s">
        <v>36</v>
      </c>
      <c r="F595" t="s">
        <v>36</v>
      </c>
      <c r="G595" t="s">
        <v>36</v>
      </c>
      <c r="H595" t="s">
        <v>36</v>
      </c>
      <c r="I595" t="s">
        <v>36</v>
      </c>
      <c r="J595" t="s">
        <v>36</v>
      </c>
      <c r="K595" s="1">
        <v>43856.486111111109</v>
      </c>
      <c r="L595" t="s">
        <v>36</v>
      </c>
      <c r="M595" t="s">
        <v>36</v>
      </c>
      <c r="N595" t="s">
        <v>36</v>
      </c>
      <c r="O595" t="s">
        <v>36</v>
      </c>
      <c r="P595" t="s">
        <v>36</v>
      </c>
      <c r="Q595" t="s">
        <v>36</v>
      </c>
      <c r="R595" t="s">
        <v>36</v>
      </c>
      <c r="S595" t="s">
        <v>36</v>
      </c>
      <c r="T595" t="s">
        <v>36</v>
      </c>
      <c r="U595" t="s">
        <v>36</v>
      </c>
      <c r="V595" s="1">
        <v>43857.458333333336</v>
      </c>
      <c r="W595" t="s">
        <v>36</v>
      </c>
      <c r="X595" t="s">
        <v>36</v>
      </c>
      <c r="Y595" t="s">
        <v>36</v>
      </c>
      <c r="Z595" s="1">
        <v>43856.486111111109</v>
      </c>
      <c r="AA595" t="s">
        <v>36</v>
      </c>
      <c r="AB595" t="s">
        <v>36</v>
      </c>
      <c r="AC595" s="1">
        <v>43856.402777777781</v>
      </c>
      <c r="AD595" s="1">
        <v>43856.486111111109</v>
      </c>
      <c r="AE595" t="s">
        <v>36</v>
      </c>
      <c r="AF595" t="s">
        <v>36</v>
      </c>
      <c r="AG595" t="s">
        <v>36</v>
      </c>
      <c r="AH595" t="s">
        <v>36</v>
      </c>
      <c r="AI595" t="s">
        <v>36</v>
      </c>
      <c r="AJ595" t="s">
        <v>36</v>
      </c>
    </row>
    <row r="596" spans="1:36" x14ac:dyDescent="0.35">
      <c r="A596">
        <v>4255</v>
      </c>
      <c r="B596" t="s">
        <v>1090</v>
      </c>
      <c r="C596" s="1">
        <v>43856.486111111109</v>
      </c>
      <c r="D596" t="s">
        <v>36</v>
      </c>
      <c r="E596" t="s">
        <v>36</v>
      </c>
      <c r="F596" t="s">
        <v>36</v>
      </c>
      <c r="G596" t="s">
        <v>36</v>
      </c>
      <c r="H596" t="s">
        <v>36</v>
      </c>
      <c r="I596" t="s">
        <v>36</v>
      </c>
      <c r="J596" t="s">
        <v>36</v>
      </c>
      <c r="K596" s="1">
        <v>43856.486111111109</v>
      </c>
      <c r="L596" t="s">
        <v>36</v>
      </c>
      <c r="M596" t="s">
        <v>36</v>
      </c>
      <c r="N596" t="s">
        <v>36</v>
      </c>
      <c r="O596" t="s">
        <v>36</v>
      </c>
      <c r="P596" t="s">
        <v>36</v>
      </c>
      <c r="Q596" t="s">
        <v>36</v>
      </c>
      <c r="R596" t="s">
        <v>36</v>
      </c>
      <c r="S596" t="s">
        <v>36</v>
      </c>
      <c r="T596" t="s">
        <v>36</v>
      </c>
      <c r="U596" t="s">
        <v>36</v>
      </c>
      <c r="V596" s="1">
        <v>43857.458333333336</v>
      </c>
      <c r="W596" t="s">
        <v>36</v>
      </c>
      <c r="X596" t="s">
        <v>36</v>
      </c>
      <c r="Y596" t="s">
        <v>36</v>
      </c>
      <c r="Z596" s="1">
        <v>43856.486111111109</v>
      </c>
      <c r="AA596" t="s">
        <v>36</v>
      </c>
      <c r="AB596" t="s">
        <v>36</v>
      </c>
      <c r="AC596" s="1">
        <v>43856.402777777781</v>
      </c>
      <c r="AD596" s="1">
        <v>43856.486111111109</v>
      </c>
      <c r="AE596" t="s">
        <v>36</v>
      </c>
      <c r="AF596" t="s">
        <v>36</v>
      </c>
      <c r="AG596" t="s">
        <v>36</v>
      </c>
      <c r="AH596" t="s">
        <v>36</v>
      </c>
      <c r="AI596" t="s">
        <v>36</v>
      </c>
      <c r="AJ596" t="s">
        <v>36</v>
      </c>
    </row>
    <row r="597" spans="1:36" x14ac:dyDescent="0.35">
      <c r="A597">
        <v>4256</v>
      </c>
      <c r="B597" t="s">
        <v>1091</v>
      </c>
      <c r="C597" s="1">
        <v>43856.486111111109</v>
      </c>
      <c r="D597" t="s">
        <v>36</v>
      </c>
      <c r="E597" t="s">
        <v>36</v>
      </c>
      <c r="F597" t="s">
        <v>36</v>
      </c>
      <c r="G597" t="s">
        <v>36</v>
      </c>
      <c r="H597" t="s">
        <v>36</v>
      </c>
      <c r="I597" t="s">
        <v>36</v>
      </c>
      <c r="J597" t="s">
        <v>36</v>
      </c>
      <c r="K597" s="1">
        <v>43856.486111111109</v>
      </c>
      <c r="L597" t="s">
        <v>36</v>
      </c>
      <c r="M597" t="s">
        <v>36</v>
      </c>
      <c r="N597" t="s">
        <v>36</v>
      </c>
      <c r="O597" t="s">
        <v>36</v>
      </c>
      <c r="P597" t="s">
        <v>36</v>
      </c>
      <c r="Q597" t="s">
        <v>36</v>
      </c>
      <c r="R597" t="s">
        <v>36</v>
      </c>
      <c r="S597" t="s">
        <v>36</v>
      </c>
      <c r="T597" t="s">
        <v>36</v>
      </c>
      <c r="U597" t="s">
        <v>36</v>
      </c>
      <c r="V597" s="1">
        <v>43857.458333333336</v>
      </c>
      <c r="W597" t="s">
        <v>36</v>
      </c>
      <c r="X597" t="s">
        <v>36</v>
      </c>
      <c r="Y597" t="s">
        <v>36</v>
      </c>
      <c r="Z597" s="1">
        <v>43856.486111111109</v>
      </c>
      <c r="AA597" t="s">
        <v>36</v>
      </c>
      <c r="AB597" t="s">
        <v>36</v>
      </c>
      <c r="AC597" s="1">
        <v>43856.402777777781</v>
      </c>
      <c r="AD597" s="1">
        <v>43856.486111111109</v>
      </c>
      <c r="AE597" t="s">
        <v>36</v>
      </c>
      <c r="AF597" t="s">
        <v>36</v>
      </c>
      <c r="AG597" t="s">
        <v>36</v>
      </c>
      <c r="AH597" t="s">
        <v>36</v>
      </c>
      <c r="AI597" t="s">
        <v>36</v>
      </c>
      <c r="AJ597" t="s">
        <v>36</v>
      </c>
    </row>
    <row r="598" spans="1:36" x14ac:dyDescent="0.35">
      <c r="A598">
        <v>391</v>
      </c>
      <c r="B598" t="s">
        <v>218</v>
      </c>
      <c r="C598" t="s">
        <v>36</v>
      </c>
      <c r="D598" t="s">
        <v>36</v>
      </c>
      <c r="E598" t="s">
        <v>36</v>
      </c>
      <c r="F598" t="s">
        <v>36</v>
      </c>
      <c r="G598" t="s">
        <v>36</v>
      </c>
      <c r="H598" t="s">
        <v>36</v>
      </c>
      <c r="I598" t="s">
        <v>36</v>
      </c>
      <c r="J598" t="s">
        <v>36</v>
      </c>
      <c r="K598" t="s">
        <v>36</v>
      </c>
      <c r="L598" t="s">
        <v>36</v>
      </c>
      <c r="M598" s="1">
        <v>43348.625</v>
      </c>
      <c r="N598" t="s">
        <v>36</v>
      </c>
      <c r="O598" t="s">
        <v>36</v>
      </c>
      <c r="P598" t="s">
        <v>36</v>
      </c>
      <c r="Q598" t="s">
        <v>36</v>
      </c>
      <c r="R598" t="s">
        <v>36</v>
      </c>
      <c r="S598" t="s">
        <v>36</v>
      </c>
      <c r="T598" t="s">
        <v>36</v>
      </c>
      <c r="U598" t="s">
        <v>36</v>
      </c>
      <c r="V598" t="s">
        <v>36</v>
      </c>
      <c r="W598" t="s">
        <v>36</v>
      </c>
      <c r="X598" t="s">
        <v>36</v>
      </c>
      <c r="Y598" t="s">
        <v>36</v>
      </c>
      <c r="Z598" t="s">
        <v>36</v>
      </c>
      <c r="AA598" t="s">
        <v>36</v>
      </c>
      <c r="AB598" t="s">
        <v>36</v>
      </c>
      <c r="AC598" t="s">
        <v>36</v>
      </c>
      <c r="AD598" t="s">
        <v>36</v>
      </c>
      <c r="AE598" t="s">
        <v>36</v>
      </c>
      <c r="AF598" t="s">
        <v>36</v>
      </c>
      <c r="AG598" s="32">
        <v>43040</v>
      </c>
      <c r="AH598" t="s">
        <v>36</v>
      </c>
      <c r="AI598" t="s">
        <v>36</v>
      </c>
      <c r="AJ598" t="s">
        <v>36</v>
      </c>
    </row>
    <row r="599" spans="1:36" x14ac:dyDescent="0.35">
      <c r="A599">
        <v>2893</v>
      </c>
      <c r="B599" t="s">
        <v>906</v>
      </c>
      <c r="C599" t="s">
        <v>36</v>
      </c>
      <c r="D599" t="s">
        <v>36</v>
      </c>
      <c r="E599" t="s">
        <v>36</v>
      </c>
      <c r="F599" t="s">
        <v>36</v>
      </c>
      <c r="G599" t="s">
        <v>36</v>
      </c>
      <c r="H599" t="s">
        <v>36</v>
      </c>
      <c r="I599" t="s">
        <v>36</v>
      </c>
      <c r="J599" t="s">
        <v>36</v>
      </c>
      <c r="K599" t="s">
        <v>36</v>
      </c>
      <c r="L599" t="s">
        <v>36</v>
      </c>
      <c r="M599" s="1">
        <v>43348.625</v>
      </c>
      <c r="N599" t="s">
        <v>36</v>
      </c>
      <c r="O599" t="s">
        <v>36</v>
      </c>
      <c r="P599" t="s">
        <v>36</v>
      </c>
      <c r="Q599" t="s">
        <v>36</v>
      </c>
      <c r="R599" t="s">
        <v>36</v>
      </c>
      <c r="S599" t="s">
        <v>36</v>
      </c>
      <c r="T599" t="s">
        <v>36</v>
      </c>
      <c r="U599" t="s">
        <v>36</v>
      </c>
      <c r="V599" t="s">
        <v>36</v>
      </c>
      <c r="W599" t="s">
        <v>36</v>
      </c>
      <c r="X599" t="s">
        <v>36</v>
      </c>
      <c r="Y599" t="s">
        <v>36</v>
      </c>
      <c r="Z599" t="s">
        <v>36</v>
      </c>
      <c r="AA599" t="s">
        <v>36</v>
      </c>
      <c r="AB599" t="s">
        <v>36</v>
      </c>
      <c r="AC599" t="s">
        <v>36</v>
      </c>
      <c r="AD599" t="s">
        <v>36</v>
      </c>
      <c r="AE599" t="s">
        <v>36</v>
      </c>
      <c r="AF599" t="s">
        <v>36</v>
      </c>
      <c r="AG599" t="s">
        <v>36</v>
      </c>
      <c r="AH599" t="s">
        <v>36</v>
      </c>
      <c r="AI599" t="s">
        <v>36</v>
      </c>
      <c r="AJ599" t="s">
        <v>36</v>
      </c>
    </row>
    <row r="600" spans="1:36" x14ac:dyDescent="0.35">
      <c r="A600">
        <v>2892</v>
      </c>
      <c r="B600" t="s">
        <v>905</v>
      </c>
      <c r="C600" t="s">
        <v>36</v>
      </c>
      <c r="D600" t="s">
        <v>36</v>
      </c>
      <c r="E600" t="s">
        <v>36</v>
      </c>
      <c r="F600" t="s">
        <v>36</v>
      </c>
      <c r="G600" t="s">
        <v>36</v>
      </c>
      <c r="H600" t="s">
        <v>36</v>
      </c>
      <c r="I600" t="s">
        <v>36</v>
      </c>
      <c r="J600" t="s">
        <v>36</v>
      </c>
      <c r="K600" t="s">
        <v>36</v>
      </c>
      <c r="L600" t="s">
        <v>36</v>
      </c>
      <c r="M600" s="1">
        <v>43348.625</v>
      </c>
      <c r="N600" t="s">
        <v>36</v>
      </c>
      <c r="O600" t="s">
        <v>36</v>
      </c>
      <c r="P600" t="s">
        <v>36</v>
      </c>
      <c r="Q600" t="s">
        <v>36</v>
      </c>
      <c r="R600" t="s">
        <v>36</v>
      </c>
      <c r="S600" t="s">
        <v>36</v>
      </c>
      <c r="T600" t="s">
        <v>36</v>
      </c>
      <c r="U600" t="s">
        <v>36</v>
      </c>
      <c r="V600" t="s">
        <v>36</v>
      </c>
      <c r="W600" t="s">
        <v>36</v>
      </c>
      <c r="X600" t="s">
        <v>36</v>
      </c>
      <c r="Y600" t="s">
        <v>36</v>
      </c>
      <c r="Z600" t="s">
        <v>36</v>
      </c>
      <c r="AA600" t="s">
        <v>36</v>
      </c>
      <c r="AB600" t="s">
        <v>36</v>
      </c>
      <c r="AC600" t="s">
        <v>36</v>
      </c>
      <c r="AD600" t="s">
        <v>36</v>
      </c>
      <c r="AE600" t="s">
        <v>36</v>
      </c>
      <c r="AF600" t="s">
        <v>36</v>
      </c>
      <c r="AG600" t="s">
        <v>36</v>
      </c>
      <c r="AH600" t="s">
        <v>36</v>
      </c>
      <c r="AI600" t="s">
        <v>36</v>
      </c>
      <c r="AJ600" t="s">
        <v>36</v>
      </c>
    </row>
    <row r="601" spans="1:36" x14ac:dyDescent="0.35">
      <c r="A601">
        <v>2894</v>
      </c>
      <c r="B601" t="s">
        <v>907</v>
      </c>
      <c r="C601" t="s">
        <v>36</v>
      </c>
      <c r="D601" t="s">
        <v>36</v>
      </c>
      <c r="E601" t="s">
        <v>36</v>
      </c>
      <c r="F601" t="s">
        <v>36</v>
      </c>
      <c r="G601" t="s">
        <v>36</v>
      </c>
      <c r="H601" t="s">
        <v>36</v>
      </c>
      <c r="I601" t="s">
        <v>36</v>
      </c>
      <c r="J601" t="s">
        <v>36</v>
      </c>
      <c r="K601" t="s">
        <v>36</v>
      </c>
      <c r="L601" t="s">
        <v>36</v>
      </c>
      <c r="M601" s="1">
        <v>43348.625</v>
      </c>
      <c r="N601" t="s">
        <v>36</v>
      </c>
      <c r="O601" t="s">
        <v>36</v>
      </c>
      <c r="P601" t="s">
        <v>36</v>
      </c>
      <c r="Q601" t="s">
        <v>36</v>
      </c>
      <c r="R601" t="s">
        <v>36</v>
      </c>
      <c r="S601" t="s">
        <v>36</v>
      </c>
      <c r="T601" t="s">
        <v>36</v>
      </c>
      <c r="U601" t="s">
        <v>36</v>
      </c>
      <c r="V601" t="s">
        <v>36</v>
      </c>
      <c r="W601" t="s">
        <v>36</v>
      </c>
      <c r="X601" t="s">
        <v>36</v>
      </c>
      <c r="Y601" t="s">
        <v>36</v>
      </c>
      <c r="Z601" t="s">
        <v>36</v>
      </c>
      <c r="AA601" t="s">
        <v>36</v>
      </c>
      <c r="AB601" t="s">
        <v>36</v>
      </c>
      <c r="AC601" t="s">
        <v>36</v>
      </c>
      <c r="AD601" t="s">
        <v>36</v>
      </c>
      <c r="AE601" t="s">
        <v>36</v>
      </c>
      <c r="AF601" t="s">
        <v>36</v>
      </c>
      <c r="AG601" t="s">
        <v>36</v>
      </c>
      <c r="AH601" t="s">
        <v>36</v>
      </c>
      <c r="AI601" t="s">
        <v>36</v>
      </c>
      <c r="AJ601" t="s">
        <v>36</v>
      </c>
    </row>
    <row r="602" spans="1:36" x14ac:dyDescent="0.35">
      <c r="A602">
        <v>392</v>
      </c>
      <c r="B602" t="s">
        <v>219</v>
      </c>
      <c r="C602" t="s">
        <v>36</v>
      </c>
      <c r="D602" t="s">
        <v>36</v>
      </c>
      <c r="E602" t="s">
        <v>36</v>
      </c>
      <c r="F602" t="s">
        <v>36</v>
      </c>
      <c r="G602" t="s">
        <v>36</v>
      </c>
      <c r="H602" t="s">
        <v>36</v>
      </c>
      <c r="I602" t="s">
        <v>36</v>
      </c>
      <c r="J602" t="s">
        <v>36</v>
      </c>
      <c r="K602" t="s">
        <v>36</v>
      </c>
      <c r="L602" t="s">
        <v>36</v>
      </c>
      <c r="M602" t="s">
        <v>36</v>
      </c>
      <c r="N602" t="s">
        <v>36</v>
      </c>
      <c r="O602" t="s">
        <v>36</v>
      </c>
      <c r="P602" t="s">
        <v>36</v>
      </c>
      <c r="Q602" t="s">
        <v>36</v>
      </c>
      <c r="R602" t="s">
        <v>36</v>
      </c>
      <c r="S602" t="s">
        <v>36</v>
      </c>
      <c r="T602" t="s">
        <v>36</v>
      </c>
      <c r="U602" t="s">
        <v>36</v>
      </c>
      <c r="V602" t="s">
        <v>36</v>
      </c>
      <c r="W602" t="s">
        <v>36</v>
      </c>
      <c r="X602" t="s">
        <v>36</v>
      </c>
      <c r="Y602" t="s">
        <v>36</v>
      </c>
      <c r="Z602" t="s">
        <v>36</v>
      </c>
      <c r="AA602" t="s">
        <v>36</v>
      </c>
      <c r="AB602" t="s">
        <v>36</v>
      </c>
      <c r="AC602" t="s">
        <v>36</v>
      </c>
      <c r="AD602" t="s">
        <v>36</v>
      </c>
      <c r="AE602" t="s">
        <v>36</v>
      </c>
      <c r="AF602" t="s">
        <v>36</v>
      </c>
      <c r="AG602" s="32">
        <v>43040</v>
      </c>
      <c r="AH602" t="s">
        <v>36</v>
      </c>
      <c r="AI602" t="s">
        <v>36</v>
      </c>
      <c r="AJ602" t="s">
        <v>36</v>
      </c>
    </row>
    <row r="603" spans="1:36" x14ac:dyDescent="0.35">
      <c r="A603">
        <v>2896</v>
      </c>
      <c r="B603" t="s">
        <v>909</v>
      </c>
      <c r="C603" t="s">
        <v>36</v>
      </c>
      <c r="D603" t="s">
        <v>36</v>
      </c>
      <c r="E603" t="s">
        <v>36</v>
      </c>
      <c r="F603" t="s">
        <v>36</v>
      </c>
      <c r="G603" t="s">
        <v>36</v>
      </c>
      <c r="H603" t="s">
        <v>36</v>
      </c>
      <c r="I603" t="s">
        <v>36</v>
      </c>
      <c r="J603" t="s">
        <v>36</v>
      </c>
      <c r="K603" t="s">
        <v>36</v>
      </c>
      <c r="L603" t="s">
        <v>36</v>
      </c>
      <c r="M603" t="s">
        <v>36</v>
      </c>
      <c r="N603" t="s">
        <v>36</v>
      </c>
      <c r="O603" t="s">
        <v>36</v>
      </c>
      <c r="P603" t="s">
        <v>36</v>
      </c>
      <c r="Q603" t="s">
        <v>36</v>
      </c>
      <c r="R603" t="s">
        <v>36</v>
      </c>
      <c r="S603" t="s">
        <v>36</v>
      </c>
      <c r="T603" t="s">
        <v>36</v>
      </c>
      <c r="U603" t="s">
        <v>36</v>
      </c>
      <c r="V603" t="s">
        <v>36</v>
      </c>
      <c r="W603" t="s">
        <v>36</v>
      </c>
      <c r="X603" t="s">
        <v>36</v>
      </c>
      <c r="Y603" t="s">
        <v>36</v>
      </c>
      <c r="Z603" t="s">
        <v>36</v>
      </c>
      <c r="AA603" t="s">
        <v>36</v>
      </c>
      <c r="AB603" t="s">
        <v>36</v>
      </c>
      <c r="AC603" t="s">
        <v>36</v>
      </c>
      <c r="AD603" t="s">
        <v>36</v>
      </c>
      <c r="AE603" t="s">
        <v>36</v>
      </c>
      <c r="AF603" t="s">
        <v>36</v>
      </c>
      <c r="AG603" t="s">
        <v>36</v>
      </c>
      <c r="AH603" t="s">
        <v>36</v>
      </c>
      <c r="AI603" t="s">
        <v>36</v>
      </c>
      <c r="AJ603" t="s">
        <v>36</v>
      </c>
    </row>
    <row r="604" spans="1:36" x14ac:dyDescent="0.35">
      <c r="A604">
        <v>2895</v>
      </c>
      <c r="B604" t="s">
        <v>908</v>
      </c>
      <c r="C604" t="s">
        <v>36</v>
      </c>
      <c r="D604" t="s">
        <v>36</v>
      </c>
      <c r="E604" t="s">
        <v>36</v>
      </c>
      <c r="F604" t="s">
        <v>36</v>
      </c>
      <c r="G604" t="s">
        <v>36</v>
      </c>
      <c r="H604" t="s">
        <v>36</v>
      </c>
      <c r="I604" t="s">
        <v>36</v>
      </c>
      <c r="J604" t="s">
        <v>36</v>
      </c>
      <c r="K604" t="s">
        <v>36</v>
      </c>
      <c r="L604" t="s">
        <v>36</v>
      </c>
      <c r="M604" t="s">
        <v>36</v>
      </c>
      <c r="N604" t="s">
        <v>36</v>
      </c>
      <c r="O604" t="s">
        <v>36</v>
      </c>
      <c r="P604" t="s">
        <v>36</v>
      </c>
      <c r="Q604" t="s">
        <v>36</v>
      </c>
      <c r="R604" t="s">
        <v>36</v>
      </c>
      <c r="S604" t="s">
        <v>36</v>
      </c>
      <c r="T604" t="s">
        <v>36</v>
      </c>
      <c r="U604" t="s">
        <v>36</v>
      </c>
      <c r="V604" t="s">
        <v>36</v>
      </c>
      <c r="W604" t="s">
        <v>36</v>
      </c>
      <c r="X604" t="s">
        <v>36</v>
      </c>
      <c r="Y604" t="s">
        <v>36</v>
      </c>
      <c r="Z604" t="s">
        <v>36</v>
      </c>
      <c r="AA604" t="s">
        <v>36</v>
      </c>
      <c r="AB604" t="s">
        <v>36</v>
      </c>
      <c r="AC604" t="s">
        <v>36</v>
      </c>
      <c r="AD604" t="s">
        <v>36</v>
      </c>
      <c r="AE604" t="s">
        <v>36</v>
      </c>
      <c r="AF604" t="s">
        <v>36</v>
      </c>
      <c r="AG604" t="s">
        <v>36</v>
      </c>
      <c r="AH604" t="s">
        <v>36</v>
      </c>
      <c r="AI604" t="s">
        <v>36</v>
      </c>
      <c r="AJ604" t="s">
        <v>36</v>
      </c>
    </row>
    <row r="605" spans="1:36" x14ac:dyDescent="0.35">
      <c r="A605">
        <v>2897</v>
      </c>
      <c r="B605" t="s">
        <v>910</v>
      </c>
      <c r="C605" t="s">
        <v>36</v>
      </c>
      <c r="D605" t="s">
        <v>36</v>
      </c>
      <c r="E605" t="s">
        <v>36</v>
      </c>
      <c r="F605" t="s">
        <v>36</v>
      </c>
      <c r="G605" t="s">
        <v>36</v>
      </c>
      <c r="H605" t="s">
        <v>36</v>
      </c>
      <c r="I605" t="s">
        <v>36</v>
      </c>
      <c r="J605" t="s">
        <v>36</v>
      </c>
      <c r="K605" t="s">
        <v>36</v>
      </c>
      <c r="L605" t="s">
        <v>36</v>
      </c>
      <c r="M605" t="s">
        <v>36</v>
      </c>
      <c r="N605" t="s">
        <v>36</v>
      </c>
      <c r="O605" t="s">
        <v>36</v>
      </c>
      <c r="P605" t="s">
        <v>36</v>
      </c>
      <c r="Q605" t="s">
        <v>36</v>
      </c>
      <c r="R605" t="s">
        <v>36</v>
      </c>
      <c r="S605" t="s">
        <v>36</v>
      </c>
      <c r="T605" t="s">
        <v>36</v>
      </c>
      <c r="U605" t="s">
        <v>36</v>
      </c>
      <c r="V605" t="s">
        <v>36</v>
      </c>
      <c r="W605" t="s">
        <v>36</v>
      </c>
      <c r="X605" t="s">
        <v>36</v>
      </c>
      <c r="Y605" t="s">
        <v>36</v>
      </c>
      <c r="Z605" t="s">
        <v>36</v>
      </c>
      <c r="AA605" t="s">
        <v>36</v>
      </c>
      <c r="AB605" t="s">
        <v>36</v>
      </c>
      <c r="AC605" t="s">
        <v>36</v>
      </c>
      <c r="AD605" t="s">
        <v>36</v>
      </c>
      <c r="AE605" t="s">
        <v>36</v>
      </c>
      <c r="AF605" t="s">
        <v>36</v>
      </c>
      <c r="AG605" t="s">
        <v>36</v>
      </c>
      <c r="AH605" t="s">
        <v>36</v>
      </c>
      <c r="AI605" t="s">
        <v>36</v>
      </c>
      <c r="AJ605" t="s">
        <v>36</v>
      </c>
    </row>
    <row r="606" spans="1:36" x14ac:dyDescent="0.35">
      <c r="A606">
        <v>394</v>
      </c>
      <c r="B606" t="s">
        <v>221</v>
      </c>
      <c r="C606" t="s">
        <v>36</v>
      </c>
      <c r="D606" t="s">
        <v>36</v>
      </c>
      <c r="E606" t="s">
        <v>36</v>
      </c>
      <c r="F606" t="s">
        <v>36</v>
      </c>
      <c r="G606" t="s">
        <v>36</v>
      </c>
      <c r="H606" t="s">
        <v>36</v>
      </c>
      <c r="I606" t="s">
        <v>36</v>
      </c>
      <c r="J606" t="s">
        <v>36</v>
      </c>
      <c r="K606" t="s">
        <v>36</v>
      </c>
      <c r="L606" t="s">
        <v>36</v>
      </c>
      <c r="M606" t="s">
        <v>36</v>
      </c>
      <c r="N606" t="s">
        <v>36</v>
      </c>
      <c r="O606" t="s">
        <v>36</v>
      </c>
      <c r="P606" t="s">
        <v>36</v>
      </c>
      <c r="Q606" t="s">
        <v>36</v>
      </c>
      <c r="R606" t="s">
        <v>36</v>
      </c>
      <c r="S606" t="s">
        <v>36</v>
      </c>
      <c r="T606" t="s">
        <v>36</v>
      </c>
      <c r="U606" t="s">
        <v>36</v>
      </c>
      <c r="V606" t="s">
        <v>36</v>
      </c>
      <c r="W606" t="s">
        <v>36</v>
      </c>
      <c r="X606" t="s">
        <v>36</v>
      </c>
      <c r="Y606" t="s">
        <v>36</v>
      </c>
      <c r="Z606" t="s">
        <v>36</v>
      </c>
      <c r="AA606" t="s">
        <v>36</v>
      </c>
      <c r="AB606" t="s">
        <v>36</v>
      </c>
      <c r="AC606" t="s">
        <v>36</v>
      </c>
      <c r="AD606" t="s">
        <v>36</v>
      </c>
      <c r="AE606" t="s">
        <v>36</v>
      </c>
      <c r="AF606" t="s">
        <v>36</v>
      </c>
      <c r="AG606" s="32">
        <v>43040</v>
      </c>
      <c r="AH606" t="s">
        <v>36</v>
      </c>
      <c r="AI606" t="s">
        <v>36</v>
      </c>
      <c r="AJ606" t="s">
        <v>36</v>
      </c>
    </row>
    <row r="607" spans="1:36" x14ac:dyDescent="0.35">
      <c r="A607">
        <v>390</v>
      </c>
      <c r="B607" t="s">
        <v>217</v>
      </c>
      <c r="C607" t="s">
        <v>36</v>
      </c>
      <c r="D607" t="s">
        <v>36</v>
      </c>
      <c r="E607" t="s">
        <v>36</v>
      </c>
      <c r="F607" t="s">
        <v>36</v>
      </c>
      <c r="G607" t="s">
        <v>36</v>
      </c>
      <c r="H607" t="s">
        <v>36</v>
      </c>
      <c r="I607" t="s">
        <v>36</v>
      </c>
      <c r="J607" t="s">
        <v>36</v>
      </c>
      <c r="K607" t="s">
        <v>36</v>
      </c>
      <c r="L607" t="s">
        <v>36</v>
      </c>
      <c r="M607" t="s">
        <v>36</v>
      </c>
      <c r="N607" t="s">
        <v>36</v>
      </c>
      <c r="O607" t="s">
        <v>36</v>
      </c>
      <c r="P607" t="s">
        <v>36</v>
      </c>
      <c r="Q607" t="s">
        <v>36</v>
      </c>
      <c r="R607" t="s">
        <v>36</v>
      </c>
      <c r="S607" t="s">
        <v>36</v>
      </c>
      <c r="T607" t="s">
        <v>36</v>
      </c>
      <c r="U607" t="s">
        <v>36</v>
      </c>
      <c r="V607" t="s">
        <v>36</v>
      </c>
      <c r="W607" t="s">
        <v>36</v>
      </c>
      <c r="X607" t="s">
        <v>36</v>
      </c>
      <c r="Y607" t="s">
        <v>36</v>
      </c>
      <c r="Z607" t="s">
        <v>36</v>
      </c>
      <c r="AA607" t="s">
        <v>36</v>
      </c>
      <c r="AB607" t="s">
        <v>36</v>
      </c>
      <c r="AC607" t="s">
        <v>36</v>
      </c>
      <c r="AD607" t="s">
        <v>36</v>
      </c>
      <c r="AE607" t="s">
        <v>36</v>
      </c>
      <c r="AF607" t="s">
        <v>36</v>
      </c>
      <c r="AG607" s="32">
        <v>43040</v>
      </c>
      <c r="AH607" t="s">
        <v>36</v>
      </c>
      <c r="AI607" t="s">
        <v>36</v>
      </c>
      <c r="AJ607" t="s">
        <v>36</v>
      </c>
    </row>
    <row r="608" spans="1:36" x14ac:dyDescent="0.35">
      <c r="A608">
        <v>4434</v>
      </c>
      <c r="B608" t="s">
        <v>1200</v>
      </c>
      <c r="C608" t="s">
        <v>36</v>
      </c>
      <c r="D608" t="s">
        <v>36</v>
      </c>
      <c r="E608" t="s">
        <v>36</v>
      </c>
      <c r="F608" t="s">
        <v>36</v>
      </c>
      <c r="G608" t="s">
        <v>36</v>
      </c>
      <c r="H608" t="s">
        <v>36</v>
      </c>
      <c r="I608" t="s">
        <v>36</v>
      </c>
      <c r="J608" t="s">
        <v>36</v>
      </c>
      <c r="K608" t="s">
        <v>36</v>
      </c>
      <c r="L608" t="s">
        <v>36</v>
      </c>
      <c r="M608" t="s">
        <v>36</v>
      </c>
      <c r="N608" t="s">
        <v>36</v>
      </c>
      <c r="O608" t="s">
        <v>36</v>
      </c>
      <c r="P608" t="s">
        <v>36</v>
      </c>
      <c r="Q608" t="s">
        <v>36</v>
      </c>
      <c r="R608" t="s">
        <v>36</v>
      </c>
      <c r="S608" t="s">
        <v>36</v>
      </c>
      <c r="T608" t="s">
        <v>36</v>
      </c>
      <c r="U608" t="s">
        <v>36</v>
      </c>
      <c r="V608" t="s">
        <v>36</v>
      </c>
      <c r="W608" t="s">
        <v>36</v>
      </c>
      <c r="X608" t="s">
        <v>36</v>
      </c>
      <c r="Y608" t="s">
        <v>36</v>
      </c>
      <c r="Z608" t="s">
        <v>36</v>
      </c>
      <c r="AA608" t="s">
        <v>36</v>
      </c>
      <c r="AB608" t="s">
        <v>36</v>
      </c>
      <c r="AC608" t="s">
        <v>36</v>
      </c>
      <c r="AD608" t="s">
        <v>36</v>
      </c>
      <c r="AE608" t="s">
        <v>36</v>
      </c>
      <c r="AF608" t="s">
        <v>36</v>
      </c>
      <c r="AG608" t="s">
        <v>36</v>
      </c>
      <c r="AH608" t="s">
        <v>36</v>
      </c>
      <c r="AI608" t="s">
        <v>36</v>
      </c>
      <c r="AJ608" t="s">
        <v>36</v>
      </c>
    </row>
    <row r="609" spans="1:36" x14ac:dyDescent="0.35">
      <c r="A609">
        <v>4435</v>
      </c>
      <c r="B609" t="s">
        <v>1201</v>
      </c>
      <c r="C609" t="s">
        <v>36</v>
      </c>
      <c r="D609" t="s">
        <v>36</v>
      </c>
      <c r="E609" t="s">
        <v>36</v>
      </c>
      <c r="F609" t="s">
        <v>36</v>
      </c>
      <c r="G609" t="s">
        <v>36</v>
      </c>
      <c r="H609" t="s">
        <v>36</v>
      </c>
      <c r="I609" t="s">
        <v>36</v>
      </c>
      <c r="J609" t="s">
        <v>36</v>
      </c>
      <c r="K609" t="s">
        <v>36</v>
      </c>
      <c r="L609" t="s">
        <v>36</v>
      </c>
      <c r="M609" t="s">
        <v>36</v>
      </c>
      <c r="N609" t="s">
        <v>36</v>
      </c>
      <c r="O609" t="s">
        <v>36</v>
      </c>
      <c r="P609" t="s">
        <v>36</v>
      </c>
      <c r="Q609" t="s">
        <v>36</v>
      </c>
      <c r="R609" t="s">
        <v>36</v>
      </c>
      <c r="S609" t="s">
        <v>36</v>
      </c>
      <c r="T609" t="s">
        <v>36</v>
      </c>
      <c r="U609" t="s">
        <v>36</v>
      </c>
      <c r="V609" t="s">
        <v>36</v>
      </c>
      <c r="W609" t="s">
        <v>36</v>
      </c>
      <c r="X609" t="s">
        <v>36</v>
      </c>
      <c r="Y609" t="s">
        <v>36</v>
      </c>
      <c r="Z609" t="s">
        <v>36</v>
      </c>
      <c r="AA609" t="s">
        <v>36</v>
      </c>
      <c r="AB609" t="s">
        <v>36</v>
      </c>
      <c r="AC609" t="s">
        <v>36</v>
      </c>
      <c r="AD609" t="s">
        <v>36</v>
      </c>
      <c r="AE609" t="s">
        <v>36</v>
      </c>
      <c r="AF609" t="s">
        <v>36</v>
      </c>
      <c r="AG609" t="s">
        <v>36</v>
      </c>
      <c r="AH609" t="s">
        <v>36</v>
      </c>
      <c r="AI609" t="s">
        <v>36</v>
      </c>
      <c r="AJ609" t="s">
        <v>36</v>
      </c>
    </row>
    <row r="610" spans="1:36" x14ac:dyDescent="0.35">
      <c r="A610">
        <v>4436</v>
      </c>
      <c r="B610" t="s">
        <v>1202</v>
      </c>
      <c r="C610" t="s">
        <v>36</v>
      </c>
      <c r="D610" t="s">
        <v>36</v>
      </c>
      <c r="E610" t="s">
        <v>36</v>
      </c>
      <c r="F610" t="s">
        <v>36</v>
      </c>
      <c r="G610" t="s">
        <v>36</v>
      </c>
      <c r="H610" t="s">
        <v>36</v>
      </c>
      <c r="I610" t="s">
        <v>36</v>
      </c>
      <c r="J610" t="s">
        <v>36</v>
      </c>
      <c r="K610" t="s">
        <v>36</v>
      </c>
      <c r="L610" t="s">
        <v>36</v>
      </c>
      <c r="M610" t="s">
        <v>36</v>
      </c>
      <c r="N610" t="s">
        <v>36</v>
      </c>
      <c r="O610" t="s">
        <v>36</v>
      </c>
      <c r="P610" t="s">
        <v>36</v>
      </c>
      <c r="Q610" t="s">
        <v>36</v>
      </c>
      <c r="R610" t="s">
        <v>36</v>
      </c>
      <c r="S610" t="s">
        <v>36</v>
      </c>
      <c r="T610" t="s">
        <v>36</v>
      </c>
      <c r="U610" t="s">
        <v>36</v>
      </c>
      <c r="V610" t="s">
        <v>36</v>
      </c>
      <c r="W610" t="s">
        <v>36</v>
      </c>
      <c r="X610" t="s">
        <v>36</v>
      </c>
      <c r="Y610" t="s">
        <v>36</v>
      </c>
      <c r="Z610" t="s">
        <v>36</v>
      </c>
      <c r="AA610" t="s">
        <v>36</v>
      </c>
      <c r="AB610" t="s">
        <v>36</v>
      </c>
      <c r="AC610" t="s">
        <v>36</v>
      </c>
      <c r="AD610" t="s">
        <v>36</v>
      </c>
      <c r="AE610" t="s">
        <v>36</v>
      </c>
      <c r="AF610" t="s">
        <v>36</v>
      </c>
      <c r="AG610" t="s">
        <v>36</v>
      </c>
      <c r="AH610" t="s">
        <v>36</v>
      </c>
      <c r="AI610" t="s">
        <v>36</v>
      </c>
      <c r="AJ610" t="s">
        <v>36</v>
      </c>
    </row>
    <row r="611" spans="1:36" x14ac:dyDescent="0.35">
      <c r="A611">
        <v>382</v>
      </c>
      <c r="B611" t="s">
        <v>211</v>
      </c>
      <c r="C611" t="s">
        <v>36</v>
      </c>
      <c r="D611" t="s">
        <v>36</v>
      </c>
      <c r="E611" t="s">
        <v>36</v>
      </c>
      <c r="F611" t="s">
        <v>36</v>
      </c>
      <c r="G611" t="s">
        <v>36</v>
      </c>
      <c r="H611" t="s">
        <v>36</v>
      </c>
      <c r="I611" t="s">
        <v>36</v>
      </c>
      <c r="J611" t="s">
        <v>36</v>
      </c>
      <c r="K611" t="s">
        <v>36</v>
      </c>
      <c r="L611" t="s">
        <v>36</v>
      </c>
      <c r="M611" t="s">
        <v>36</v>
      </c>
      <c r="N611" t="s">
        <v>36</v>
      </c>
      <c r="O611" t="s">
        <v>36</v>
      </c>
      <c r="P611" t="s">
        <v>36</v>
      </c>
      <c r="Q611" t="s">
        <v>36</v>
      </c>
      <c r="R611" t="s">
        <v>36</v>
      </c>
      <c r="S611" t="s">
        <v>36</v>
      </c>
      <c r="T611" t="s">
        <v>36</v>
      </c>
      <c r="U611" t="s">
        <v>36</v>
      </c>
      <c r="V611" t="s">
        <v>36</v>
      </c>
      <c r="W611" t="s">
        <v>36</v>
      </c>
      <c r="X611" t="s">
        <v>36</v>
      </c>
      <c r="Y611" t="s">
        <v>36</v>
      </c>
      <c r="Z611" t="s">
        <v>36</v>
      </c>
      <c r="AA611" t="s">
        <v>36</v>
      </c>
      <c r="AB611" t="s">
        <v>36</v>
      </c>
      <c r="AC611" t="s">
        <v>36</v>
      </c>
      <c r="AD611" t="s">
        <v>36</v>
      </c>
      <c r="AE611" t="s">
        <v>36</v>
      </c>
      <c r="AF611" t="s">
        <v>36</v>
      </c>
      <c r="AG611" s="32">
        <v>43040</v>
      </c>
      <c r="AH611" t="s">
        <v>36</v>
      </c>
      <c r="AI611" t="s">
        <v>36</v>
      </c>
      <c r="AJ611" t="s">
        <v>36</v>
      </c>
    </row>
    <row r="612" spans="1:36" x14ac:dyDescent="0.35">
      <c r="A612">
        <v>3751</v>
      </c>
      <c r="B612" t="s">
        <v>952</v>
      </c>
      <c r="C612" t="s">
        <v>36</v>
      </c>
      <c r="D612" t="s">
        <v>36</v>
      </c>
      <c r="E612" t="s">
        <v>36</v>
      </c>
      <c r="F612" t="s">
        <v>36</v>
      </c>
      <c r="G612" t="s">
        <v>36</v>
      </c>
      <c r="H612" t="s">
        <v>36</v>
      </c>
      <c r="I612" t="s">
        <v>36</v>
      </c>
      <c r="J612" t="s">
        <v>36</v>
      </c>
      <c r="K612" t="s">
        <v>36</v>
      </c>
      <c r="L612" t="s">
        <v>36</v>
      </c>
      <c r="M612" t="s">
        <v>36</v>
      </c>
      <c r="N612" t="s">
        <v>36</v>
      </c>
      <c r="O612" s="1">
        <v>42206.583333333336</v>
      </c>
      <c r="P612" t="s">
        <v>36</v>
      </c>
      <c r="Q612" t="s">
        <v>36</v>
      </c>
      <c r="R612" t="s">
        <v>36</v>
      </c>
      <c r="S612" t="s">
        <v>36</v>
      </c>
      <c r="T612" t="s">
        <v>36</v>
      </c>
      <c r="U612" t="s">
        <v>36</v>
      </c>
      <c r="V612" t="s">
        <v>36</v>
      </c>
      <c r="W612" t="s">
        <v>36</v>
      </c>
      <c r="X612" t="s">
        <v>36</v>
      </c>
      <c r="Y612" t="s">
        <v>36</v>
      </c>
      <c r="Z612" t="s">
        <v>36</v>
      </c>
      <c r="AA612" t="s">
        <v>36</v>
      </c>
      <c r="AB612" t="s">
        <v>36</v>
      </c>
      <c r="AC612" t="s">
        <v>36</v>
      </c>
      <c r="AD612" t="s">
        <v>36</v>
      </c>
      <c r="AE612" t="s">
        <v>36</v>
      </c>
      <c r="AF612" t="s">
        <v>36</v>
      </c>
      <c r="AG612" t="s">
        <v>36</v>
      </c>
      <c r="AH612" t="s">
        <v>36</v>
      </c>
      <c r="AI612" t="s">
        <v>36</v>
      </c>
      <c r="AJ612" t="s">
        <v>36</v>
      </c>
    </row>
    <row r="613" spans="1:36" x14ac:dyDescent="0.35">
      <c r="A613">
        <v>3752</v>
      </c>
      <c r="B613" t="s">
        <v>953</v>
      </c>
      <c r="C613" t="s">
        <v>36</v>
      </c>
      <c r="D613" t="s">
        <v>36</v>
      </c>
      <c r="E613" t="s">
        <v>36</v>
      </c>
      <c r="F613" t="s">
        <v>36</v>
      </c>
      <c r="G613" t="s">
        <v>36</v>
      </c>
      <c r="H613" t="s">
        <v>36</v>
      </c>
      <c r="I613" t="s">
        <v>36</v>
      </c>
      <c r="J613" t="s">
        <v>36</v>
      </c>
      <c r="K613" t="s">
        <v>36</v>
      </c>
      <c r="L613" t="s">
        <v>36</v>
      </c>
      <c r="M613" t="s">
        <v>36</v>
      </c>
      <c r="N613" t="s">
        <v>36</v>
      </c>
      <c r="O613" s="1">
        <v>42206.583333333336</v>
      </c>
      <c r="P613" t="s">
        <v>36</v>
      </c>
      <c r="Q613" t="s">
        <v>36</v>
      </c>
      <c r="R613" t="s">
        <v>36</v>
      </c>
      <c r="S613" t="s">
        <v>36</v>
      </c>
      <c r="T613" t="s">
        <v>36</v>
      </c>
      <c r="U613" t="s">
        <v>36</v>
      </c>
      <c r="V613" t="s">
        <v>36</v>
      </c>
      <c r="W613" t="s">
        <v>36</v>
      </c>
      <c r="X613" t="s">
        <v>36</v>
      </c>
      <c r="Y613" t="s">
        <v>36</v>
      </c>
      <c r="Z613" t="s">
        <v>36</v>
      </c>
      <c r="AA613" t="s">
        <v>36</v>
      </c>
      <c r="AB613" t="s">
        <v>36</v>
      </c>
      <c r="AC613" t="s">
        <v>36</v>
      </c>
      <c r="AD613" t="s">
        <v>36</v>
      </c>
      <c r="AE613" t="s">
        <v>36</v>
      </c>
      <c r="AF613" t="s">
        <v>36</v>
      </c>
      <c r="AG613" t="s">
        <v>36</v>
      </c>
      <c r="AH613" t="s">
        <v>36</v>
      </c>
      <c r="AI613" t="s">
        <v>36</v>
      </c>
      <c r="AJ613" t="s">
        <v>36</v>
      </c>
    </row>
    <row r="614" spans="1:36" x14ac:dyDescent="0.35">
      <c r="A614">
        <v>3753</v>
      </c>
      <c r="B614" t="s">
        <v>954</v>
      </c>
      <c r="C614" t="s">
        <v>36</v>
      </c>
      <c r="D614" t="s">
        <v>36</v>
      </c>
      <c r="E614" t="s">
        <v>36</v>
      </c>
      <c r="F614" t="s">
        <v>36</v>
      </c>
      <c r="G614" t="s">
        <v>36</v>
      </c>
      <c r="H614" t="s">
        <v>36</v>
      </c>
      <c r="I614" t="s">
        <v>36</v>
      </c>
      <c r="J614" t="s">
        <v>36</v>
      </c>
      <c r="K614" t="s">
        <v>36</v>
      </c>
      <c r="L614" t="s">
        <v>36</v>
      </c>
      <c r="M614" t="s">
        <v>36</v>
      </c>
      <c r="N614" t="s">
        <v>36</v>
      </c>
      <c r="O614" t="s">
        <v>36</v>
      </c>
      <c r="P614" t="s">
        <v>36</v>
      </c>
      <c r="Q614" t="s">
        <v>36</v>
      </c>
      <c r="R614" t="s">
        <v>36</v>
      </c>
      <c r="S614" t="s">
        <v>36</v>
      </c>
      <c r="T614" t="s">
        <v>36</v>
      </c>
      <c r="U614" t="s">
        <v>36</v>
      </c>
      <c r="V614" t="s">
        <v>36</v>
      </c>
      <c r="W614" t="s">
        <v>36</v>
      </c>
      <c r="X614" t="s">
        <v>36</v>
      </c>
      <c r="Y614" t="s">
        <v>36</v>
      </c>
      <c r="Z614" t="s">
        <v>36</v>
      </c>
      <c r="AA614" t="s">
        <v>36</v>
      </c>
      <c r="AB614" t="s">
        <v>36</v>
      </c>
      <c r="AC614" t="s">
        <v>36</v>
      </c>
      <c r="AD614" t="s">
        <v>36</v>
      </c>
      <c r="AE614" t="s">
        <v>36</v>
      </c>
      <c r="AF614" t="s">
        <v>36</v>
      </c>
      <c r="AG614" t="s">
        <v>36</v>
      </c>
      <c r="AH614" t="s">
        <v>36</v>
      </c>
      <c r="AI614" t="s">
        <v>36</v>
      </c>
      <c r="AJ614" t="s">
        <v>36</v>
      </c>
    </row>
    <row r="615" spans="1:36" x14ac:dyDescent="0.35">
      <c r="A615">
        <v>176</v>
      </c>
      <c r="B615" t="s">
        <v>132</v>
      </c>
      <c r="C615" t="s">
        <v>36</v>
      </c>
      <c r="D615" s="1">
        <v>42058.680555555555</v>
      </c>
      <c r="E615" t="s">
        <v>36</v>
      </c>
      <c r="F615" t="s">
        <v>36</v>
      </c>
      <c r="G615" t="s">
        <v>36</v>
      </c>
      <c r="H615" t="s">
        <v>36</v>
      </c>
      <c r="I615" t="s">
        <v>36</v>
      </c>
      <c r="J615" t="s">
        <v>36</v>
      </c>
      <c r="K615" t="s">
        <v>36</v>
      </c>
      <c r="L615" t="s">
        <v>36</v>
      </c>
      <c r="M615" t="s">
        <v>36</v>
      </c>
      <c r="N615" t="s">
        <v>36</v>
      </c>
      <c r="O615" s="1">
        <v>42206.583333333336</v>
      </c>
      <c r="P615" t="s">
        <v>36</v>
      </c>
      <c r="Q615" t="s">
        <v>36</v>
      </c>
      <c r="R615" t="s">
        <v>36</v>
      </c>
      <c r="S615" t="s">
        <v>36</v>
      </c>
      <c r="T615" t="s">
        <v>36</v>
      </c>
      <c r="U615" t="s">
        <v>36</v>
      </c>
      <c r="V615" t="s">
        <v>36</v>
      </c>
      <c r="W615" t="s">
        <v>36</v>
      </c>
      <c r="X615" s="1">
        <v>42193.652777777781</v>
      </c>
      <c r="Y615" t="s">
        <v>36</v>
      </c>
      <c r="Z615" t="s">
        <v>36</v>
      </c>
      <c r="AA615" t="s">
        <v>36</v>
      </c>
      <c r="AB615" t="s">
        <v>36</v>
      </c>
      <c r="AC615" t="s">
        <v>36</v>
      </c>
      <c r="AD615" t="s">
        <v>36</v>
      </c>
      <c r="AE615" t="s">
        <v>36</v>
      </c>
      <c r="AF615" t="s">
        <v>36</v>
      </c>
      <c r="AG615" t="s">
        <v>36</v>
      </c>
      <c r="AH615" t="s">
        <v>36</v>
      </c>
      <c r="AI615" t="s">
        <v>36</v>
      </c>
      <c r="AJ615" t="s">
        <v>36</v>
      </c>
    </row>
    <row r="616" spans="1:36" x14ac:dyDescent="0.35">
      <c r="A616">
        <v>429</v>
      </c>
      <c r="B616" t="s">
        <v>247</v>
      </c>
      <c r="C616" t="s">
        <v>36</v>
      </c>
      <c r="D616" t="s">
        <v>36</v>
      </c>
      <c r="E616" t="s">
        <v>36</v>
      </c>
      <c r="F616" t="s">
        <v>36</v>
      </c>
      <c r="G616" s="1">
        <v>41426</v>
      </c>
      <c r="H616" t="s">
        <v>36</v>
      </c>
      <c r="I616" t="s">
        <v>36</v>
      </c>
      <c r="J616" t="s">
        <v>36</v>
      </c>
      <c r="K616" t="s">
        <v>36</v>
      </c>
      <c r="L616" t="s">
        <v>36</v>
      </c>
      <c r="M616" t="s">
        <v>36</v>
      </c>
      <c r="N616" t="s">
        <v>36</v>
      </c>
      <c r="O616" t="s">
        <v>36</v>
      </c>
      <c r="P616" s="1">
        <v>43059.576388888891</v>
      </c>
      <c r="Q616" t="s">
        <v>36</v>
      </c>
      <c r="R616" t="s">
        <v>36</v>
      </c>
      <c r="S616" t="s">
        <v>36</v>
      </c>
      <c r="T616" s="1">
        <v>42528.291666666664</v>
      </c>
      <c r="U616" t="s">
        <v>36</v>
      </c>
      <c r="V616" t="s">
        <v>36</v>
      </c>
      <c r="W616" t="s">
        <v>36</v>
      </c>
      <c r="X616" t="s">
        <v>36</v>
      </c>
      <c r="Y616" t="s">
        <v>36</v>
      </c>
      <c r="Z616" t="s">
        <v>36</v>
      </c>
      <c r="AA616" t="s">
        <v>36</v>
      </c>
      <c r="AB616" t="s">
        <v>36</v>
      </c>
      <c r="AC616" t="s">
        <v>36</v>
      </c>
      <c r="AD616" t="s">
        <v>36</v>
      </c>
      <c r="AE616" t="s">
        <v>36</v>
      </c>
      <c r="AF616" s="1">
        <v>42058.680555555555</v>
      </c>
      <c r="AG616" t="s">
        <v>36</v>
      </c>
      <c r="AH616" t="s">
        <v>36</v>
      </c>
      <c r="AI616" s="1">
        <v>41426</v>
      </c>
      <c r="AJ616" s="1">
        <v>43059.576388888891</v>
      </c>
    </row>
    <row r="617" spans="1:36" x14ac:dyDescent="0.35">
      <c r="A617">
        <v>4218</v>
      </c>
      <c r="B617" t="s">
        <v>1062</v>
      </c>
      <c r="C617" t="s">
        <v>36</v>
      </c>
      <c r="D617" t="s">
        <v>36</v>
      </c>
      <c r="E617" t="s">
        <v>36</v>
      </c>
      <c r="F617" t="s">
        <v>36</v>
      </c>
      <c r="G617" s="1">
        <v>43530</v>
      </c>
      <c r="H617" t="s">
        <v>36</v>
      </c>
      <c r="I617" t="s">
        <v>36</v>
      </c>
      <c r="J617" t="s">
        <v>36</v>
      </c>
      <c r="K617" t="s">
        <v>36</v>
      </c>
      <c r="L617" t="s">
        <v>36</v>
      </c>
      <c r="M617" t="s">
        <v>36</v>
      </c>
      <c r="N617" t="s">
        <v>36</v>
      </c>
      <c r="O617" t="s">
        <v>36</v>
      </c>
      <c r="P617" s="1">
        <v>43557</v>
      </c>
      <c r="Q617" t="s">
        <v>36</v>
      </c>
      <c r="R617" t="s">
        <v>36</v>
      </c>
      <c r="S617" t="s">
        <v>36</v>
      </c>
      <c r="T617" s="1">
        <v>43557</v>
      </c>
      <c r="U617" t="s">
        <v>36</v>
      </c>
      <c r="V617" t="s">
        <v>36</v>
      </c>
      <c r="W617" t="s">
        <v>36</v>
      </c>
      <c r="X617" t="s">
        <v>36</v>
      </c>
      <c r="Y617" t="s">
        <v>36</v>
      </c>
      <c r="Z617" t="s">
        <v>36</v>
      </c>
      <c r="AA617" t="s">
        <v>36</v>
      </c>
      <c r="AB617" t="s">
        <v>36</v>
      </c>
      <c r="AC617" t="s">
        <v>36</v>
      </c>
      <c r="AD617" t="s">
        <v>36</v>
      </c>
      <c r="AE617" t="s">
        <v>36</v>
      </c>
      <c r="AF617" s="1">
        <v>43529</v>
      </c>
      <c r="AG617" t="s">
        <v>36</v>
      </c>
      <c r="AH617" t="s">
        <v>36</v>
      </c>
      <c r="AI617" s="1">
        <v>43530</v>
      </c>
      <c r="AJ617" s="1">
        <v>43528</v>
      </c>
    </row>
    <row r="618" spans="1:36" x14ac:dyDescent="0.35">
      <c r="A618">
        <v>4219</v>
      </c>
      <c r="B618" t="s">
        <v>1063</v>
      </c>
      <c r="C618" t="s">
        <v>36</v>
      </c>
      <c r="D618" t="s">
        <v>36</v>
      </c>
      <c r="E618" t="s">
        <v>36</v>
      </c>
      <c r="F618" t="s">
        <v>36</v>
      </c>
      <c r="G618" s="1">
        <v>43530</v>
      </c>
      <c r="H618" t="s">
        <v>36</v>
      </c>
      <c r="I618" t="s">
        <v>36</v>
      </c>
      <c r="J618" t="s">
        <v>36</v>
      </c>
      <c r="K618" t="s">
        <v>36</v>
      </c>
      <c r="L618" t="s">
        <v>36</v>
      </c>
      <c r="M618" t="s">
        <v>36</v>
      </c>
      <c r="N618" t="s">
        <v>36</v>
      </c>
      <c r="O618" t="s">
        <v>36</v>
      </c>
      <c r="P618" s="1">
        <v>43556</v>
      </c>
      <c r="Q618" t="s">
        <v>36</v>
      </c>
      <c r="R618" t="s">
        <v>36</v>
      </c>
      <c r="S618" t="s">
        <v>36</v>
      </c>
      <c r="T618" s="1">
        <v>43557</v>
      </c>
      <c r="U618" t="s">
        <v>36</v>
      </c>
      <c r="V618" t="s">
        <v>36</v>
      </c>
      <c r="W618" t="s">
        <v>36</v>
      </c>
      <c r="X618" t="s">
        <v>36</v>
      </c>
      <c r="Y618" t="s">
        <v>36</v>
      </c>
      <c r="Z618" t="s">
        <v>36</v>
      </c>
      <c r="AA618" t="s">
        <v>36</v>
      </c>
      <c r="AB618" t="s">
        <v>36</v>
      </c>
      <c r="AC618" t="s">
        <v>36</v>
      </c>
      <c r="AD618" t="s">
        <v>36</v>
      </c>
      <c r="AE618" t="s">
        <v>36</v>
      </c>
      <c r="AF618" s="1">
        <v>43529</v>
      </c>
      <c r="AG618" t="s">
        <v>36</v>
      </c>
      <c r="AH618" t="s">
        <v>36</v>
      </c>
      <c r="AI618" s="1">
        <v>43530</v>
      </c>
      <c r="AJ618" s="1">
        <v>43528</v>
      </c>
    </row>
    <row r="619" spans="1:36" x14ac:dyDescent="0.35">
      <c r="A619">
        <v>4220</v>
      </c>
      <c r="B619" t="s">
        <v>1064</v>
      </c>
      <c r="C619" t="s">
        <v>36</v>
      </c>
      <c r="D619" t="s">
        <v>36</v>
      </c>
      <c r="E619" t="s">
        <v>36</v>
      </c>
      <c r="F619" t="s">
        <v>36</v>
      </c>
      <c r="G619" s="1">
        <v>43530</v>
      </c>
      <c r="H619" t="s">
        <v>36</v>
      </c>
      <c r="I619" t="s">
        <v>36</v>
      </c>
      <c r="J619" t="s">
        <v>36</v>
      </c>
      <c r="K619" t="s">
        <v>36</v>
      </c>
      <c r="L619" t="s">
        <v>36</v>
      </c>
      <c r="M619" t="s">
        <v>36</v>
      </c>
      <c r="N619" t="s">
        <v>36</v>
      </c>
      <c r="O619" t="s">
        <v>36</v>
      </c>
      <c r="P619" s="1">
        <v>43556</v>
      </c>
      <c r="Q619" t="s">
        <v>36</v>
      </c>
      <c r="R619" t="s">
        <v>36</v>
      </c>
      <c r="S619" t="s">
        <v>36</v>
      </c>
      <c r="T619" s="1">
        <v>43557</v>
      </c>
      <c r="U619" t="s">
        <v>36</v>
      </c>
      <c r="V619" t="s">
        <v>36</v>
      </c>
      <c r="W619" t="s">
        <v>36</v>
      </c>
      <c r="X619" t="s">
        <v>36</v>
      </c>
      <c r="Y619" t="s">
        <v>36</v>
      </c>
      <c r="Z619" t="s">
        <v>36</v>
      </c>
      <c r="AA619" t="s">
        <v>36</v>
      </c>
      <c r="AB619" t="s">
        <v>36</v>
      </c>
      <c r="AC619" t="s">
        <v>36</v>
      </c>
      <c r="AD619" t="s">
        <v>36</v>
      </c>
      <c r="AE619" t="s">
        <v>36</v>
      </c>
      <c r="AF619" s="1">
        <v>43529</v>
      </c>
      <c r="AG619" t="s">
        <v>36</v>
      </c>
      <c r="AH619" t="s">
        <v>36</v>
      </c>
      <c r="AI619" s="1">
        <v>43530</v>
      </c>
      <c r="AJ619" s="1">
        <v>43528</v>
      </c>
    </row>
    <row r="620" spans="1:36" x14ac:dyDescent="0.35">
      <c r="A620">
        <v>32</v>
      </c>
      <c r="B620" t="s">
        <v>67</v>
      </c>
      <c r="C620" t="s">
        <v>36</v>
      </c>
      <c r="D620" t="s">
        <v>36</v>
      </c>
      <c r="E620" t="s">
        <v>36</v>
      </c>
      <c r="F620" t="s">
        <v>36</v>
      </c>
      <c r="G620" t="s">
        <v>36</v>
      </c>
      <c r="H620" t="s">
        <v>36</v>
      </c>
      <c r="I620" t="s">
        <v>36</v>
      </c>
      <c r="J620" t="s">
        <v>36</v>
      </c>
      <c r="K620" t="s">
        <v>36</v>
      </c>
      <c r="L620" t="s">
        <v>36</v>
      </c>
      <c r="M620" t="s">
        <v>36</v>
      </c>
      <c r="N620" t="s">
        <v>36</v>
      </c>
      <c r="O620" t="s">
        <v>36</v>
      </c>
      <c r="P620" t="s">
        <v>36</v>
      </c>
      <c r="Q620" s="1">
        <v>40911.534722222219</v>
      </c>
      <c r="R620" t="s">
        <v>36</v>
      </c>
      <c r="S620" t="s">
        <v>36</v>
      </c>
      <c r="T620" t="s">
        <v>36</v>
      </c>
      <c r="U620" t="s">
        <v>36</v>
      </c>
      <c r="V620" t="s">
        <v>36</v>
      </c>
      <c r="W620" t="s">
        <v>36</v>
      </c>
      <c r="X620" t="s">
        <v>36</v>
      </c>
      <c r="Y620" t="s">
        <v>36</v>
      </c>
      <c r="Z620" t="s">
        <v>36</v>
      </c>
      <c r="AA620" t="s">
        <v>36</v>
      </c>
      <c r="AB620" t="s">
        <v>36</v>
      </c>
      <c r="AC620" t="s">
        <v>36</v>
      </c>
      <c r="AD620" t="s">
        <v>36</v>
      </c>
      <c r="AE620" t="s">
        <v>36</v>
      </c>
      <c r="AF620" t="s">
        <v>36</v>
      </c>
      <c r="AG620" t="s">
        <v>36</v>
      </c>
      <c r="AH620" t="s">
        <v>36</v>
      </c>
      <c r="AI620" t="s">
        <v>36</v>
      </c>
      <c r="AJ620" t="s">
        <v>36</v>
      </c>
    </row>
    <row r="621" spans="1:36" x14ac:dyDescent="0.35">
      <c r="A621">
        <v>4348</v>
      </c>
      <c r="B621" t="s">
        <v>1140</v>
      </c>
      <c r="C621" t="s">
        <v>36</v>
      </c>
      <c r="D621" t="s">
        <v>36</v>
      </c>
      <c r="E621" t="s">
        <v>36</v>
      </c>
      <c r="F621" t="s">
        <v>36</v>
      </c>
      <c r="G621" t="s">
        <v>36</v>
      </c>
      <c r="H621" t="s">
        <v>36</v>
      </c>
      <c r="I621" t="s">
        <v>36</v>
      </c>
      <c r="J621" t="s">
        <v>36</v>
      </c>
      <c r="K621" t="s">
        <v>36</v>
      </c>
      <c r="L621" t="s">
        <v>36</v>
      </c>
      <c r="M621" t="s">
        <v>36</v>
      </c>
      <c r="N621" t="s">
        <v>36</v>
      </c>
      <c r="O621" t="s">
        <v>36</v>
      </c>
      <c r="P621" t="s">
        <v>36</v>
      </c>
      <c r="Q621" s="1">
        <v>43856.506944444445</v>
      </c>
      <c r="R621" t="s">
        <v>36</v>
      </c>
      <c r="S621" t="s">
        <v>36</v>
      </c>
      <c r="T621" t="s">
        <v>36</v>
      </c>
      <c r="U621" t="s">
        <v>36</v>
      </c>
      <c r="V621" t="s">
        <v>36</v>
      </c>
      <c r="W621" t="s">
        <v>36</v>
      </c>
      <c r="X621" t="s">
        <v>36</v>
      </c>
      <c r="Y621" t="s">
        <v>36</v>
      </c>
      <c r="Z621" t="s">
        <v>36</v>
      </c>
      <c r="AA621" t="s">
        <v>36</v>
      </c>
      <c r="AB621" t="s">
        <v>36</v>
      </c>
      <c r="AC621" t="s">
        <v>36</v>
      </c>
      <c r="AD621" t="s">
        <v>36</v>
      </c>
      <c r="AE621" t="s">
        <v>36</v>
      </c>
      <c r="AF621" t="s">
        <v>36</v>
      </c>
      <c r="AG621" t="s">
        <v>36</v>
      </c>
      <c r="AH621" t="s">
        <v>36</v>
      </c>
      <c r="AI621" t="s">
        <v>36</v>
      </c>
      <c r="AJ621" t="s">
        <v>36</v>
      </c>
    </row>
    <row r="622" spans="1:36" x14ac:dyDescent="0.35">
      <c r="A622">
        <v>4349</v>
      </c>
      <c r="B622" t="s">
        <v>1141</v>
      </c>
      <c r="C622" t="s">
        <v>36</v>
      </c>
      <c r="D622" t="s">
        <v>36</v>
      </c>
      <c r="E622" t="s">
        <v>36</v>
      </c>
      <c r="F622" t="s">
        <v>36</v>
      </c>
      <c r="G622" t="s">
        <v>36</v>
      </c>
      <c r="H622" t="s">
        <v>36</v>
      </c>
      <c r="I622" t="s">
        <v>36</v>
      </c>
      <c r="J622" t="s">
        <v>36</v>
      </c>
      <c r="K622" t="s">
        <v>36</v>
      </c>
      <c r="L622" t="s">
        <v>36</v>
      </c>
      <c r="M622" t="s">
        <v>36</v>
      </c>
      <c r="N622" t="s">
        <v>36</v>
      </c>
      <c r="O622" t="s">
        <v>36</v>
      </c>
      <c r="P622" t="s">
        <v>36</v>
      </c>
      <c r="Q622" s="1">
        <v>43856.506944444445</v>
      </c>
      <c r="R622" t="s">
        <v>36</v>
      </c>
      <c r="S622" t="s">
        <v>36</v>
      </c>
      <c r="T622" t="s">
        <v>36</v>
      </c>
      <c r="U622" t="s">
        <v>36</v>
      </c>
      <c r="V622" t="s">
        <v>36</v>
      </c>
      <c r="W622" t="s">
        <v>36</v>
      </c>
      <c r="X622" t="s">
        <v>36</v>
      </c>
      <c r="Y622" t="s">
        <v>36</v>
      </c>
      <c r="Z622" t="s">
        <v>36</v>
      </c>
      <c r="AA622" t="s">
        <v>36</v>
      </c>
      <c r="AB622" t="s">
        <v>36</v>
      </c>
      <c r="AC622" t="s">
        <v>36</v>
      </c>
      <c r="AD622" t="s">
        <v>36</v>
      </c>
      <c r="AE622" t="s">
        <v>36</v>
      </c>
      <c r="AF622" t="s">
        <v>36</v>
      </c>
      <c r="AG622" t="s">
        <v>36</v>
      </c>
      <c r="AH622" t="s">
        <v>36</v>
      </c>
      <c r="AI622" t="s">
        <v>36</v>
      </c>
      <c r="AJ622" t="s">
        <v>36</v>
      </c>
    </row>
    <row r="623" spans="1:36" x14ac:dyDescent="0.35">
      <c r="A623">
        <v>4350</v>
      </c>
      <c r="B623" t="s">
        <v>1142</v>
      </c>
      <c r="C623" t="s">
        <v>36</v>
      </c>
      <c r="D623" t="s">
        <v>36</v>
      </c>
      <c r="E623" t="s">
        <v>36</v>
      </c>
      <c r="F623" t="s">
        <v>36</v>
      </c>
      <c r="G623" t="s">
        <v>36</v>
      </c>
      <c r="H623" t="s">
        <v>36</v>
      </c>
      <c r="I623" t="s">
        <v>36</v>
      </c>
      <c r="J623" t="s">
        <v>36</v>
      </c>
      <c r="K623" t="s">
        <v>36</v>
      </c>
      <c r="L623" t="s">
        <v>36</v>
      </c>
      <c r="M623" t="s">
        <v>36</v>
      </c>
      <c r="N623" t="s">
        <v>36</v>
      </c>
      <c r="O623" t="s">
        <v>36</v>
      </c>
      <c r="P623" t="s">
        <v>36</v>
      </c>
      <c r="Q623" s="1">
        <v>43856.506944444445</v>
      </c>
      <c r="R623" t="s">
        <v>36</v>
      </c>
      <c r="S623" t="s">
        <v>36</v>
      </c>
      <c r="T623" t="s">
        <v>36</v>
      </c>
      <c r="U623" t="s">
        <v>36</v>
      </c>
      <c r="V623" t="s">
        <v>36</v>
      </c>
      <c r="W623" t="s">
        <v>36</v>
      </c>
      <c r="X623" t="s">
        <v>36</v>
      </c>
      <c r="Y623" t="s">
        <v>36</v>
      </c>
      <c r="Z623" t="s">
        <v>36</v>
      </c>
      <c r="AA623" t="s">
        <v>36</v>
      </c>
      <c r="AB623" t="s">
        <v>36</v>
      </c>
      <c r="AC623" t="s">
        <v>36</v>
      </c>
      <c r="AD623" t="s">
        <v>36</v>
      </c>
      <c r="AE623" t="s">
        <v>36</v>
      </c>
      <c r="AF623" t="s">
        <v>36</v>
      </c>
      <c r="AG623" t="s">
        <v>36</v>
      </c>
      <c r="AH623" t="s">
        <v>36</v>
      </c>
      <c r="AI623" t="s">
        <v>36</v>
      </c>
      <c r="AJ623" t="s">
        <v>36</v>
      </c>
    </row>
    <row r="624" spans="1:36" x14ac:dyDescent="0.35">
      <c r="A624">
        <v>299</v>
      </c>
      <c r="B624" t="s">
        <v>179</v>
      </c>
      <c r="C624" s="1">
        <v>42544.520833333336</v>
      </c>
      <c r="D624" t="s">
        <v>36</v>
      </c>
      <c r="E624" t="s">
        <v>36</v>
      </c>
      <c r="F624" t="s">
        <v>36</v>
      </c>
      <c r="G624" s="1">
        <v>41426</v>
      </c>
      <c r="H624" t="s">
        <v>36</v>
      </c>
      <c r="I624" t="s">
        <v>36</v>
      </c>
      <c r="J624" t="s">
        <v>36</v>
      </c>
      <c r="K624" s="1">
        <v>42528.291666666664</v>
      </c>
      <c r="L624" t="s">
        <v>36</v>
      </c>
      <c r="M624" t="s">
        <v>36</v>
      </c>
      <c r="N624" t="s">
        <v>36</v>
      </c>
      <c r="O624" t="s">
        <v>36</v>
      </c>
      <c r="P624" s="1">
        <v>43059.576388888891</v>
      </c>
      <c r="Q624" t="s">
        <v>36</v>
      </c>
      <c r="R624" t="s">
        <v>36</v>
      </c>
      <c r="S624" t="s">
        <v>36</v>
      </c>
      <c r="T624" s="1">
        <v>42528.291666666664</v>
      </c>
      <c r="U624" t="s">
        <v>36</v>
      </c>
      <c r="V624" s="1">
        <v>42473.520833333336</v>
      </c>
      <c r="W624" t="s">
        <v>36</v>
      </c>
      <c r="X624" t="s">
        <v>36</v>
      </c>
      <c r="Y624" t="s">
        <v>36</v>
      </c>
      <c r="Z624" s="1">
        <v>42648.465277777781</v>
      </c>
      <c r="AA624" t="s">
        <v>36</v>
      </c>
      <c r="AB624" t="s">
        <v>36</v>
      </c>
      <c r="AC624" s="1">
        <v>42485.743055555555</v>
      </c>
      <c r="AD624" s="1">
        <v>43009</v>
      </c>
      <c r="AE624" t="s">
        <v>36</v>
      </c>
      <c r="AF624" s="1">
        <v>42058.680555555555</v>
      </c>
      <c r="AG624" t="s">
        <v>36</v>
      </c>
      <c r="AH624" t="s">
        <v>36</v>
      </c>
      <c r="AI624" s="1">
        <v>41426</v>
      </c>
      <c r="AJ624" s="1">
        <v>43059.576388888891</v>
      </c>
    </row>
    <row r="625" spans="1:36" x14ac:dyDescent="0.35">
      <c r="A625">
        <v>4293</v>
      </c>
      <c r="B625" t="s">
        <v>1104</v>
      </c>
      <c r="C625" s="1">
        <v>43856.5</v>
      </c>
      <c r="D625" t="s">
        <v>36</v>
      </c>
      <c r="E625" t="s">
        <v>36</v>
      </c>
      <c r="F625" t="s">
        <v>36</v>
      </c>
      <c r="G625" s="1">
        <v>43530</v>
      </c>
      <c r="H625" t="s">
        <v>36</v>
      </c>
      <c r="I625" t="s">
        <v>36</v>
      </c>
      <c r="J625" t="s">
        <v>36</v>
      </c>
      <c r="K625" s="1">
        <v>43856.5</v>
      </c>
      <c r="L625" t="s">
        <v>36</v>
      </c>
      <c r="M625" t="s">
        <v>36</v>
      </c>
      <c r="N625" t="s">
        <v>36</v>
      </c>
      <c r="O625" t="s">
        <v>36</v>
      </c>
      <c r="P625" s="1">
        <v>43557</v>
      </c>
      <c r="Q625" t="s">
        <v>36</v>
      </c>
      <c r="R625" t="s">
        <v>36</v>
      </c>
      <c r="S625" t="s">
        <v>36</v>
      </c>
      <c r="T625" s="1">
        <v>43557</v>
      </c>
      <c r="U625" t="s">
        <v>36</v>
      </c>
      <c r="V625" s="1">
        <v>43857.458333333336</v>
      </c>
      <c r="W625" t="s">
        <v>36</v>
      </c>
      <c r="X625" t="s">
        <v>36</v>
      </c>
      <c r="Y625" t="s">
        <v>36</v>
      </c>
      <c r="Z625" s="1">
        <v>43856.5</v>
      </c>
      <c r="AA625" t="s">
        <v>36</v>
      </c>
      <c r="AB625" t="s">
        <v>36</v>
      </c>
      <c r="AC625" s="1">
        <v>43856.416666666664</v>
      </c>
      <c r="AD625" s="1">
        <v>43856.5</v>
      </c>
      <c r="AE625" t="s">
        <v>36</v>
      </c>
      <c r="AF625" s="1">
        <v>43529</v>
      </c>
      <c r="AG625" t="s">
        <v>36</v>
      </c>
      <c r="AH625" t="s">
        <v>36</v>
      </c>
      <c r="AI625" s="1">
        <v>43530</v>
      </c>
      <c r="AJ625" s="1">
        <v>43528</v>
      </c>
    </row>
    <row r="626" spans="1:36" x14ac:dyDescent="0.35">
      <c r="A626">
        <v>4294</v>
      </c>
      <c r="B626" t="s">
        <v>1105</v>
      </c>
      <c r="C626" s="1">
        <v>43856.5</v>
      </c>
      <c r="D626" t="s">
        <v>36</v>
      </c>
      <c r="E626" t="s">
        <v>36</v>
      </c>
      <c r="F626" t="s">
        <v>36</v>
      </c>
      <c r="G626" s="1">
        <v>43530</v>
      </c>
      <c r="H626" t="s">
        <v>36</v>
      </c>
      <c r="I626" t="s">
        <v>36</v>
      </c>
      <c r="J626" t="s">
        <v>36</v>
      </c>
      <c r="K626" s="1">
        <v>43856.5</v>
      </c>
      <c r="L626" t="s">
        <v>36</v>
      </c>
      <c r="M626" t="s">
        <v>36</v>
      </c>
      <c r="N626" t="s">
        <v>36</v>
      </c>
      <c r="O626" t="s">
        <v>36</v>
      </c>
      <c r="P626" s="1">
        <v>43556</v>
      </c>
      <c r="Q626" t="s">
        <v>36</v>
      </c>
      <c r="R626" t="s">
        <v>36</v>
      </c>
      <c r="S626" t="s">
        <v>36</v>
      </c>
      <c r="T626" s="1">
        <v>43557</v>
      </c>
      <c r="U626" t="s">
        <v>36</v>
      </c>
      <c r="V626" s="1">
        <v>43857.458333333336</v>
      </c>
      <c r="W626" t="s">
        <v>36</v>
      </c>
      <c r="X626" t="s">
        <v>36</v>
      </c>
      <c r="Y626" t="s">
        <v>36</v>
      </c>
      <c r="Z626" s="1">
        <v>43856.5</v>
      </c>
      <c r="AA626" t="s">
        <v>36</v>
      </c>
      <c r="AB626" t="s">
        <v>36</v>
      </c>
      <c r="AC626" s="1">
        <v>43856.416666666664</v>
      </c>
      <c r="AD626" s="1">
        <v>43856.5</v>
      </c>
      <c r="AE626" t="s">
        <v>36</v>
      </c>
      <c r="AF626" s="1">
        <v>43529</v>
      </c>
      <c r="AG626" t="s">
        <v>36</v>
      </c>
      <c r="AH626" t="s">
        <v>36</v>
      </c>
      <c r="AI626" s="1">
        <v>43530</v>
      </c>
      <c r="AJ626" s="1">
        <v>43528</v>
      </c>
    </row>
    <row r="627" spans="1:36" x14ac:dyDescent="0.35">
      <c r="A627">
        <v>4295</v>
      </c>
      <c r="B627" t="s">
        <v>1106</v>
      </c>
      <c r="C627" s="1">
        <v>43856.5</v>
      </c>
      <c r="D627" t="s">
        <v>36</v>
      </c>
      <c r="E627" t="s">
        <v>36</v>
      </c>
      <c r="F627" t="s">
        <v>36</v>
      </c>
      <c r="G627" s="1">
        <v>43530</v>
      </c>
      <c r="H627" t="s">
        <v>36</v>
      </c>
      <c r="I627" t="s">
        <v>36</v>
      </c>
      <c r="J627" t="s">
        <v>36</v>
      </c>
      <c r="K627" s="1">
        <v>43856.5</v>
      </c>
      <c r="L627" t="s">
        <v>36</v>
      </c>
      <c r="M627" t="s">
        <v>36</v>
      </c>
      <c r="N627" t="s">
        <v>36</v>
      </c>
      <c r="O627" t="s">
        <v>36</v>
      </c>
      <c r="P627" s="1">
        <v>43556</v>
      </c>
      <c r="Q627" t="s">
        <v>36</v>
      </c>
      <c r="R627" t="s">
        <v>36</v>
      </c>
      <c r="S627" t="s">
        <v>36</v>
      </c>
      <c r="T627" s="1">
        <v>43557</v>
      </c>
      <c r="U627" t="s">
        <v>36</v>
      </c>
      <c r="V627" s="1">
        <v>43857.458333333336</v>
      </c>
      <c r="W627" t="s">
        <v>36</v>
      </c>
      <c r="X627" t="s">
        <v>36</v>
      </c>
      <c r="Y627" t="s">
        <v>36</v>
      </c>
      <c r="Z627" s="1">
        <v>43856.5</v>
      </c>
      <c r="AA627" t="s">
        <v>36</v>
      </c>
      <c r="AB627" t="s">
        <v>36</v>
      </c>
      <c r="AC627" s="1">
        <v>43856.416666666664</v>
      </c>
      <c r="AD627" s="1">
        <v>43856.5</v>
      </c>
      <c r="AE627" t="s">
        <v>36</v>
      </c>
      <c r="AF627" s="1">
        <v>43529</v>
      </c>
      <c r="AG627" t="s">
        <v>36</v>
      </c>
      <c r="AH627" t="s">
        <v>36</v>
      </c>
      <c r="AI627" s="1">
        <v>43530</v>
      </c>
      <c r="AJ627" s="1">
        <v>43528</v>
      </c>
    </row>
    <row r="628" spans="1:36" x14ac:dyDescent="0.35">
      <c r="A628">
        <v>34</v>
      </c>
      <c r="B628" t="s">
        <v>69</v>
      </c>
      <c r="C628" t="s">
        <v>36</v>
      </c>
      <c r="D628" t="s">
        <v>36</v>
      </c>
      <c r="E628" t="s">
        <v>36</v>
      </c>
      <c r="F628" t="s">
        <v>36</v>
      </c>
      <c r="G628" s="1">
        <v>41426</v>
      </c>
      <c r="H628" t="s">
        <v>36</v>
      </c>
      <c r="I628" t="s">
        <v>36</v>
      </c>
      <c r="J628" t="s">
        <v>36</v>
      </c>
      <c r="K628" t="s">
        <v>36</v>
      </c>
      <c r="L628" t="s">
        <v>36</v>
      </c>
      <c r="M628" t="s">
        <v>36</v>
      </c>
      <c r="N628" t="s">
        <v>36</v>
      </c>
      <c r="O628" t="s">
        <v>36</v>
      </c>
      <c r="P628" s="1">
        <v>43059.576388888891</v>
      </c>
      <c r="Q628" s="1">
        <v>40911.534722222219</v>
      </c>
      <c r="R628" t="s">
        <v>36</v>
      </c>
      <c r="S628" t="s">
        <v>36</v>
      </c>
      <c r="T628" s="1">
        <v>42528.291666666664</v>
      </c>
      <c r="U628" t="s">
        <v>36</v>
      </c>
      <c r="V628" t="s">
        <v>36</v>
      </c>
      <c r="W628" t="s">
        <v>36</v>
      </c>
      <c r="X628" t="s">
        <v>36</v>
      </c>
      <c r="Y628" t="s">
        <v>36</v>
      </c>
      <c r="Z628" t="s">
        <v>36</v>
      </c>
      <c r="AA628" t="s">
        <v>36</v>
      </c>
      <c r="AB628" t="s">
        <v>36</v>
      </c>
      <c r="AC628" t="s">
        <v>36</v>
      </c>
      <c r="AD628" t="s">
        <v>36</v>
      </c>
      <c r="AE628" t="s">
        <v>36</v>
      </c>
      <c r="AF628" s="1">
        <v>42058.680555555555</v>
      </c>
      <c r="AG628" t="s">
        <v>36</v>
      </c>
      <c r="AH628" t="s">
        <v>36</v>
      </c>
      <c r="AI628" s="1">
        <v>41426</v>
      </c>
      <c r="AJ628" s="1">
        <v>43059.576388888891</v>
      </c>
    </row>
    <row r="629" spans="1:36" x14ac:dyDescent="0.35">
      <c r="A629">
        <v>4212</v>
      </c>
      <c r="B629" t="s">
        <v>1059</v>
      </c>
      <c r="C629" t="s">
        <v>36</v>
      </c>
      <c r="D629" t="s">
        <v>36</v>
      </c>
      <c r="E629" t="s">
        <v>36</v>
      </c>
      <c r="F629" t="s">
        <v>36</v>
      </c>
      <c r="G629" s="1">
        <v>43530</v>
      </c>
      <c r="H629" t="s">
        <v>36</v>
      </c>
      <c r="I629" t="s">
        <v>36</v>
      </c>
      <c r="J629" t="s">
        <v>36</v>
      </c>
      <c r="K629" t="s">
        <v>36</v>
      </c>
      <c r="L629" t="s">
        <v>36</v>
      </c>
      <c r="M629" t="s">
        <v>36</v>
      </c>
      <c r="N629" t="s">
        <v>36</v>
      </c>
      <c r="O629" t="s">
        <v>36</v>
      </c>
      <c r="P629" s="1">
        <v>43557</v>
      </c>
      <c r="Q629" s="1">
        <v>43856.479166666664</v>
      </c>
      <c r="R629" t="s">
        <v>36</v>
      </c>
      <c r="S629" t="s">
        <v>36</v>
      </c>
      <c r="T629" s="1">
        <v>43557</v>
      </c>
      <c r="U629" t="s">
        <v>36</v>
      </c>
      <c r="V629" t="s">
        <v>36</v>
      </c>
      <c r="W629" t="s">
        <v>36</v>
      </c>
      <c r="X629" t="s">
        <v>36</v>
      </c>
      <c r="Y629" t="s">
        <v>36</v>
      </c>
      <c r="Z629" t="s">
        <v>36</v>
      </c>
      <c r="AA629" t="s">
        <v>36</v>
      </c>
      <c r="AB629" t="s">
        <v>36</v>
      </c>
      <c r="AC629" t="s">
        <v>36</v>
      </c>
      <c r="AD629" t="s">
        <v>36</v>
      </c>
      <c r="AE629" t="s">
        <v>36</v>
      </c>
      <c r="AF629" s="1">
        <v>43529</v>
      </c>
      <c r="AG629" t="s">
        <v>36</v>
      </c>
      <c r="AH629" t="s">
        <v>36</v>
      </c>
      <c r="AI629" s="1">
        <v>43530</v>
      </c>
      <c r="AJ629" s="1">
        <v>43528</v>
      </c>
    </row>
    <row r="630" spans="1:36" x14ac:dyDescent="0.35">
      <c r="A630">
        <v>4213</v>
      </c>
      <c r="B630" t="s">
        <v>1060</v>
      </c>
      <c r="C630" t="s">
        <v>36</v>
      </c>
      <c r="D630" t="s">
        <v>36</v>
      </c>
      <c r="E630" t="s">
        <v>36</v>
      </c>
      <c r="F630" t="s">
        <v>36</v>
      </c>
      <c r="G630" s="1">
        <v>43530</v>
      </c>
      <c r="H630" t="s">
        <v>36</v>
      </c>
      <c r="I630" t="s">
        <v>36</v>
      </c>
      <c r="J630" t="s">
        <v>36</v>
      </c>
      <c r="K630" t="s">
        <v>36</v>
      </c>
      <c r="L630" t="s">
        <v>36</v>
      </c>
      <c r="M630" t="s">
        <v>36</v>
      </c>
      <c r="N630" t="s">
        <v>36</v>
      </c>
      <c r="O630" t="s">
        <v>36</v>
      </c>
      <c r="P630" s="1">
        <v>43556</v>
      </c>
      <c r="Q630" s="1">
        <v>43856.479166666664</v>
      </c>
      <c r="R630" t="s">
        <v>36</v>
      </c>
      <c r="S630" t="s">
        <v>36</v>
      </c>
      <c r="T630" s="1">
        <v>43557</v>
      </c>
      <c r="U630" t="s">
        <v>36</v>
      </c>
      <c r="V630" t="s">
        <v>36</v>
      </c>
      <c r="W630" t="s">
        <v>36</v>
      </c>
      <c r="X630" t="s">
        <v>36</v>
      </c>
      <c r="Y630" t="s">
        <v>36</v>
      </c>
      <c r="Z630" t="s">
        <v>36</v>
      </c>
      <c r="AA630" t="s">
        <v>36</v>
      </c>
      <c r="AB630" t="s">
        <v>36</v>
      </c>
      <c r="AC630" t="s">
        <v>36</v>
      </c>
      <c r="AD630" t="s">
        <v>36</v>
      </c>
      <c r="AE630" t="s">
        <v>36</v>
      </c>
      <c r="AF630" s="1">
        <v>43529</v>
      </c>
      <c r="AG630" t="s">
        <v>36</v>
      </c>
      <c r="AH630" t="s">
        <v>36</v>
      </c>
      <c r="AI630" s="1">
        <v>43530</v>
      </c>
      <c r="AJ630" s="1">
        <v>43528</v>
      </c>
    </row>
    <row r="631" spans="1:36" x14ac:dyDescent="0.35">
      <c r="A631">
        <v>4214</v>
      </c>
      <c r="B631" t="s">
        <v>1061</v>
      </c>
      <c r="C631" t="s">
        <v>36</v>
      </c>
      <c r="D631" t="s">
        <v>36</v>
      </c>
      <c r="E631" t="s">
        <v>36</v>
      </c>
      <c r="F631" t="s">
        <v>36</v>
      </c>
      <c r="G631" s="1">
        <v>43530</v>
      </c>
      <c r="H631" t="s">
        <v>36</v>
      </c>
      <c r="I631" t="s">
        <v>36</v>
      </c>
      <c r="J631" t="s">
        <v>36</v>
      </c>
      <c r="K631" t="s">
        <v>36</v>
      </c>
      <c r="L631" t="s">
        <v>36</v>
      </c>
      <c r="M631" t="s">
        <v>36</v>
      </c>
      <c r="N631" t="s">
        <v>36</v>
      </c>
      <c r="O631" t="s">
        <v>36</v>
      </c>
      <c r="P631" s="1">
        <v>43556</v>
      </c>
      <c r="Q631" s="1">
        <v>43856.479166666664</v>
      </c>
      <c r="R631" t="s">
        <v>36</v>
      </c>
      <c r="S631" t="s">
        <v>36</v>
      </c>
      <c r="T631" s="1">
        <v>43557</v>
      </c>
      <c r="U631" t="s">
        <v>36</v>
      </c>
      <c r="V631" t="s">
        <v>36</v>
      </c>
      <c r="W631" t="s">
        <v>36</v>
      </c>
      <c r="X631" t="s">
        <v>36</v>
      </c>
      <c r="Y631" t="s">
        <v>36</v>
      </c>
      <c r="Z631" t="s">
        <v>36</v>
      </c>
      <c r="AA631" t="s">
        <v>36</v>
      </c>
      <c r="AB631" t="s">
        <v>36</v>
      </c>
      <c r="AC631" t="s">
        <v>36</v>
      </c>
      <c r="AD631" t="s">
        <v>36</v>
      </c>
      <c r="AE631" t="s">
        <v>36</v>
      </c>
      <c r="AF631" s="1">
        <v>43529</v>
      </c>
      <c r="AG631" t="s">
        <v>36</v>
      </c>
      <c r="AH631" t="s">
        <v>36</v>
      </c>
      <c r="AI631" s="1">
        <v>43530</v>
      </c>
      <c r="AJ631" s="1">
        <v>43528</v>
      </c>
    </row>
    <row r="632" spans="1:36" x14ac:dyDescent="0.35">
      <c r="A632">
        <v>373</v>
      </c>
      <c r="B632" t="s">
        <v>208</v>
      </c>
      <c r="C632" t="s">
        <v>36</v>
      </c>
      <c r="D632" t="s">
        <v>36</v>
      </c>
      <c r="E632" t="s">
        <v>36</v>
      </c>
      <c r="F632" t="s">
        <v>36</v>
      </c>
      <c r="G632" s="1">
        <v>41426</v>
      </c>
      <c r="H632" t="s">
        <v>36</v>
      </c>
      <c r="I632" t="s">
        <v>36</v>
      </c>
      <c r="J632" t="s">
        <v>36</v>
      </c>
      <c r="K632" t="s">
        <v>36</v>
      </c>
      <c r="L632" t="s">
        <v>36</v>
      </c>
      <c r="M632" t="s">
        <v>36</v>
      </c>
      <c r="N632" t="s">
        <v>36</v>
      </c>
      <c r="O632" t="s">
        <v>36</v>
      </c>
      <c r="P632" s="1">
        <v>43059.576388888891</v>
      </c>
      <c r="Q632" t="s">
        <v>36</v>
      </c>
      <c r="R632" t="s">
        <v>36</v>
      </c>
      <c r="S632" t="s">
        <v>36</v>
      </c>
      <c r="T632" s="1">
        <v>42528.291666666664</v>
      </c>
      <c r="U632" t="s">
        <v>36</v>
      </c>
      <c r="V632" t="s">
        <v>36</v>
      </c>
      <c r="W632" t="s">
        <v>36</v>
      </c>
      <c r="X632" t="s">
        <v>36</v>
      </c>
      <c r="Y632" t="s">
        <v>36</v>
      </c>
      <c r="Z632" t="s">
        <v>36</v>
      </c>
      <c r="AA632" t="s">
        <v>36</v>
      </c>
      <c r="AB632" t="s">
        <v>36</v>
      </c>
      <c r="AC632" t="s">
        <v>36</v>
      </c>
      <c r="AD632" t="s">
        <v>36</v>
      </c>
      <c r="AE632" t="s">
        <v>36</v>
      </c>
      <c r="AF632" s="1">
        <v>42058.680555555555</v>
      </c>
      <c r="AG632" t="s">
        <v>36</v>
      </c>
      <c r="AH632" t="s">
        <v>36</v>
      </c>
      <c r="AI632" s="1">
        <v>41426</v>
      </c>
      <c r="AJ632" s="1">
        <v>43059.576388888891</v>
      </c>
    </row>
    <row r="633" spans="1:36" x14ac:dyDescent="0.35">
      <c r="A633">
        <v>4375</v>
      </c>
      <c r="B633" t="s">
        <v>1158</v>
      </c>
      <c r="C633" t="s">
        <v>36</v>
      </c>
      <c r="D633" t="s">
        <v>36</v>
      </c>
      <c r="E633" t="s">
        <v>36</v>
      </c>
      <c r="F633" t="s">
        <v>36</v>
      </c>
      <c r="G633" s="1">
        <v>43530</v>
      </c>
      <c r="H633" t="s">
        <v>36</v>
      </c>
      <c r="I633" t="s">
        <v>36</v>
      </c>
      <c r="J633" t="s">
        <v>36</v>
      </c>
      <c r="K633" t="s">
        <v>36</v>
      </c>
      <c r="L633" t="s">
        <v>36</v>
      </c>
      <c r="M633" t="s">
        <v>36</v>
      </c>
      <c r="N633" t="s">
        <v>36</v>
      </c>
      <c r="O633" t="s">
        <v>36</v>
      </c>
      <c r="P633" s="1">
        <v>43559</v>
      </c>
      <c r="Q633" t="s">
        <v>36</v>
      </c>
      <c r="R633" t="s">
        <v>36</v>
      </c>
      <c r="S633" t="s">
        <v>36</v>
      </c>
      <c r="T633" s="1">
        <v>43557</v>
      </c>
      <c r="U633" t="s">
        <v>36</v>
      </c>
      <c r="V633" t="s">
        <v>36</v>
      </c>
      <c r="W633" t="s">
        <v>36</v>
      </c>
      <c r="X633" t="s">
        <v>36</v>
      </c>
      <c r="Y633" t="s">
        <v>36</v>
      </c>
      <c r="Z633" t="s">
        <v>36</v>
      </c>
      <c r="AA633" t="s">
        <v>36</v>
      </c>
      <c r="AB633" t="s">
        <v>36</v>
      </c>
      <c r="AC633" t="s">
        <v>36</v>
      </c>
      <c r="AD633" t="s">
        <v>36</v>
      </c>
      <c r="AE633" t="s">
        <v>36</v>
      </c>
      <c r="AF633" s="1">
        <v>43529</v>
      </c>
      <c r="AG633" t="s">
        <v>36</v>
      </c>
      <c r="AH633" t="s">
        <v>36</v>
      </c>
      <c r="AI633" s="1">
        <v>43530</v>
      </c>
      <c r="AJ633" s="1">
        <v>43528</v>
      </c>
    </row>
    <row r="634" spans="1:36" x14ac:dyDescent="0.35">
      <c r="A634">
        <v>4376</v>
      </c>
      <c r="B634" t="s">
        <v>1159</v>
      </c>
      <c r="C634" t="s">
        <v>36</v>
      </c>
      <c r="D634" t="s">
        <v>36</v>
      </c>
      <c r="E634" t="s">
        <v>36</v>
      </c>
      <c r="F634" t="s">
        <v>36</v>
      </c>
      <c r="G634" s="1">
        <v>43530</v>
      </c>
      <c r="H634" t="s">
        <v>36</v>
      </c>
      <c r="I634" t="s">
        <v>36</v>
      </c>
      <c r="J634" t="s">
        <v>36</v>
      </c>
      <c r="K634" t="s">
        <v>36</v>
      </c>
      <c r="L634" t="s">
        <v>36</v>
      </c>
      <c r="M634" t="s">
        <v>36</v>
      </c>
      <c r="N634" t="s">
        <v>36</v>
      </c>
      <c r="O634" t="s">
        <v>36</v>
      </c>
      <c r="P634" s="1">
        <v>43557</v>
      </c>
      <c r="Q634" t="s">
        <v>36</v>
      </c>
      <c r="R634" t="s">
        <v>36</v>
      </c>
      <c r="S634" t="s">
        <v>36</v>
      </c>
      <c r="T634" s="1">
        <v>43557</v>
      </c>
      <c r="U634" t="s">
        <v>36</v>
      </c>
      <c r="V634" t="s">
        <v>36</v>
      </c>
      <c r="W634" t="s">
        <v>36</v>
      </c>
      <c r="X634" t="s">
        <v>36</v>
      </c>
      <c r="Y634" t="s">
        <v>36</v>
      </c>
      <c r="Z634" t="s">
        <v>36</v>
      </c>
      <c r="AA634" t="s">
        <v>36</v>
      </c>
      <c r="AB634" t="s">
        <v>36</v>
      </c>
      <c r="AC634" t="s">
        <v>36</v>
      </c>
      <c r="AD634" t="s">
        <v>36</v>
      </c>
      <c r="AE634" t="s">
        <v>36</v>
      </c>
      <c r="AF634" s="1">
        <v>43529</v>
      </c>
      <c r="AG634" t="s">
        <v>36</v>
      </c>
      <c r="AH634" t="s">
        <v>36</v>
      </c>
      <c r="AI634" s="1">
        <v>43530</v>
      </c>
      <c r="AJ634" s="1">
        <v>43528</v>
      </c>
    </row>
    <row r="635" spans="1:36" x14ac:dyDescent="0.35">
      <c r="A635">
        <v>4377</v>
      </c>
      <c r="B635" t="s">
        <v>1160</v>
      </c>
      <c r="C635" t="s">
        <v>36</v>
      </c>
      <c r="D635" t="s">
        <v>36</v>
      </c>
      <c r="E635" t="s">
        <v>36</v>
      </c>
      <c r="F635" t="s">
        <v>36</v>
      </c>
      <c r="G635" s="1">
        <v>43530</v>
      </c>
      <c r="H635" t="s">
        <v>36</v>
      </c>
      <c r="I635" t="s">
        <v>36</v>
      </c>
      <c r="J635" t="s">
        <v>36</v>
      </c>
      <c r="K635" t="s">
        <v>36</v>
      </c>
      <c r="L635" t="s">
        <v>36</v>
      </c>
      <c r="M635" t="s">
        <v>36</v>
      </c>
      <c r="N635" t="s">
        <v>36</v>
      </c>
      <c r="O635" t="s">
        <v>36</v>
      </c>
      <c r="P635" s="1">
        <v>43557</v>
      </c>
      <c r="Q635" t="s">
        <v>36</v>
      </c>
      <c r="R635" t="s">
        <v>36</v>
      </c>
      <c r="S635" t="s">
        <v>36</v>
      </c>
      <c r="T635" s="1">
        <v>43557</v>
      </c>
      <c r="U635" t="s">
        <v>36</v>
      </c>
      <c r="V635" t="s">
        <v>36</v>
      </c>
      <c r="W635" t="s">
        <v>36</v>
      </c>
      <c r="X635" t="s">
        <v>36</v>
      </c>
      <c r="Y635" t="s">
        <v>36</v>
      </c>
      <c r="Z635" t="s">
        <v>36</v>
      </c>
      <c r="AA635" t="s">
        <v>36</v>
      </c>
      <c r="AB635" t="s">
        <v>36</v>
      </c>
      <c r="AC635" t="s">
        <v>36</v>
      </c>
      <c r="AD635" t="s">
        <v>36</v>
      </c>
      <c r="AE635" t="s">
        <v>36</v>
      </c>
      <c r="AF635" s="1">
        <v>43529</v>
      </c>
      <c r="AG635" t="s">
        <v>36</v>
      </c>
      <c r="AH635" t="s">
        <v>36</v>
      </c>
      <c r="AI635" s="1">
        <v>43530</v>
      </c>
      <c r="AJ635" s="1">
        <v>43528</v>
      </c>
    </row>
    <row r="636" spans="1:36" x14ac:dyDescent="0.35">
      <c r="A636">
        <v>374</v>
      </c>
      <c r="B636" t="s">
        <v>209</v>
      </c>
      <c r="C636" t="s">
        <v>36</v>
      </c>
      <c r="D636" t="s">
        <v>36</v>
      </c>
      <c r="E636" t="s">
        <v>36</v>
      </c>
      <c r="F636" t="s">
        <v>36</v>
      </c>
      <c r="G636" s="1">
        <v>41426</v>
      </c>
      <c r="H636" t="s">
        <v>36</v>
      </c>
      <c r="I636" t="s">
        <v>36</v>
      </c>
      <c r="J636" t="s">
        <v>36</v>
      </c>
      <c r="K636" t="s">
        <v>36</v>
      </c>
      <c r="L636" t="s">
        <v>36</v>
      </c>
      <c r="M636" t="s">
        <v>36</v>
      </c>
      <c r="N636" t="s">
        <v>36</v>
      </c>
      <c r="O636" t="s">
        <v>36</v>
      </c>
      <c r="P636" s="1">
        <v>43059.576388888891</v>
      </c>
      <c r="Q636" t="s">
        <v>36</v>
      </c>
      <c r="R636" t="s">
        <v>36</v>
      </c>
      <c r="S636" t="s">
        <v>36</v>
      </c>
      <c r="T636" s="1">
        <v>42528.291666666664</v>
      </c>
      <c r="U636" t="s">
        <v>36</v>
      </c>
      <c r="V636" t="s">
        <v>36</v>
      </c>
      <c r="W636" t="s">
        <v>36</v>
      </c>
      <c r="X636" t="s">
        <v>36</v>
      </c>
      <c r="Y636" t="s">
        <v>36</v>
      </c>
      <c r="Z636" t="s">
        <v>36</v>
      </c>
      <c r="AA636" t="s">
        <v>36</v>
      </c>
      <c r="AB636" t="s">
        <v>36</v>
      </c>
      <c r="AC636" t="s">
        <v>36</v>
      </c>
      <c r="AD636" t="s">
        <v>36</v>
      </c>
      <c r="AE636" t="s">
        <v>36</v>
      </c>
      <c r="AF636" s="1">
        <v>42058.680555555555</v>
      </c>
      <c r="AG636" t="s">
        <v>36</v>
      </c>
      <c r="AH636" t="s">
        <v>36</v>
      </c>
      <c r="AI636" s="1">
        <v>41426</v>
      </c>
      <c r="AJ636" s="1">
        <v>43059.576388888891</v>
      </c>
    </row>
    <row r="637" spans="1:36" x14ac:dyDescent="0.35">
      <c r="A637">
        <v>4378</v>
      </c>
      <c r="B637" t="s">
        <v>1161</v>
      </c>
      <c r="C637" t="s">
        <v>36</v>
      </c>
      <c r="D637" t="s">
        <v>36</v>
      </c>
      <c r="E637" t="s">
        <v>36</v>
      </c>
      <c r="F637" t="s">
        <v>36</v>
      </c>
      <c r="G637" s="1">
        <v>43530</v>
      </c>
      <c r="H637" t="s">
        <v>36</v>
      </c>
      <c r="I637" t="s">
        <v>36</v>
      </c>
      <c r="J637" t="s">
        <v>36</v>
      </c>
      <c r="K637" t="s">
        <v>36</v>
      </c>
      <c r="L637" t="s">
        <v>36</v>
      </c>
      <c r="M637" t="s">
        <v>36</v>
      </c>
      <c r="N637" t="s">
        <v>36</v>
      </c>
      <c r="O637" t="s">
        <v>36</v>
      </c>
      <c r="P637" s="1">
        <v>43559</v>
      </c>
      <c r="Q637" t="s">
        <v>36</v>
      </c>
      <c r="R637" t="s">
        <v>36</v>
      </c>
      <c r="S637" t="s">
        <v>36</v>
      </c>
      <c r="T637" s="1">
        <v>43557</v>
      </c>
      <c r="U637" t="s">
        <v>36</v>
      </c>
      <c r="V637" t="s">
        <v>36</v>
      </c>
      <c r="W637" t="s">
        <v>36</v>
      </c>
      <c r="X637" t="s">
        <v>36</v>
      </c>
      <c r="Y637" t="s">
        <v>36</v>
      </c>
      <c r="Z637" t="s">
        <v>36</v>
      </c>
      <c r="AA637" t="s">
        <v>36</v>
      </c>
      <c r="AB637" t="s">
        <v>36</v>
      </c>
      <c r="AC637" t="s">
        <v>36</v>
      </c>
      <c r="AD637" t="s">
        <v>36</v>
      </c>
      <c r="AE637" t="s">
        <v>36</v>
      </c>
      <c r="AF637" s="1">
        <v>43529</v>
      </c>
      <c r="AG637" t="s">
        <v>36</v>
      </c>
      <c r="AH637" t="s">
        <v>36</v>
      </c>
      <c r="AI637" s="1">
        <v>43530</v>
      </c>
      <c r="AJ637" s="1">
        <v>43528</v>
      </c>
    </row>
    <row r="638" spans="1:36" x14ac:dyDescent="0.35">
      <c r="A638">
        <v>4379</v>
      </c>
      <c r="B638" t="s">
        <v>1162</v>
      </c>
      <c r="C638" t="s">
        <v>36</v>
      </c>
      <c r="D638" t="s">
        <v>36</v>
      </c>
      <c r="E638" t="s">
        <v>36</v>
      </c>
      <c r="F638" t="s">
        <v>36</v>
      </c>
      <c r="G638" s="1">
        <v>43530</v>
      </c>
      <c r="H638" t="s">
        <v>36</v>
      </c>
      <c r="I638" t="s">
        <v>36</v>
      </c>
      <c r="J638" t="s">
        <v>36</v>
      </c>
      <c r="K638" t="s">
        <v>36</v>
      </c>
      <c r="L638" t="s">
        <v>36</v>
      </c>
      <c r="M638" t="s">
        <v>36</v>
      </c>
      <c r="N638" t="s">
        <v>36</v>
      </c>
      <c r="O638" t="s">
        <v>36</v>
      </c>
      <c r="P638" s="1">
        <v>43557</v>
      </c>
      <c r="Q638" t="s">
        <v>36</v>
      </c>
      <c r="R638" t="s">
        <v>36</v>
      </c>
      <c r="S638" t="s">
        <v>36</v>
      </c>
      <c r="T638" s="1">
        <v>43557</v>
      </c>
      <c r="U638" t="s">
        <v>36</v>
      </c>
      <c r="V638" t="s">
        <v>36</v>
      </c>
      <c r="W638" t="s">
        <v>36</v>
      </c>
      <c r="X638" t="s">
        <v>36</v>
      </c>
      <c r="Y638" t="s">
        <v>36</v>
      </c>
      <c r="Z638" t="s">
        <v>36</v>
      </c>
      <c r="AA638" t="s">
        <v>36</v>
      </c>
      <c r="AB638" t="s">
        <v>36</v>
      </c>
      <c r="AC638" t="s">
        <v>36</v>
      </c>
      <c r="AD638" t="s">
        <v>36</v>
      </c>
      <c r="AE638" t="s">
        <v>36</v>
      </c>
      <c r="AF638" s="1">
        <v>43529</v>
      </c>
      <c r="AG638" t="s">
        <v>36</v>
      </c>
      <c r="AH638" t="s">
        <v>36</v>
      </c>
      <c r="AI638" s="1">
        <v>43530</v>
      </c>
      <c r="AJ638" s="1">
        <v>43528</v>
      </c>
    </row>
    <row r="639" spans="1:36" x14ac:dyDescent="0.35">
      <c r="A639">
        <v>4380</v>
      </c>
      <c r="B639" t="s">
        <v>1163</v>
      </c>
      <c r="C639" t="s">
        <v>36</v>
      </c>
      <c r="D639" t="s">
        <v>36</v>
      </c>
      <c r="E639" t="s">
        <v>36</v>
      </c>
      <c r="F639" t="s">
        <v>36</v>
      </c>
      <c r="G639" s="1">
        <v>43530</v>
      </c>
      <c r="H639" t="s">
        <v>36</v>
      </c>
      <c r="I639" t="s">
        <v>36</v>
      </c>
      <c r="J639" t="s">
        <v>36</v>
      </c>
      <c r="K639" t="s">
        <v>36</v>
      </c>
      <c r="L639" t="s">
        <v>36</v>
      </c>
      <c r="M639" t="s">
        <v>36</v>
      </c>
      <c r="N639" t="s">
        <v>36</v>
      </c>
      <c r="O639" t="s">
        <v>36</v>
      </c>
      <c r="P639" s="1">
        <v>43557</v>
      </c>
      <c r="Q639" t="s">
        <v>36</v>
      </c>
      <c r="R639" t="s">
        <v>36</v>
      </c>
      <c r="S639" t="s">
        <v>36</v>
      </c>
      <c r="T639" s="1">
        <v>43557</v>
      </c>
      <c r="U639" t="s">
        <v>36</v>
      </c>
      <c r="V639" t="s">
        <v>36</v>
      </c>
      <c r="W639" t="s">
        <v>36</v>
      </c>
      <c r="X639" t="s">
        <v>36</v>
      </c>
      <c r="Y639" t="s">
        <v>36</v>
      </c>
      <c r="Z639" t="s">
        <v>36</v>
      </c>
      <c r="AA639" t="s">
        <v>36</v>
      </c>
      <c r="AB639" t="s">
        <v>36</v>
      </c>
      <c r="AC639" t="s">
        <v>36</v>
      </c>
      <c r="AD639" t="s">
        <v>36</v>
      </c>
      <c r="AE639" t="s">
        <v>36</v>
      </c>
      <c r="AF639" s="1">
        <v>43529</v>
      </c>
      <c r="AG639" t="s">
        <v>36</v>
      </c>
      <c r="AH639" t="s">
        <v>36</v>
      </c>
      <c r="AI639" s="1">
        <v>43530</v>
      </c>
      <c r="AJ639" s="1">
        <v>43528</v>
      </c>
    </row>
    <row r="640" spans="1:36" x14ac:dyDescent="0.35">
      <c r="A640">
        <v>375</v>
      </c>
      <c r="B640" t="s">
        <v>210</v>
      </c>
      <c r="C640" t="s">
        <v>36</v>
      </c>
      <c r="D640" t="s">
        <v>36</v>
      </c>
      <c r="E640" t="s">
        <v>36</v>
      </c>
      <c r="F640" t="s">
        <v>36</v>
      </c>
      <c r="G640" s="1">
        <v>41426</v>
      </c>
      <c r="H640" t="s">
        <v>36</v>
      </c>
      <c r="I640" t="s">
        <v>36</v>
      </c>
      <c r="J640" t="s">
        <v>36</v>
      </c>
      <c r="K640" t="s">
        <v>36</v>
      </c>
      <c r="L640" t="s">
        <v>36</v>
      </c>
      <c r="M640" t="s">
        <v>36</v>
      </c>
      <c r="N640" t="s">
        <v>36</v>
      </c>
      <c r="O640" t="s">
        <v>36</v>
      </c>
      <c r="P640" s="1">
        <v>43059.576388888891</v>
      </c>
      <c r="Q640" t="s">
        <v>36</v>
      </c>
      <c r="R640" t="s">
        <v>36</v>
      </c>
      <c r="S640" t="s">
        <v>36</v>
      </c>
      <c r="T640" s="1">
        <v>42528.291666666664</v>
      </c>
      <c r="U640" t="s">
        <v>36</v>
      </c>
      <c r="V640" t="s">
        <v>36</v>
      </c>
      <c r="W640" t="s">
        <v>36</v>
      </c>
      <c r="X640" t="s">
        <v>36</v>
      </c>
      <c r="Y640" t="s">
        <v>36</v>
      </c>
      <c r="Z640" t="s">
        <v>36</v>
      </c>
      <c r="AA640" t="s">
        <v>36</v>
      </c>
      <c r="AB640" t="s">
        <v>36</v>
      </c>
      <c r="AC640" t="s">
        <v>36</v>
      </c>
      <c r="AD640" t="s">
        <v>36</v>
      </c>
      <c r="AE640" t="s">
        <v>36</v>
      </c>
      <c r="AF640" s="1">
        <v>42058.680555555555</v>
      </c>
      <c r="AG640" t="s">
        <v>36</v>
      </c>
      <c r="AH640" t="s">
        <v>36</v>
      </c>
      <c r="AI640" s="1">
        <v>41426</v>
      </c>
      <c r="AJ640" s="1">
        <v>43059.576388888891</v>
      </c>
    </row>
    <row r="641" spans="1:36" x14ac:dyDescent="0.35">
      <c r="A641">
        <v>4381</v>
      </c>
      <c r="B641" t="s">
        <v>1164</v>
      </c>
      <c r="C641" t="s">
        <v>36</v>
      </c>
      <c r="D641" t="s">
        <v>36</v>
      </c>
      <c r="E641" t="s">
        <v>36</v>
      </c>
      <c r="F641" t="s">
        <v>36</v>
      </c>
      <c r="G641" s="1">
        <v>43530</v>
      </c>
      <c r="H641" t="s">
        <v>36</v>
      </c>
      <c r="I641" t="s">
        <v>36</v>
      </c>
      <c r="J641" t="s">
        <v>36</v>
      </c>
      <c r="K641" t="s">
        <v>36</v>
      </c>
      <c r="L641" t="s">
        <v>36</v>
      </c>
      <c r="M641" t="s">
        <v>36</v>
      </c>
      <c r="N641" t="s">
        <v>36</v>
      </c>
      <c r="O641" t="s">
        <v>36</v>
      </c>
      <c r="P641" s="1">
        <v>43559</v>
      </c>
      <c r="Q641" t="s">
        <v>36</v>
      </c>
      <c r="R641" t="s">
        <v>36</v>
      </c>
      <c r="S641" t="s">
        <v>36</v>
      </c>
      <c r="T641" s="1">
        <v>43557</v>
      </c>
      <c r="U641" t="s">
        <v>36</v>
      </c>
      <c r="V641" t="s">
        <v>36</v>
      </c>
      <c r="W641" t="s">
        <v>36</v>
      </c>
      <c r="X641" t="s">
        <v>36</v>
      </c>
      <c r="Y641" t="s">
        <v>36</v>
      </c>
      <c r="Z641" t="s">
        <v>36</v>
      </c>
      <c r="AA641" t="s">
        <v>36</v>
      </c>
      <c r="AB641" t="s">
        <v>36</v>
      </c>
      <c r="AC641" t="s">
        <v>36</v>
      </c>
      <c r="AD641" t="s">
        <v>36</v>
      </c>
      <c r="AE641" t="s">
        <v>36</v>
      </c>
      <c r="AF641" s="1">
        <v>43529</v>
      </c>
      <c r="AG641" t="s">
        <v>36</v>
      </c>
      <c r="AH641" t="s">
        <v>36</v>
      </c>
      <c r="AI641" s="1">
        <v>43530</v>
      </c>
      <c r="AJ641" s="1">
        <v>43528</v>
      </c>
    </row>
    <row r="642" spans="1:36" x14ac:dyDescent="0.35">
      <c r="A642">
        <v>4382</v>
      </c>
      <c r="B642" t="s">
        <v>1165</v>
      </c>
      <c r="C642" t="s">
        <v>36</v>
      </c>
      <c r="D642" t="s">
        <v>36</v>
      </c>
      <c r="E642" t="s">
        <v>36</v>
      </c>
      <c r="F642" t="s">
        <v>36</v>
      </c>
      <c r="G642" s="1">
        <v>43530</v>
      </c>
      <c r="H642" t="s">
        <v>36</v>
      </c>
      <c r="I642" t="s">
        <v>36</v>
      </c>
      <c r="J642" t="s">
        <v>36</v>
      </c>
      <c r="K642" t="s">
        <v>36</v>
      </c>
      <c r="L642" t="s">
        <v>36</v>
      </c>
      <c r="M642" t="s">
        <v>36</v>
      </c>
      <c r="N642" t="s">
        <v>36</v>
      </c>
      <c r="O642" t="s">
        <v>36</v>
      </c>
      <c r="P642" s="1">
        <v>43557</v>
      </c>
      <c r="Q642" t="s">
        <v>36</v>
      </c>
      <c r="R642" t="s">
        <v>36</v>
      </c>
      <c r="S642" t="s">
        <v>36</v>
      </c>
      <c r="T642" s="1">
        <v>43557</v>
      </c>
      <c r="U642" t="s">
        <v>36</v>
      </c>
      <c r="V642" t="s">
        <v>36</v>
      </c>
      <c r="W642" t="s">
        <v>36</v>
      </c>
      <c r="X642" t="s">
        <v>36</v>
      </c>
      <c r="Y642" t="s">
        <v>36</v>
      </c>
      <c r="Z642" t="s">
        <v>36</v>
      </c>
      <c r="AA642" t="s">
        <v>36</v>
      </c>
      <c r="AB642" t="s">
        <v>36</v>
      </c>
      <c r="AC642" t="s">
        <v>36</v>
      </c>
      <c r="AD642" t="s">
        <v>36</v>
      </c>
      <c r="AE642" t="s">
        <v>36</v>
      </c>
      <c r="AF642" s="1">
        <v>43529</v>
      </c>
      <c r="AG642" t="s">
        <v>36</v>
      </c>
      <c r="AH642" t="s">
        <v>36</v>
      </c>
      <c r="AI642" s="1">
        <v>43530</v>
      </c>
      <c r="AJ642" s="1">
        <v>43528</v>
      </c>
    </row>
    <row r="643" spans="1:36" x14ac:dyDescent="0.35">
      <c r="A643">
        <v>4383</v>
      </c>
      <c r="B643" t="s">
        <v>1166</v>
      </c>
      <c r="C643" t="s">
        <v>36</v>
      </c>
      <c r="D643" t="s">
        <v>36</v>
      </c>
      <c r="E643" t="s">
        <v>36</v>
      </c>
      <c r="F643" t="s">
        <v>36</v>
      </c>
      <c r="G643" s="1">
        <v>43530</v>
      </c>
      <c r="H643" t="s">
        <v>36</v>
      </c>
      <c r="I643" t="s">
        <v>36</v>
      </c>
      <c r="J643" t="s">
        <v>36</v>
      </c>
      <c r="K643" t="s">
        <v>36</v>
      </c>
      <c r="L643" t="s">
        <v>36</v>
      </c>
      <c r="M643" t="s">
        <v>36</v>
      </c>
      <c r="N643" t="s">
        <v>36</v>
      </c>
      <c r="O643" t="s">
        <v>36</v>
      </c>
      <c r="P643" s="1">
        <v>43557</v>
      </c>
      <c r="Q643" t="s">
        <v>36</v>
      </c>
      <c r="R643" t="s">
        <v>36</v>
      </c>
      <c r="S643" t="s">
        <v>36</v>
      </c>
      <c r="T643" s="1">
        <v>43557</v>
      </c>
      <c r="U643" t="s">
        <v>36</v>
      </c>
      <c r="V643" t="s">
        <v>36</v>
      </c>
      <c r="W643" t="s">
        <v>36</v>
      </c>
      <c r="X643" t="s">
        <v>36</v>
      </c>
      <c r="Y643" t="s">
        <v>36</v>
      </c>
      <c r="Z643" t="s">
        <v>36</v>
      </c>
      <c r="AA643" t="s">
        <v>36</v>
      </c>
      <c r="AB643" t="s">
        <v>36</v>
      </c>
      <c r="AC643" t="s">
        <v>36</v>
      </c>
      <c r="AD643" t="s">
        <v>36</v>
      </c>
      <c r="AE643" t="s">
        <v>36</v>
      </c>
      <c r="AF643" s="1">
        <v>43529</v>
      </c>
      <c r="AG643" t="s">
        <v>36</v>
      </c>
      <c r="AH643" t="s">
        <v>36</v>
      </c>
      <c r="AI643" s="1">
        <v>43530</v>
      </c>
      <c r="AJ643" s="1">
        <v>43528</v>
      </c>
    </row>
    <row r="644" spans="1:36" x14ac:dyDescent="0.35">
      <c r="A644">
        <v>156</v>
      </c>
      <c r="B644" t="s">
        <v>128</v>
      </c>
      <c r="C644" t="s">
        <v>36</v>
      </c>
      <c r="D644" s="1">
        <v>42058.680555555555</v>
      </c>
      <c r="E644" t="s">
        <v>36</v>
      </c>
      <c r="F644" t="s">
        <v>36</v>
      </c>
      <c r="G644" s="1">
        <v>41426</v>
      </c>
      <c r="H644" t="s">
        <v>36</v>
      </c>
      <c r="I644" t="s">
        <v>36</v>
      </c>
      <c r="J644" t="s">
        <v>36</v>
      </c>
      <c r="K644" t="s">
        <v>36</v>
      </c>
      <c r="L644" t="s">
        <v>36</v>
      </c>
      <c r="M644" t="s">
        <v>36</v>
      </c>
      <c r="N644" s="1">
        <v>42735.993055555555</v>
      </c>
      <c r="O644" s="1">
        <v>42206.590277777781</v>
      </c>
      <c r="P644" s="1">
        <v>43059.576388888891</v>
      </c>
      <c r="Q644" t="s">
        <v>36</v>
      </c>
      <c r="R644" t="s">
        <v>36</v>
      </c>
      <c r="S644" t="s">
        <v>36</v>
      </c>
      <c r="T644" s="1">
        <v>42528.291666666664</v>
      </c>
      <c r="U644" t="s">
        <v>36</v>
      </c>
      <c r="V644" t="s">
        <v>36</v>
      </c>
      <c r="W644" t="s">
        <v>36</v>
      </c>
      <c r="X644" s="1">
        <v>42193.659722222219</v>
      </c>
      <c r="Y644" t="s">
        <v>36</v>
      </c>
      <c r="Z644" t="s">
        <v>36</v>
      </c>
      <c r="AA644" t="s">
        <v>36</v>
      </c>
      <c r="AB644" t="s">
        <v>36</v>
      </c>
      <c r="AC644" t="s">
        <v>36</v>
      </c>
      <c r="AD644" t="s">
        <v>36</v>
      </c>
      <c r="AE644" t="s">
        <v>36</v>
      </c>
      <c r="AF644" s="1">
        <v>42058.680555555555</v>
      </c>
      <c r="AG644" s="32">
        <v>43040</v>
      </c>
      <c r="AH644" t="s">
        <v>36</v>
      </c>
      <c r="AI644" s="1">
        <v>41426</v>
      </c>
      <c r="AJ644" s="1">
        <v>43059.576388888891</v>
      </c>
    </row>
    <row r="645" spans="1:36" x14ac:dyDescent="0.35">
      <c r="A645">
        <v>1702</v>
      </c>
      <c r="B645" t="s">
        <v>276</v>
      </c>
      <c r="C645" t="s">
        <v>36</v>
      </c>
      <c r="D645" s="1">
        <v>42087</v>
      </c>
      <c r="E645" t="s">
        <v>36</v>
      </c>
      <c r="F645" t="s">
        <v>36</v>
      </c>
      <c r="G645" t="s">
        <v>36</v>
      </c>
      <c r="H645" t="s">
        <v>36</v>
      </c>
      <c r="I645" t="s">
        <v>36</v>
      </c>
      <c r="J645" s="1">
        <v>39631.4375</v>
      </c>
      <c r="K645" t="s">
        <v>36</v>
      </c>
      <c r="L645" s="1">
        <v>42058.680555555555</v>
      </c>
      <c r="M645" t="s">
        <v>36</v>
      </c>
      <c r="N645" s="1">
        <v>42735.993055555555</v>
      </c>
      <c r="O645" s="1">
        <v>42206.583333333336</v>
      </c>
      <c r="P645" t="s">
        <v>36</v>
      </c>
      <c r="Q645" t="s">
        <v>36</v>
      </c>
      <c r="R645" t="s">
        <v>36</v>
      </c>
      <c r="S645" t="s">
        <v>36</v>
      </c>
      <c r="T645" t="s">
        <v>36</v>
      </c>
      <c r="U645" t="s">
        <v>36</v>
      </c>
      <c r="V645" t="s">
        <v>36</v>
      </c>
      <c r="W645" t="s">
        <v>36</v>
      </c>
      <c r="X645" s="1">
        <v>42193.652777777781</v>
      </c>
      <c r="Y645" t="s">
        <v>36</v>
      </c>
      <c r="Z645" t="s">
        <v>36</v>
      </c>
      <c r="AA645" t="s">
        <v>36</v>
      </c>
      <c r="AB645" t="s">
        <v>36</v>
      </c>
      <c r="AC645" t="s">
        <v>36</v>
      </c>
      <c r="AD645" t="s">
        <v>36</v>
      </c>
      <c r="AE645" t="s">
        <v>36</v>
      </c>
      <c r="AF645" t="s">
        <v>36</v>
      </c>
      <c r="AG645" t="s">
        <v>36</v>
      </c>
      <c r="AH645" t="s">
        <v>36</v>
      </c>
      <c r="AI645" t="s">
        <v>36</v>
      </c>
      <c r="AJ645" t="s">
        <v>36</v>
      </c>
    </row>
    <row r="646" spans="1:36" x14ac:dyDescent="0.35">
      <c r="A646">
        <v>404</v>
      </c>
      <c r="B646" t="s">
        <v>231</v>
      </c>
      <c r="C646" t="s">
        <v>36</v>
      </c>
      <c r="D646" t="s">
        <v>36</v>
      </c>
      <c r="E646" t="s">
        <v>36</v>
      </c>
      <c r="F646" t="s">
        <v>36</v>
      </c>
      <c r="G646" s="1">
        <v>41426</v>
      </c>
      <c r="H646" t="s">
        <v>36</v>
      </c>
      <c r="I646" t="s">
        <v>36</v>
      </c>
      <c r="J646" t="s">
        <v>36</v>
      </c>
      <c r="K646" t="s">
        <v>36</v>
      </c>
      <c r="L646" t="s">
        <v>36</v>
      </c>
      <c r="M646" t="s">
        <v>36</v>
      </c>
      <c r="N646" t="s">
        <v>36</v>
      </c>
      <c r="O646" t="s">
        <v>36</v>
      </c>
      <c r="P646" s="1">
        <v>43059.576388888891</v>
      </c>
      <c r="Q646" t="s">
        <v>36</v>
      </c>
      <c r="R646" t="s">
        <v>36</v>
      </c>
      <c r="S646" t="s">
        <v>36</v>
      </c>
      <c r="T646" s="1">
        <v>42528.291666666664</v>
      </c>
      <c r="U646" t="s">
        <v>36</v>
      </c>
      <c r="V646" t="s">
        <v>36</v>
      </c>
      <c r="W646" t="s">
        <v>36</v>
      </c>
      <c r="X646" t="s">
        <v>36</v>
      </c>
      <c r="Y646" t="s">
        <v>36</v>
      </c>
      <c r="Z646" t="s">
        <v>36</v>
      </c>
      <c r="AA646" t="s">
        <v>36</v>
      </c>
      <c r="AB646" t="s">
        <v>36</v>
      </c>
      <c r="AC646" t="s">
        <v>36</v>
      </c>
      <c r="AD646" t="s">
        <v>36</v>
      </c>
      <c r="AE646" t="s">
        <v>36</v>
      </c>
      <c r="AF646" s="1">
        <v>42058.680555555555</v>
      </c>
      <c r="AG646" s="32">
        <v>43040</v>
      </c>
      <c r="AH646" t="s">
        <v>36</v>
      </c>
      <c r="AI646" s="1">
        <v>41426</v>
      </c>
      <c r="AJ646" s="1">
        <v>43059.576388888891</v>
      </c>
    </row>
    <row r="647" spans="1:36" x14ac:dyDescent="0.35">
      <c r="A647">
        <v>4162</v>
      </c>
      <c r="B647" t="s">
        <v>1038</v>
      </c>
      <c r="C647" t="s">
        <v>36</v>
      </c>
      <c r="D647" t="s">
        <v>36</v>
      </c>
      <c r="E647" t="s">
        <v>36</v>
      </c>
      <c r="F647" t="s">
        <v>36</v>
      </c>
      <c r="G647" s="1">
        <v>43530</v>
      </c>
      <c r="H647" t="s">
        <v>36</v>
      </c>
      <c r="I647" t="s">
        <v>36</v>
      </c>
      <c r="J647" t="s">
        <v>36</v>
      </c>
      <c r="K647" t="s">
        <v>36</v>
      </c>
      <c r="L647" t="s">
        <v>36</v>
      </c>
      <c r="M647" t="s">
        <v>36</v>
      </c>
      <c r="N647" t="s">
        <v>36</v>
      </c>
      <c r="O647" t="s">
        <v>36</v>
      </c>
      <c r="P647" s="1">
        <v>43559</v>
      </c>
      <c r="Q647" t="s">
        <v>36</v>
      </c>
      <c r="R647" t="s">
        <v>36</v>
      </c>
      <c r="S647" t="s">
        <v>36</v>
      </c>
      <c r="T647" s="1">
        <v>43557</v>
      </c>
      <c r="U647" t="s">
        <v>36</v>
      </c>
      <c r="V647" t="s">
        <v>36</v>
      </c>
      <c r="W647" t="s">
        <v>36</v>
      </c>
      <c r="X647" t="s">
        <v>36</v>
      </c>
      <c r="Y647" t="s">
        <v>36</v>
      </c>
      <c r="Z647" t="s">
        <v>36</v>
      </c>
      <c r="AA647" t="s">
        <v>36</v>
      </c>
      <c r="AB647" t="s">
        <v>36</v>
      </c>
      <c r="AC647" t="s">
        <v>36</v>
      </c>
      <c r="AD647" t="s">
        <v>36</v>
      </c>
      <c r="AE647" t="s">
        <v>36</v>
      </c>
      <c r="AF647" s="1">
        <v>43529</v>
      </c>
      <c r="AG647" t="s">
        <v>36</v>
      </c>
      <c r="AH647" t="s">
        <v>36</v>
      </c>
      <c r="AI647" s="1">
        <v>43530</v>
      </c>
      <c r="AJ647" s="1">
        <v>43528</v>
      </c>
    </row>
    <row r="648" spans="1:36" x14ac:dyDescent="0.35">
      <c r="A648">
        <v>4163</v>
      </c>
      <c r="B648" t="s">
        <v>1039</v>
      </c>
      <c r="C648" t="s">
        <v>36</v>
      </c>
      <c r="D648" t="s">
        <v>36</v>
      </c>
      <c r="E648" t="s">
        <v>36</v>
      </c>
      <c r="F648" t="s">
        <v>36</v>
      </c>
      <c r="G648" s="1">
        <v>43530</v>
      </c>
      <c r="H648" t="s">
        <v>36</v>
      </c>
      <c r="I648" t="s">
        <v>36</v>
      </c>
      <c r="J648" t="s">
        <v>36</v>
      </c>
      <c r="K648" t="s">
        <v>36</v>
      </c>
      <c r="L648" t="s">
        <v>36</v>
      </c>
      <c r="M648" t="s">
        <v>36</v>
      </c>
      <c r="N648" t="s">
        <v>36</v>
      </c>
      <c r="O648" t="s">
        <v>36</v>
      </c>
      <c r="P648" s="1">
        <v>43557</v>
      </c>
      <c r="Q648" t="s">
        <v>36</v>
      </c>
      <c r="R648" t="s">
        <v>36</v>
      </c>
      <c r="S648" t="s">
        <v>36</v>
      </c>
      <c r="T648" s="1">
        <v>43557</v>
      </c>
      <c r="U648" t="s">
        <v>36</v>
      </c>
      <c r="V648" t="s">
        <v>36</v>
      </c>
      <c r="W648" t="s">
        <v>36</v>
      </c>
      <c r="X648" t="s">
        <v>36</v>
      </c>
      <c r="Y648" t="s">
        <v>36</v>
      </c>
      <c r="Z648" t="s">
        <v>36</v>
      </c>
      <c r="AA648" t="s">
        <v>36</v>
      </c>
      <c r="AB648" t="s">
        <v>36</v>
      </c>
      <c r="AC648" t="s">
        <v>36</v>
      </c>
      <c r="AD648" t="s">
        <v>36</v>
      </c>
      <c r="AE648" t="s">
        <v>36</v>
      </c>
      <c r="AF648" s="1">
        <v>43529</v>
      </c>
      <c r="AG648" t="s">
        <v>36</v>
      </c>
      <c r="AH648" t="s">
        <v>36</v>
      </c>
      <c r="AI648" s="1">
        <v>43530</v>
      </c>
      <c r="AJ648" s="1">
        <v>43528</v>
      </c>
    </row>
    <row r="649" spans="1:36" x14ac:dyDescent="0.35">
      <c r="A649">
        <v>4164</v>
      </c>
      <c r="B649" t="s">
        <v>1040</v>
      </c>
      <c r="C649" t="s">
        <v>36</v>
      </c>
      <c r="D649" t="s">
        <v>36</v>
      </c>
      <c r="E649" t="s">
        <v>36</v>
      </c>
      <c r="F649" t="s">
        <v>36</v>
      </c>
      <c r="G649" s="1">
        <v>43530</v>
      </c>
      <c r="H649" t="s">
        <v>36</v>
      </c>
      <c r="I649" t="s">
        <v>36</v>
      </c>
      <c r="J649" t="s">
        <v>36</v>
      </c>
      <c r="K649" t="s">
        <v>36</v>
      </c>
      <c r="L649" t="s">
        <v>36</v>
      </c>
      <c r="M649" t="s">
        <v>36</v>
      </c>
      <c r="N649" t="s">
        <v>36</v>
      </c>
      <c r="O649" t="s">
        <v>36</v>
      </c>
      <c r="P649" s="1">
        <v>43557</v>
      </c>
      <c r="Q649" t="s">
        <v>36</v>
      </c>
      <c r="R649" t="s">
        <v>36</v>
      </c>
      <c r="S649" t="s">
        <v>36</v>
      </c>
      <c r="T649" s="1">
        <v>43557</v>
      </c>
      <c r="U649" t="s">
        <v>36</v>
      </c>
      <c r="V649" t="s">
        <v>36</v>
      </c>
      <c r="W649" t="s">
        <v>36</v>
      </c>
      <c r="X649" t="s">
        <v>36</v>
      </c>
      <c r="Y649" t="s">
        <v>36</v>
      </c>
      <c r="Z649" t="s">
        <v>36</v>
      </c>
      <c r="AA649" t="s">
        <v>36</v>
      </c>
      <c r="AB649" t="s">
        <v>36</v>
      </c>
      <c r="AC649" t="s">
        <v>36</v>
      </c>
      <c r="AD649" t="s">
        <v>36</v>
      </c>
      <c r="AE649" t="s">
        <v>36</v>
      </c>
      <c r="AF649" s="1">
        <v>43529</v>
      </c>
      <c r="AG649" t="s">
        <v>36</v>
      </c>
      <c r="AH649" t="s">
        <v>36</v>
      </c>
      <c r="AI649" s="1">
        <v>43530</v>
      </c>
      <c r="AJ649" s="1">
        <v>43528</v>
      </c>
    </row>
    <row r="650" spans="1:36" x14ac:dyDescent="0.35">
      <c r="A650">
        <v>405</v>
      </c>
      <c r="B650" t="s">
        <v>232</v>
      </c>
      <c r="C650" t="s">
        <v>36</v>
      </c>
      <c r="D650" t="s">
        <v>36</v>
      </c>
      <c r="E650" t="s">
        <v>36</v>
      </c>
      <c r="F650" t="s">
        <v>36</v>
      </c>
      <c r="G650" s="1">
        <v>41426</v>
      </c>
      <c r="H650" t="s">
        <v>36</v>
      </c>
      <c r="I650" t="s">
        <v>36</v>
      </c>
      <c r="J650" t="s">
        <v>36</v>
      </c>
      <c r="K650" t="s">
        <v>36</v>
      </c>
      <c r="L650" t="s">
        <v>36</v>
      </c>
      <c r="M650" t="s">
        <v>36</v>
      </c>
      <c r="N650" t="s">
        <v>36</v>
      </c>
      <c r="O650" t="s">
        <v>36</v>
      </c>
      <c r="P650" s="1">
        <v>43059.576388888891</v>
      </c>
      <c r="Q650" t="s">
        <v>36</v>
      </c>
      <c r="R650" t="s">
        <v>36</v>
      </c>
      <c r="S650" t="s">
        <v>36</v>
      </c>
      <c r="T650" s="1">
        <v>42528.291666666664</v>
      </c>
      <c r="U650" t="s">
        <v>36</v>
      </c>
      <c r="V650" t="s">
        <v>36</v>
      </c>
      <c r="W650" t="s">
        <v>36</v>
      </c>
      <c r="X650" t="s">
        <v>36</v>
      </c>
      <c r="Y650" t="s">
        <v>36</v>
      </c>
      <c r="Z650" t="s">
        <v>36</v>
      </c>
      <c r="AA650" t="s">
        <v>36</v>
      </c>
      <c r="AB650" t="s">
        <v>36</v>
      </c>
      <c r="AC650" t="s">
        <v>36</v>
      </c>
      <c r="AD650" t="s">
        <v>36</v>
      </c>
      <c r="AE650" t="s">
        <v>36</v>
      </c>
      <c r="AF650" s="1">
        <v>42058.680555555555</v>
      </c>
      <c r="AG650" s="32">
        <v>43040</v>
      </c>
      <c r="AH650" t="s">
        <v>36</v>
      </c>
      <c r="AI650" s="1">
        <v>41426</v>
      </c>
      <c r="AJ650" s="1">
        <v>43059.576388888891</v>
      </c>
    </row>
    <row r="651" spans="1:36" x14ac:dyDescent="0.35">
      <c r="A651">
        <v>4165</v>
      </c>
      <c r="B651" t="s">
        <v>1041</v>
      </c>
      <c r="C651" t="s">
        <v>36</v>
      </c>
      <c r="D651" t="s">
        <v>36</v>
      </c>
      <c r="E651" t="s">
        <v>36</v>
      </c>
      <c r="F651" t="s">
        <v>36</v>
      </c>
      <c r="G651" s="1">
        <v>43530</v>
      </c>
      <c r="H651" t="s">
        <v>36</v>
      </c>
      <c r="I651" t="s">
        <v>36</v>
      </c>
      <c r="J651" t="s">
        <v>36</v>
      </c>
      <c r="K651" t="s">
        <v>36</v>
      </c>
      <c r="L651" t="s">
        <v>36</v>
      </c>
      <c r="M651" t="s">
        <v>36</v>
      </c>
      <c r="N651" t="s">
        <v>36</v>
      </c>
      <c r="O651" t="s">
        <v>36</v>
      </c>
      <c r="P651" s="1">
        <v>43559</v>
      </c>
      <c r="Q651" t="s">
        <v>36</v>
      </c>
      <c r="R651" t="s">
        <v>36</v>
      </c>
      <c r="S651" t="s">
        <v>36</v>
      </c>
      <c r="T651" s="1">
        <v>43557</v>
      </c>
      <c r="U651" t="s">
        <v>36</v>
      </c>
      <c r="V651" t="s">
        <v>36</v>
      </c>
      <c r="W651" t="s">
        <v>36</v>
      </c>
      <c r="X651" t="s">
        <v>36</v>
      </c>
      <c r="Y651" t="s">
        <v>36</v>
      </c>
      <c r="Z651" t="s">
        <v>36</v>
      </c>
      <c r="AA651" t="s">
        <v>36</v>
      </c>
      <c r="AB651" t="s">
        <v>36</v>
      </c>
      <c r="AC651" t="s">
        <v>36</v>
      </c>
      <c r="AD651" t="s">
        <v>36</v>
      </c>
      <c r="AE651" t="s">
        <v>36</v>
      </c>
      <c r="AF651" s="1">
        <v>43529</v>
      </c>
      <c r="AG651" t="s">
        <v>36</v>
      </c>
      <c r="AH651" t="s">
        <v>36</v>
      </c>
      <c r="AI651" s="1">
        <v>43530</v>
      </c>
      <c r="AJ651" s="1">
        <v>43528</v>
      </c>
    </row>
    <row r="652" spans="1:36" x14ac:dyDescent="0.35">
      <c r="A652">
        <v>4166</v>
      </c>
      <c r="B652" t="s">
        <v>1042</v>
      </c>
      <c r="C652" t="s">
        <v>36</v>
      </c>
      <c r="D652" t="s">
        <v>36</v>
      </c>
      <c r="E652" t="s">
        <v>36</v>
      </c>
      <c r="F652" t="s">
        <v>36</v>
      </c>
      <c r="G652" s="1">
        <v>43530</v>
      </c>
      <c r="H652" t="s">
        <v>36</v>
      </c>
      <c r="I652" t="s">
        <v>36</v>
      </c>
      <c r="J652" t="s">
        <v>36</v>
      </c>
      <c r="K652" t="s">
        <v>36</v>
      </c>
      <c r="L652" t="s">
        <v>36</v>
      </c>
      <c r="M652" t="s">
        <v>36</v>
      </c>
      <c r="N652" t="s">
        <v>36</v>
      </c>
      <c r="O652" t="s">
        <v>36</v>
      </c>
      <c r="P652" s="1">
        <v>43557</v>
      </c>
      <c r="Q652" t="s">
        <v>36</v>
      </c>
      <c r="R652" t="s">
        <v>36</v>
      </c>
      <c r="S652" t="s">
        <v>36</v>
      </c>
      <c r="T652" s="1">
        <v>43557</v>
      </c>
      <c r="U652" t="s">
        <v>36</v>
      </c>
      <c r="V652" t="s">
        <v>36</v>
      </c>
      <c r="W652" t="s">
        <v>36</v>
      </c>
      <c r="X652" t="s">
        <v>36</v>
      </c>
      <c r="Y652" t="s">
        <v>36</v>
      </c>
      <c r="Z652" t="s">
        <v>36</v>
      </c>
      <c r="AA652" t="s">
        <v>36</v>
      </c>
      <c r="AB652" t="s">
        <v>36</v>
      </c>
      <c r="AC652" t="s">
        <v>36</v>
      </c>
      <c r="AD652" t="s">
        <v>36</v>
      </c>
      <c r="AE652" t="s">
        <v>36</v>
      </c>
      <c r="AF652" s="1">
        <v>43529</v>
      </c>
      <c r="AG652" t="s">
        <v>36</v>
      </c>
      <c r="AH652" t="s">
        <v>36</v>
      </c>
      <c r="AI652" s="1">
        <v>43530</v>
      </c>
      <c r="AJ652" s="1">
        <v>43528</v>
      </c>
    </row>
    <row r="653" spans="1:36" x14ac:dyDescent="0.35">
      <c r="A653">
        <v>4167</v>
      </c>
      <c r="B653" t="s">
        <v>1043</v>
      </c>
      <c r="C653" t="s">
        <v>36</v>
      </c>
      <c r="D653" t="s">
        <v>36</v>
      </c>
      <c r="E653" t="s">
        <v>36</v>
      </c>
      <c r="F653" t="s">
        <v>36</v>
      </c>
      <c r="G653" s="1">
        <v>43530</v>
      </c>
      <c r="H653" t="s">
        <v>36</v>
      </c>
      <c r="I653" t="s">
        <v>36</v>
      </c>
      <c r="J653" t="s">
        <v>36</v>
      </c>
      <c r="K653" t="s">
        <v>36</v>
      </c>
      <c r="L653" t="s">
        <v>36</v>
      </c>
      <c r="M653" t="s">
        <v>36</v>
      </c>
      <c r="N653" t="s">
        <v>36</v>
      </c>
      <c r="O653" t="s">
        <v>36</v>
      </c>
      <c r="P653" s="1">
        <v>43557</v>
      </c>
      <c r="Q653" t="s">
        <v>36</v>
      </c>
      <c r="R653" t="s">
        <v>36</v>
      </c>
      <c r="S653" t="s">
        <v>36</v>
      </c>
      <c r="T653" s="1">
        <v>43557</v>
      </c>
      <c r="U653" t="s">
        <v>36</v>
      </c>
      <c r="V653" t="s">
        <v>36</v>
      </c>
      <c r="W653" t="s">
        <v>36</v>
      </c>
      <c r="X653" t="s">
        <v>36</v>
      </c>
      <c r="Y653" t="s">
        <v>36</v>
      </c>
      <c r="Z653" t="s">
        <v>36</v>
      </c>
      <c r="AA653" t="s">
        <v>36</v>
      </c>
      <c r="AB653" t="s">
        <v>36</v>
      </c>
      <c r="AC653" t="s">
        <v>36</v>
      </c>
      <c r="AD653" t="s">
        <v>36</v>
      </c>
      <c r="AE653" t="s">
        <v>36</v>
      </c>
      <c r="AF653" s="1">
        <v>43529</v>
      </c>
      <c r="AG653" t="s">
        <v>36</v>
      </c>
      <c r="AH653" t="s">
        <v>36</v>
      </c>
      <c r="AI653" s="1">
        <v>43530</v>
      </c>
      <c r="AJ653" s="1">
        <v>43528</v>
      </c>
    </row>
    <row r="654" spans="1:36" x14ac:dyDescent="0.35">
      <c r="A654">
        <v>46</v>
      </c>
      <c r="B654" t="s">
        <v>81</v>
      </c>
      <c r="C654" s="1">
        <v>42528.291666666664</v>
      </c>
      <c r="D654" s="1">
        <v>42058.680555555555</v>
      </c>
      <c r="E654" s="1">
        <v>39245.465277777781</v>
      </c>
      <c r="F654" s="1">
        <v>42735.993055555555</v>
      </c>
      <c r="G654" s="1">
        <v>41426</v>
      </c>
      <c r="H654" s="1">
        <v>43059.576388888891</v>
      </c>
      <c r="I654" s="1">
        <v>38757.354166666664</v>
      </c>
      <c r="J654" s="1">
        <v>39631.4375</v>
      </c>
      <c r="K654" s="1">
        <v>42528.291666666664</v>
      </c>
      <c r="L654" s="1">
        <v>42058.680555555555</v>
      </c>
      <c r="M654" s="1">
        <v>43348.625</v>
      </c>
      <c r="N654" s="1">
        <v>42735.993055555555</v>
      </c>
      <c r="O654" s="1">
        <v>42206.583333333336</v>
      </c>
      <c r="P654" s="1">
        <v>43059.576388888891</v>
      </c>
      <c r="Q654" t="s">
        <v>36</v>
      </c>
      <c r="R654" s="1">
        <v>43329.319444444445</v>
      </c>
      <c r="S654" s="1">
        <v>42735.993055555555</v>
      </c>
      <c r="T654" s="1">
        <v>42528.291666666664</v>
      </c>
      <c r="U654" s="1">
        <v>43054.631944444445</v>
      </c>
      <c r="V654" s="1">
        <v>42473.520833333336</v>
      </c>
      <c r="W654" s="1">
        <v>42735.993055555555</v>
      </c>
      <c r="X654" s="1">
        <v>42193.652777777781</v>
      </c>
      <c r="Y654" t="s">
        <v>36</v>
      </c>
      <c r="Z654" s="1">
        <v>42648.465277777781</v>
      </c>
      <c r="AA654" s="1">
        <v>43054.611111111109</v>
      </c>
      <c r="AB654" s="1">
        <v>41225.597222222219</v>
      </c>
      <c r="AC654" s="1">
        <v>42485.743055555555</v>
      </c>
      <c r="AD654" s="1">
        <v>43009</v>
      </c>
      <c r="AE654" t="s">
        <v>36</v>
      </c>
      <c r="AF654" s="1">
        <v>42058.680555555555</v>
      </c>
      <c r="AG654" s="32">
        <v>43040</v>
      </c>
      <c r="AH654" s="1">
        <v>42735.993055555555</v>
      </c>
      <c r="AI654" s="1">
        <v>41426</v>
      </c>
      <c r="AJ654" s="1">
        <v>43059.576388888891</v>
      </c>
    </row>
    <row r="655" spans="1:36" x14ac:dyDescent="0.35">
      <c r="A655">
        <v>3734</v>
      </c>
      <c r="B655" t="s">
        <v>938</v>
      </c>
      <c r="C655" s="1">
        <v>43650.361111111109</v>
      </c>
      <c r="D655" t="s">
        <v>36</v>
      </c>
      <c r="E655" t="s">
        <v>36</v>
      </c>
      <c r="F655" t="s">
        <v>36</v>
      </c>
      <c r="G655" s="1">
        <v>43530</v>
      </c>
      <c r="H655" t="s">
        <v>36</v>
      </c>
      <c r="I655" t="s">
        <v>36</v>
      </c>
      <c r="J655" s="1">
        <v>39631.4375</v>
      </c>
      <c r="K655" s="1">
        <v>43650.361111111109</v>
      </c>
      <c r="L655" s="1">
        <v>42058.680555555555</v>
      </c>
      <c r="M655" s="1">
        <v>43647.284722222219</v>
      </c>
      <c r="N655" s="1">
        <v>43948.465277777781</v>
      </c>
      <c r="O655" s="1">
        <v>42206.583333333336</v>
      </c>
      <c r="P655" s="1">
        <v>43559</v>
      </c>
      <c r="Q655" t="s">
        <v>36</v>
      </c>
      <c r="R655" s="1">
        <v>43650.361111111109</v>
      </c>
      <c r="S655" t="s">
        <v>36</v>
      </c>
      <c r="T655" s="1">
        <v>43557</v>
      </c>
      <c r="U655" t="s">
        <v>36</v>
      </c>
      <c r="V655" s="1">
        <v>43650.361111111109</v>
      </c>
      <c r="W655" s="1">
        <v>43650.361111111109</v>
      </c>
      <c r="X655" t="s">
        <v>36</v>
      </c>
      <c r="Y655" t="s">
        <v>36</v>
      </c>
      <c r="Z655" s="1">
        <v>43650.361111111109</v>
      </c>
      <c r="AA655" t="s">
        <v>36</v>
      </c>
      <c r="AB655" s="1">
        <v>43650.361111111109</v>
      </c>
      <c r="AC655" s="1">
        <v>43650.361111111109</v>
      </c>
      <c r="AD655" s="1">
        <v>43650.361111111109</v>
      </c>
      <c r="AE655" t="s">
        <v>36</v>
      </c>
      <c r="AF655" s="1">
        <v>43529</v>
      </c>
      <c r="AG655" t="s">
        <v>36</v>
      </c>
      <c r="AH655" t="s">
        <v>36</v>
      </c>
      <c r="AI655" s="1">
        <v>43530</v>
      </c>
      <c r="AJ655" s="1">
        <v>43528</v>
      </c>
    </row>
    <row r="656" spans="1:36" x14ac:dyDescent="0.35">
      <c r="A656">
        <v>3733</v>
      </c>
      <c r="B656" t="s">
        <v>937</v>
      </c>
      <c r="C656" s="1">
        <v>43650.361111111109</v>
      </c>
      <c r="D656" s="1">
        <v>42087.777777777781</v>
      </c>
      <c r="E656" t="s">
        <v>36</v>
      </c>
      <c r="F656" t="s">
        <v>36</v>
      </c>
      <c r="G656" s="1">
        <v>43530</v>
      </c>
      <c r="H656" t="s">
        <v>36</v>
      </c>
      <c r="I656" t="s">
        <v>36</v>
      </c>
      <c r="J656" s="1">
        <v>39631.4375</v>
      </c>
      <c r="K656" s="1">
        <v>43650.361111111109</v>
      </c>
      <c r="L656" s="1">
        <v>42058.680555555555</v>
      </c>
      <c r="M656" s="1">
        <v>43647.284722222219</v>
      </c>
      <c r="N656" s="1">
        <v>43948.465277777781</v>
      </c>
      <c r="O656" s="1">
        <v>42206.583333333336</v>
      </c>
      <c r="P656" s="1">
        <v>43557</v>
      </c>
      <c r="Q656" t="s">
        <v>36</v>
      </c>
      <c r="R656" s="1">
        <v>43650.361111111109</v>
      </c>
      <c r="S656" t="s">
        <v>36</v>
      </c>
      <c r="T656" s="1">
        <v>43557</v>
      </c>
      <c r="U656" t="s">
        <v>36</v>
      </c>
      <c r="V656" s="1">
        <v>43650.361111111109</v>
      </c>
      <c r="W656" s="1">
        <v>43650.361111111109</v>
      </c>
      <c r="X656" s="1">
        <v>42193.652777777781</v>
      </c>
      <c r="Y656" t="s">
        <v>36</v>
      </c>
      <c r="Z656" s="1">
        <v>43650.361111111109</v>
      </c>
      <c r="AA656" t="s">
        <v>36</v>
      </c>
      <c r="AB656" s="1">
        <v>43650.361111111109</v>
      </c>
      <c r="AC656" s="1">
        <v>43650.361111111109</v>
      </c>
      <c r="AD656" s="1">
        <v>43650.361111111109</v>
      </c>
      <c r="AE656" t="s">
        <v>36</v>
      </c>
      <c r="AF656" s="1">
        <v>43529</v>
      </c>
      <c r="AG656" t="s">
        <v>36</v>
      </c>
      <c r="AH656" t="s">
        <v>36</v>
      </c>
      <c r="AI656" s="1">
        <v>43530</v>
      </c>
      <c r="AJ656" s="1">
        <v>43528</v>
      </c>
    </row>
    <row r="657" spans="1:36" x14ac:dyDescent="0.35">
      <c r="A657">
        <v>3735</v>
      </c>
      <c r="B657" t="s">
        <v>939</v>
      </c>
      <c r="C657" s="1">
        <v>43650.361111111109</v>
      </c>
      <c r="D657" t="s">
        <v>36</v>
      </c>
      <c r="E657" t="s">
        <v>36</v>
      </c>
      <c r="F657" t="s">
        <v>36</v>
      </c>
      <c r="G657" s="1">
        <v>43530</v>
      </c>
      <c r="H657" t="s">
        <v>36</v>
      </c>
      <c r="I657" t="s">
        <v>36</v>
      </c>
      <c r="J657" s="1">
        <v>39631.4375</v>
      </c>
      <c r="K657" s="1">
        <v>43650.361111111109</v>
      </c>
      <c r="L657" s="1">
        <v>42058.680555555555</v>
      </c>
      <c r="M657" s="1">
        <v>43647.284722222219</v>
      </c>
      <c r="N657" s="1">
        <v>43948.465277777781</v>
      </c>
      <c r="O657" s="1">
        <v>42206.583333333336</v>
      </c>
      <c r="P657" s="1">
        <v>43557</v>
      </c>
      <c r="Q657" t="s">
        <v>36</v>
      </c>
      <c r="R657" s="1">
        <v>43650.361111111109</v>
      </c>
      <c r="S657" t="s">
        <v>36</v>
      </c>
      <c r="T657" s="1">
        <v>43557</v>
      </c>
      <c r="U657" t="s">
        <v>36</v>
      </c>
      <c r="V657" s="1">
        <v>43650.361111111109</v>
      </c>
      <c r="W657" s="1">
        <v>43650.361111111109</v>
      </c>
      <c r="X657" t="s">
        <v>36</v>
      </c>
      <c r="Y657" t="s">
        <v>36</v>
      </c>
      <c r="Z657" s="1">
        <v>43650.361111111109</v>
      </c>
      <c r="AA657" t="s">
        <v>36</v>
      </c>
      <c r="AB657" s="1">
        <v>43650.361111111109</v>
      </c>
      <c r="AC657" s="1">
        <v>43650.361111111109</v>
      </c>
      <c r="AD657" s="1">
        <v>43650.361111111109</v>
      </c>
      <c r="AE657" t="s">
        <v>36</v>
      </c>
      <c r="AF657" s="1">
        <v>43529</v>
      </c>
      <c r="AG657" t="s">
        <v>36</v>
      </c>
      <c r="AH657" t="s">
        <v>36</v>
      </c>
      <c r="AI657" s="1">
        <v>43530</v>
      </c>
      <c r="AJ657" s="1">
        <v>43528</v>
      </c>
    </row>
    <row r="658" spans="1:36" x14ac:dyDescent="0.35">
      <c r="A658">
        <v>47</v>
      </c>
      <c r="B658" t="s">
        <v>82</v>
      </c>
      <c r="C658" s="1">
        <v>42528.291666666664</v>
      </c>
      <c r="D658" s="1">
        <v>42058.680555555555</v>
      </c>
      <c r="E658" s="1">
        <v>39245.465277777781</v>
      </c>
      <c r="F658" s="1">
        <v>42735.993055555555</v>
      </c>
      <c r="G658" s="1">
        <v>41426</v>
      </c>
      <c r="H658" s="1">
        <v>43059.576388888891</v>
      </c>
      <c r="I658" s="1">
        <v>38757.354166666664</v>
      </c>
      <c r="J658" s="1">
        <v>39631.4375</v>
      </c>
      <c r="K658" s="1">
        <v>42528.291666666664</v>
      </c>
      <c r="L658" s="1">
        <v>42058.680555555555</v>
      </c>
      <c r="M658" s="1">
        <v>43348.625</v>
      </c>
      <c r="N658" s="1">
        <v>42735.993055555555</v>
      </c>
      <c r="O658" s="1">
        <v>42206.583333333336</v>
      </c>
      <c r="P658" s="1">
        <v>43059.576388888891</v>
      </c>
      <c r="Q658" t="s">
        <v>36</v>
      </c>
      <c r="R658" s="1">
        <v>43329.319444444445</v>
      </c>
      <c r="S658" s="1">
        <v>42735.993055555555</v>
      </c>
      <c r="T658" s="1">
        <v>42528.291666666664</v>
      </c>
      <c r="U658" s="1">
        <v>43054.631944444445</v>
      </c>
      <c r="V658" s="1">
        <v>42473.520833333336</v>
      </c>
      <c r="W658" s="1">
        <v>42735.993055555555</v>
      </c>
      <c r="X658" s="1">
        <v>42193.652777777781</v>
      </c>
      <c r="Y658" t="s">
        <v>36</v>
      </c>
      <c r="Z658" s="1">
        <v>42648.465277777781</v>
      </c>
      <c r="AA658" s="1">
        <v>43054.611111111109</v>
      </c>
      <c r="AB658" s="1">
        <v>41225.597222222219</v>
      </c>
      <c r="AC658" s="1">
        <v>42485.743055555555</v>
      </c>
      <c r="AD658" s="1">
        <v>43009</v>
      </c>
      <c r="AE658" t="s">
        <v>36</v>
      </c>
      <c r="AF658" s="1">
        <v>42058.680555555555</v>
      </c>
      <c r="AG658" s="32">
        <v>43040</v>
      </c>
      <c r="AH658" s="1">
        <v>42735.993055555555</v>
      </c>
      <c r="AI658" s="1">
        <v>41426</v>
      </c>
      <c r="AJ658" s="1">
        <v>43059.576388888891</v>
      </c>
    </row>
    <row r="659" spans="1:36" x14ac:dyDescent="0.35">
      <c r="A659">
        <v>3737</v>
      </c>
      <c r="B659" t="s">
        <v>941</v>
      </c>
      <c r="C659" s="1">
        <v>43650.361111111109</v>
      </c>
      <c r="D659" t="s">
        <v>36</v>
      </c>
      <c r="E659" t="s">
        <v>36</v>
      </c>
      <c r="F659" t="s">
        <v>36</v>
      </c>
      <c r="G659" s="1">
        <v>43530</v>
      </c>
      <c r="H659" t="s">
        <v>36</v>
      </c>
      <c r="I659" t="s">
        <v>36</v>
      </c>
      <c r="J659" s="1">
        <v>39631.4375</v>
      </c>
      <c r="K659" s="1">
        <v>43650.361111111109</v>
      </c>
      <c r="L659" s="1">
        <v>42058.680555555555</v>
      </c>
      <c r="M659" s="1">
        <v>43647.284722222219</v>
      </c>
      <c r="N659" s="1">
        <v>43948.465277777781</v>
      </c>
      <c r="O659" s="1">
        <v>42206.583333333336</v>
      </c>
      <c r="P659" s="1">
        <v>43559</v>
      </c>
      <c r="Q659" t="s">
        <v>36</v>
      </c>
      <c r="R659" s="1">
        <v>43650.361111111109</v>
      </c>
      <c r="S659" t="s">
        <v>36</v>
      </c>
      <c r="T659" s="1">
        <v>43557</v>
      </c>
      <c r="U659" t="s">
        <v>36</v>
      </c>
      <c r="V659" s="1">
        <v>43650.361111111109</v>
      </c>
      <c r="W659" s="1">
        <v>43650.361111111109</v>
      </c>
      <c r="X659" t="s">
        <v>36</v>
      </c>
      <c r="Y659" t="s">
        <v>36</v>
      </c>
      <c r="Z659" s="1">
        <v>43650.361111111109</v>
      </c>
      <c r="AA659" t="s">
        <v>36</v>
      </c>
      <c r="AB659" s="1">
        <v>43650.361111111109</v>
      </c>
      <c r="AC659" s="1">
        <v>43650.361111111109</v>
      </c>
      <c r="AD659" s="1">
        <v>43650.361111111109</v>
      </c>
      <c r="AE659" t="s">
        <v>36</v>
      </c>
      <c r="AF659" s="1">
        <v>43529</v>
      </c>
      <c r="AG659" t="s">
        <v>36</v>
      </c>
      <c r="AH659" t="s">
        <v>36</v>
      </c>
      <c r="AI659" s="1">
        <v>43530</v>
      </c>
      <c r="AJ659" s="1">
        <v>43528</v>
      </c>
    </row>
    <row r="660" spans="1:36" x14ac:dyDescent="0.35">
      <c r="A660">
        <v>3736</v>
      </c>
      <c r="B660" t="s">
        <v>940</v>
      </c>
      <c r="C660" s="1">
        <v>43650.361111111109</v>
      </c>
      <c r="D660" s="1">
        <v>42087.777777777781</v>
      </c>
      <c r="E660" t="s">
        <v>36</v>
      </c>
      <c r="F660" t="s">
        <v>36</v>
      </c>
      <c r="G660" s="1">
        <v>43530</v>
      </c>
      <c r="H660" t="s">
        <v>36</v>
      </c>
      <c r="I660" t="s">
        <v>36</v>
      </c>
      <c r="J660" s="1">
        <v>39631.4375</v>
      </c>
      <c r="K660" s="1">
        <v>43650.361111111109</v>
      </c>
      <c r="L660" s="1">
        <v>42058.680555555555</v>
      </c>
      <c r="M660" s="1">
        <v>43647.284722222219</v>
      </c>
      <c r="N660" s="1">
        <v>43948.465277777781</v>
      </c>
      <c r="O660" s="1">
        <v>42206.583333333336</v>
      </c>
      <c r="P660" s="1">
        <v>43557</v>
      </c>
      <c r="Q660" t="s">
        <v>36</v>
      </c>
      <c r="R660" s="1">
        <v>43650.361111111109</v>
      </c>
      <c r="S660" t="s">
        <v>36</v>
      </c>
      <c r="T660" s="1">
        <v>43557</v>
      </c>
      <c r="U660" t="s">
        <v>36</v>
      </c>
      <c r="V660" s="1">
        <v>43650.361111111109</v>
      </c>
      <c r="W660" s="1">
        <v>43650.361111111109</v>
      </c>
      <c r="X660" s="1">
        <v>42193.652777777781</v>
      </c>
      <c r="Y660" t="s">
        <v>36</v>
      </c>
      <c r="Z660" s="1">
        <v>43650.361111111109</v>
      </c>
      <c r="AA660" t="s">
        <v>36</v>
      </c>
      <c r="AB660" s="1">
        <v>43650.361111111109</v>
      </c>
      <c r="AC660" s="1">
        <v>43650.361111111109</v>
      </c>
      <c r="AD660" s="1">
        <v>43650.361111111109</v>
      </c>
      <c r="AE660" t="s">
        <v>36</v>
      </c>
      <c r="AF660" s="1">
        <v>43529</v>
      </c>
      <c r="AG660" t="s">
        <v>36</v>
      </c>
      <c r="AH660" t="s">
        <v>36</v>
      </c>
      <c r="AI660" s="1">
        <v>43530</v>
      </c>
      <c r="AJ660" s="1">
        <v>43528</v>
      </c>
    </row>
    <row r="661" spans="1:36" x14ac:dyDescent="0.35">
      <c r="A661">
        <v>3738</v>
      </c>
      <c r="B661" t="s">
        <v>942</v>
      </c>
      <c r="C661" s="1">
        <v>43650.361111111109</v>
      </c>
      <c r="D661" t="s">
        <v>36</v>
      </c>
      <c r="E661" t="s">
        <v>36</v>
      </c>
      <c r="F661" t="s">
        <v>36</v>
      </c>
      <c r="G661" s="1">
        <v>43530</v>
      </c>
      <c r="H661" t="s">
        <v>36</v>
      </c>
      <c r="I661" t="s">
        <v>36</v>
      </c>
      <c r="J661" s="1">
        <v>39631.4375</v>
      </c>
      <c r="K661" s="1">
        <v>43650.361111111109</v>
      </c>
      <c r="L661" s="1">
        <v>42058.680555555555</v>
      </c>
      <c r="M661" s="1">
        <v>43647.284722222219</v>
      </c>
      <c r="N661" s="1">
        <v>43948.465277777781</v>
      </c>
      <c r="O661" s="1">
        <v>42206.583333333336</v>
      </c>
      <c r="P661" s="1">
        <v>43557</v>
      </c>
      <c r="Q661" t="s">
        <v>36</v>
      </c>
      <c r="R661" s="1">
        <v>43650.361111111109</v>
      </c>
      <c r="S661" t="s">
        <v>36</v>
      </c>
      <c r="T661" s="1">
        <v>43557</v>
      </c>
      <c r="U661" t="s">
        <v>36</v>
      </c>
      <c r="V661" s="1">
        <v>43650.361111111109</v>
      </c>
      <c r="W661" s="1">
        <v>43650.361111111109</v>
      </c>
      <c r="X661" t="s">
        <v>36</v>
      </c>
      <c r="Y661" t="s">
        <v>36</v>
      </c>
      <c r="Z661" s="1">
        <v>43650.361111111109</v>
      </c>
      <c r="AA661" t="s">
        <v>36</v>
      </c>
      <c r="AB661" s="1">
        <v>43650.361111111109</v>
      </c>
      <c r="AC661" s="1">
        <v>43650.361111111109</v>
      </c>
      <c r="AD661" s="1">
        <v>43650.361111111109</v>
      </c>
      <c r="AE661" t="s">
        <v>36</v>
      </c>
      <c r="AF661" s="1">
        <v>43529</v>
      </c>
      <c r="AG661" t="s">
        <v>36</v>
      </c>
      <c r="AH661" t="s">
        <v>36</v>
      </c>
      <c r="AI661" s="1">
        <v>43530</v>
      </c>
      <c r="AJ661" s="1">
        <v>43528</v>
      </c>
    </row>
    <row r="662" spans="1:36" x14ac:dyDescent="0.35">
      <c r="A662">
        <v>48</v>
      </c>
      <c r="B662" t="s">
        <v>83</v>
      </c>
      <c r="C662" s="1">
        <v>42528.291666666664</v>
      </c>
      <c r="D662" s="1">
        <v>42058.680555555555</v>
      </c>
      <c r="E662" s="1">
        <v>39245.465277777781</v>
      </c>
      <c r="F662" s="1">
        <v>42735.993055555555</v>
      </c>
      <c r="G662" s="1">
        <v>41426</v>
      </c>
      <c r="H662" s="1">
        <v>43059.576388888891</v>
      </c>
      <c r="I662" s="1">
        <v>38757.354166666664</v>
      </c>
      <c r="J662" s="1">
        <v>39631.4375</v>
      </c>
      <c r="K662" s="1">
        <v>42528.291666666664</v>
      </c>
      <c r="L662" s="1">
        <v>42058.680555555555</v>
      </c>
      <c r="M662" s="1">
        <v>43348.625</v>
      </c>
      <c r="N662" s="1">
        <v>42735.993055555555</v>
      </c>
      <c r="O662" s="1">
        <v>42206.583333333336</v>
      </c>
      <c r="P662" s="1">
        <v>43059.576388888891</v>
      </c>
      <c r="Q662" t="s">
        <v>36</v>
      </c>
      <c r="R662" s="1">
        <v>43329.319444444445</v>
      </c>
      <c r="S662" s="1">
        <v>42735.993055555555</v>
      </c>
      <c r="T662" s="1">
        <v>42528.291666666664</v>
      </c>
      <c r="U662" s="1">
        <v>43054.631944444445</v>
      </c>
      <c r="V662" s="1">
        <v>42473.520833333336</v>
      </c>
      <c r="W662" s="1">
        <v>42735.993055555555</v>
      </c>
      <c r="X662" s="1">
        <v>42193.652777777781</v>
      </c>
      <c r="Y662" t="s">
        <v>36</v>
      </c>
      <c r="Z662" s="1">
        <v>42648.465277777781</v>
      </c>
      <c r="AA662" s="1">
        <v>43054.611111111109</v>
      </c>
      <c r="AB662" s="1">
        <v>41225.597222222219</v>
      </c>
      <c r="AC662" s="1">
        <v>42485.743055555555</v>
      </c>
      <c r="AD662" s="1">
        <v>43009</v>
      </c>
      <c r="AE662" t="s">
        <v>36</v>
      </c>
      <c r="AF662" s="1">
        <v>42058.680555555555</v>
      </c>
      <c r="AG662" s="32">
        <v>43040</v>
      </c>
      <c r="AH662" s="1">
        <v>42735.993055555555</v>
      </c>
      <c r="AI662" s="1">
        <v>41426</v>
      </c>
      <c r="AJ662" s="1">
        <v>43059.576388888891</v>
      </c>
    </row>
    <row r="663" spans="1:36" x14ac:dyDescent="0.35">
      <c r="A663">
        <v>3740</v>
      </c>
      <c r="B663" t="s">
        <v>944</v>
      </c>
      <c r="C663" s="1">
        <v>43650.361111111109</v>
      </c>
      <c r="D663" t="s">
        <v>36</v>
      </c>
      <c r="E663" t="s">
        <v>36</v>
      </c>
      <c r="F663" t="s">
        <v>36</v>
      </c>
      <c r="G663" s="1">
        <v>43530</v>
      </c>
      <c r="H663" t="s">
        <v>36</v>
      </c>
      <c r="I663" t="s">
        <v>36</v>
      </c>
      <c r="J663" s="1">
        <v>39631.4375</v>
      </c>
      <c r="K663" s="1">
        <v>43650.361111111109</v>
      </c>
      <c r="L663" s="1">
        <v>42058.680555555555</v>
      </c>
      <c r="M663" s="1">
        <v>43647.284722222219</v>
      </c>
      <c r="N663" s="1">
        <v>43948.465277777781</v>
      </c>
      <c r="O663" s="1">
        <v>42206.583333333336</v>
      </c>
      <c r="P663" s="1">
        <v>43559</v>
      </c>
      <c r="Q663" t="s">
        <v>36</v>
      </c>
      <c r="R663" s="1">
        <v>43650.361111111109</v>
      </c>
      <c r="S663" t="s">
        <v>36</v>
      </c>
      <c r="T663" s="1">
        <v>43557</v>
      </c>
      <c r="U663" t="s">
        <v>36</v>
      </c>
      <c r="V663" s="1">
        <v>43650.361111111109</v>
      </c>
      <c r="W663" s="1">
        <v>43650.361111111109</v>
      </c>
      <c r="X663" t="s">
        <v>36</v>
      </c>
      <c r="Y663" t="s">
        <v>36</v>
      </c>
      <c r="Z663" s="1">
        <v>43650.361111111109</v>
      </c>
      <c r="AA663" t="s">
        <v>36</v>
      </c>
      <c r="AB663" s="1">
        <v>43650.361111111109</v>
      </c>
      <c r="AC663" s="1">
        <v>43650.361111111109</v>
      </c>
      <c r="AD663" s="1">
        <v>43650.361111111109</v>
      </c>
      <c r="AE663" t="s">
        <v>36</v>
      </c>
      <c r="AF663" s="1">
        <v>43529</v>
      </c>
      <c r="AG663" t="s">
        <v>36</v>
      </c>
      <c r="AH663" t="s">
        <v>36</v>
      </c>
      <c r="AI663" s="1">
        <v>43530</v>
      </c>
      <c r="AJ663" s="1">
        <v>43528</v>
      </c>
    </row>
    <row r="664" spans="1:36" x14ac:dyDescent="0.35">
      <c r="A664">
        <v>3739</v>
      </c>
      <c r="B664" t="s">
        <v>943</v>
      </c>
      <c r="C664" s="1">
        <v>43650.361111111109</v>
      </c>
      <c r="D664" s="1">
        <v>42087.777777777781</v>
      </c>
      <c r="E664" t="s">
        <v>36</v>
      </c>
      <c r="F664" t="s">
        <v>36</v>
      </c>
      <c r="G664" s="1">
        <v>43530</v>
      </c>
      <c r="H664" t="s">
        <v>36</v>
      </c>
      <c r="I664" t="s">
        <v>36</v>
      </c>
      <c r="J664" s="1">
        <v>39631.4375</v>
      </c>
      <c r="K664" s="1">
        <v>43650.361111111109</v>
      </c>
      <c r="L664" s="1">
        <v>42058.680555555555</v>
      </c>
      <c r="M664" s="1">
        <v>43647.284722222219</v>
      </c>
      <c r="N664" s="1">
        <v>43948.465277777781</v>
      </c>
      <c r="O664" s="1">
        <v>42206.583333333336</v>
      </c>
      <c r="P664" s="1">
        <v>43557</v>
      </c>
      <c r="Q664" t="s">
        <v>36</v>
      </c>
      <c r="R664" s="1">
        <v>43650.361111111109</v>
      </c>
      <c r="S664" t="s">
        <v>36</v>
      </c>
      <c r="T664" s="1">
        <v>43557</v>
      </c>
      <c r="U664" t="s">
        <v>36</v>
      </c>
      <c r="V664" s="1">
        <v>43650.361111111109</v>
      </c>
      <c r="W664" s="1">
        <v>43650.361111111109</v>
      </c>
      <c r="X664" s="1">
        <v>42193.652777777781</v>
      </c>
      <c r="Y664" t="s">
        <v>36</v>
      </c>
      <c r="Z664" s="1">
        <v>43650.361111111109</v>
      </c>
      <c r="AA664" t="s">
        <v>36</v>
      </c>
      <c r="AB664" s="1">
        <v>43650.361111111109</v>
      </c>
      <c r="AC664" s="1">
        <v>43650.361111111109</v>
      </c>
      <c r="AD664" s="1">
        <v>43650.361111111109</v>
      </c>
      <c r="AE664" t="s">
        <v>36</v>
      </c>
      <c r="AF664" s="1">
        <v>43529</v>
      </c>
      <c r="AG664" t="s">
        <v>36</v>
      </c>
      <c r="AH664" t="s">
        <v>36</v>
      </c>
      <c r="AI664" s="1">
        <v>43530</v>
      </c>
      <c r="AJ664" s="1">
        <v>43528</v>
      </c>
    </row>
    <row r="665" spans="1:36" x14ac:dyDescent="0.35">
      <c r="A665">
        <v>3741</v>
      </c>
      <c r="B665" t="s">
        <v>945</v>
      </c>
      <c r="C665" s="1">
        <v>43650.361111111109</v>
      </c>
      <c r="D665" t="s">
        <v>36</v>
      </c>
      <c r="E665" t="s">
        <v>36</v>
      </c>
      <c r="F665" t="s">
        <v>36</v>
      </c>
      <c r="G665" s="1">
        <v>43530</v>
      </c>
      <c r="H665" t="s">
        <v>36</v>
      </c>
      <c r="I665" t="s">
        <v>36</v>
      </c>
      <c r="J665" s="1">
        <v>39631.4375</v>
      </c>
      <c r="K665" s="1">
        <v>43650.361111111109</v>
      </c>
      <c r="L665" s="1">
        <v>42058.680555555555</v>
      </c>
      <c r="M665" s="1">
        <v>43647.284722222219</v>
      </c>
      <c r="N665" s="1">
        <v>43948.465277777781</v>
      </c>
      <c r="O665" s="1">
        <v>42206.583333333336</v>
      </c>
      <c r="P665" s="1">
        <v>43557</v>
      </c>
      <c r="Q665" t="s">
        <v>36</v>
      </c>
      <c r="R665" s="1">
        <v>43650.361111111109</v>
      </c>
      <c r="S665" t="s">
        <v>36</v>
      </c>
      <c r="T665" s="1">
        <v>43557</v>
      </c>
      <c r="U665" t="s">
        <v>36</v>
      </c>
      <c r="V665" s="1">
        <v>43650.361111111109</v>
      </c>
      <c r="W665" s="1">
        <v>43650.361111111109</v>
      </c>
      <c r="X665" t="s">
        <v>36</v>
      </c>
      <c r="Y665" t="s">
        <v>36</v>
      </c>
      <c r="Z665" s="1">
        <v>43650.361111111109</v>
      </c>
      <c r="AA665" t="s">
        <v>36</v>
      </c>
      <c r="AB665" s="1">
        <v>43650.361111111109</v>
      </c>
      <c r="AC665" s="1">
        <v>43650.361111111109</v>
      </c>
      <c r="AD665" s="1">
        <v>43650.361111111109</v>
      </c>
      <c r="AE665" t="s">
        <v>36</v>
      </c>
      <c r="AF665" s="1">
        <v>43529</v>
      </c>
      <c r="AG665" t="s">
        <v>36</v>
      </c>
      <c r="AH665" t="s">
        <v>36</v>
      </c>
      <c r="AI665" s="1">
        <v>43530</v>
      </c>
      <c r="AJ665" s="1">
        <v>43528</v>
      </c>
    </row>
    <row r="666" spans="1:36" x14ac:dyDescent="0.35">
      <c r="A666">
        <v>274</v>
      </c>
      <c r="B666" t="s">
        <v>164</v>
      </c>
      <c r="C666" t="s">
        <v>36</v>
      </c>
      <c r="D666" t="s">
        <v>36</v>
      </c>
      <c r="E666" t="s">
        <v>36</v>
      </c>
      <c r="F666" t="s">
        <v>36</v>
      </c>
      <c r="G666" s="1">
        <v>41426</v>
      </c>
      <c r="H666" t="s">
        <v>36</v>
      </c>
      <c r="I666" t="s">
        <v>36</v>
      </c>
      <c r="J666" t="s">
        <v>36</v>
      </c>
      <c r="K666" t="s">
        <v>36</v>
      </c>
      <c r="L666" t="s">
        <v>36</v>
      </c>
      <c r="M666" t="s">
        <v>36</v>
      </c>
      <c r="N666" t="s">
        <v>36</v>
      </c>
      <c r="O666" t="s">
        <v>36</v>
      </c>
      <c r="P666" s="1">
        <v>43059.576388888891</v>
      </c>
      <c r="Q666" t="s">
        <v>36</v>
      </c>
      <c r="R666" t="s">
        <v>36</v>
      </c>
      <c r="S666" t="s">
        <v>36</v>
      </c>
      <c r="T666" s="1">
        <v>42528.291666666664</v>
      </c>
      <c r="U666" t="s">
        <v>36</v>
      </c>
      <c r="V666" t="s">
        <v>36</v>
      </c>
      <c r="W666" t="s">
        <v>36</v>
      </c>
      <c r="X666" t="s">
        <v>36</v>
      </c>
      <c r="Y666" t="s">
        <v>36</v>
      </c>
      <c r="Z666" t="s">
        <v>36</v>
      </c>
      <c r="AA666" t="s">
        <v>36</v>
      </c>
      <c r="AB666" t="s">
        <v>36</v>
      </c>
      <c r="AC666" t="s">
        <v>36</v>
      </c>
      <c r="AD666" t="s">
        <v>36</v>
      </c>
      <c r="AE666" t="s">
        <v>36</v>
      </c>
      <c r="AF666" s="1">
        <v>42058.680555555555</v>
      </c>
      <c r="AG666" s="32">
        <v>43040</v>
      </c>
      <c r="AH666" t="s">
        <v>36</v>
      </c>
      <c r="AI666" s="1">
        <v>41426</v>
      </c>
      <c r="AJ666" s="1">
        <v>43059.576388888891</v>
      </c>
    </row>
    <row r="667" spans="1:36" x14ac:dyDescent="0.35">
      <c r="A667">
        <v>2</v>
      </c>
      <c r="B667" t="s">
        <v>37</v>
      </c>
      <c r="C667" s="1">
        <v>42528.291666666664</v>
      </c>
      <c r="D667" s="1">
        <v>42058.680555555555</v>
      </c>
      <c r="E667" t="s">
        <v>36</v>
      </c>
      <c r="F667" t="s">
        <v>36</v>
      </c>
      <c r="G667" s="1">
        <v>41426</v>
      </c>
      <c r="H667" t="s">
        <v>36</v>
      </c>
      <c r="I667" t="s">
        <v>36</v>
      </c>
      <c r="J667" t="s">
        <v>36</v>
      </c>
      <c r="K667" s="1">
        <v>42528.291666666664</v>
      </c>
      <c r="L667" t="s">
        <v>36</v>
      </c>
      <c r="M667" s="1">
        <v>43009</v>
      </c>
      <c r="N667" s="1">
        <v>42735.993055555555</v>
      </c>
      <c r="O667" s="1">
        <v>42206.583333333336</v>
      </c>
      <c r="P667" s="1">
        <v>43059.576388888891</v>
      </c>
      <c r="Q667" s="1">
        <v>42472.722222222219</v>
      </c>
      <c r="R667" t="s">
        <v>36</v>
      </c>
      <c r="S667" t="s">
        <v>36</v>
      </c>
      <c r="T667" s="1">
        <v>42528.291666666664</v>
      </c>
      <c r="U667" t="s">
        <v>36</v>
      </c>
      <c r="V667" s="1">
        <v>42473.520833333336</v>
      </c>
      <c r="W667" t="s">
        <v>36</v>
      </c>
      <c r="X667" s="1">
        <v>42193.652777777781</v>
      </c>
      <c r="Y667" t="s">
        <v>36</v>
      </c>
      <c r="Z667" s="1">
        <v>42648.465277777781</v>
      </c>
      <c r="AA667" t="s">
        <v>36</v>
      </c>
      <c r="AB667" t="s">
        <v>36</v>
      </c>
      <c r="AC667" s="1">
        <v>42485.743055555555</v>
      </c>
      <c r="AD667" s="1">
        <v>43009</v>
      </c>
      <c r="AE667" t="s">
        <v>36</v>
      </c>
      <c r="AF667" s="1">
        <v>42058.680555555555</v>
      </c>
      <c r="AG667" s="32">
        <v>43040</v>
      </c>
      <c r="AH667" t="s">
        <v>36</v>
      </c>
      <c r="AI667" s="1">
        <v>41426</v>
      </c>
      <c r="AJ667" s="1">
        <v>43059.576388888891</v>
      </c>
    </row>
    <row r="668" spans="1:36" x14ac:dyDescent="0.35">
      <c r="A668">
        <v>70</v>
      </c>
      <c r="B668" t="s">
        <v>860</v>
      </c>
      <c r="C668" s="1">
        <v>42528.291666666664</v>
      </c>
      <c r="D668" t="s">
        <v>36</v>
      </c>
      <c r="E668" t="s">
        <v>36</v>
      </c>
      <c r="F668" t="s">
        <v>36</v>
      </c>
      <c r="G668" s="1">
        <v>43530</v>
      </c>
      <c r="H668" t="s">
        <v>36</v>
      </c>
      <c r="I668" t="s">
        <v>36</v>
      </c>
      <c r="J668" t="s">
        <v>36</v>
      </c>
      <c r="K668" s="1">
        <v>42528.291666666664</v>
      </c>
      <c r="L668" t="s">
        <v>36</v>
      </c>
      <c r="M668" s="1">
        <v>43348.625</v>
      </c>
      <c r="N668" t="s">
        <v>36</v>
      </c>
      <c r="O668" t="s">
        <v>36</v>
      </c>
      <c r="P668" s="1">
        <v>43559</v>
      </c>
      <c r="Q668" s="1">
        <v>42472.722222222219</v>
      </c>
      <c r="R668" t="s">
        <v>36</v>
      </c>
      <c r="S668" t="s">
        <v>36</v>
      </c>
      <c r="T668" s="1">
        <v>43557</v>
      </c>
      <c r="U668" t="s">
        <v>36</v>
      </c>
      <c r="V668" s="1">
        <v>42473.520833333336</v>
      </c>
      <c r="W668" t="s">
        <v>36</v>
      </c>
      <c r="X668" t="s">
        <v>36</v>
      </c>
      <c r="Y668" t="s">
        <v>36</v>
      </c>
      <c r="Z668" s="1">
        <v>42648.465277777781</v>
      </c>
      <c r="AA668" t="s">
        <v>36</v>
      </c>
      <c r="AB668" t="s">
        <v>36</v>
      </c>
      <c r="AC668" s="1">
        <v>42485.743055555555</v>
      </c>
      <c r="AD668" s="1">
        <v>43009</v>
      </c>
      <c r="AE668" t="s">
        <v>36</v>
      </c>
      <c r="AF668" s="1">
        <v>43529</v>
      </c>
      <c r="AG668" t="s">
        <v>36</v>
      </c>
      <c r="AH668" t="s">
        <v>36</v>
      </c>
      <c r="AI668" s="1">
        <v>43530</v>
      </c>
      <c r="AJ668" s="1">
        <v>43528</v>
      </c>
    </row>
    <row r="669" spans="1:36" x14ac:dyDescent="0.35">
      <c r="A669">
        <v>69</v>
      </c>
      <c r="B669" t="s">
        <v>859</v>
      </c>
      <c r="C669" s="1">
        <v>42528.291666666664</v>
      </c>
      <c r="D669" t="s">
        <v>36</v>
      </c>
      <c r="E669" t="s">
        <v>36</v>
      </c>
      <c r="F669" t="s">
        <v>36</v>
      </c>
      <c r="G669" s="1">
        <v>43530</v>
      </c>
      <c r="H669" t="s">
        <v>36</v>
      </c>
      <c r="I669" t="s">
        <v>36</v>
      </c>
      <c r="J669" t="s">
        <v>36</v>
      </c>
      <c r="K669" s="1">
        <v>42528.291666666664</v>
      </c>
      <c r="L669" t="s">
        <v>36</v>
      </c>
      <c r="M669" s="1">
        <v>43348.625</v>
      </c>
      <c r="N669" t="s">
        <v>36</v>
      </c>
      <c r="O669" t="s">
        <v>36</v>
      </c>
      <c r="P669" s="1">
        <v>43557</v>
      </c>
      <c r="Q669" s="1">
        <v>42472.722222222219</v>
      </c>
      <c r="R669" t="s">
        <v>36</v>
      </c>
      <c r="S669" t="s">
        <v>36</v>
      </c>
      <c r="T669" s="1">
        <v>43557</v>
      </c>
      <c r="U669" t="s">
        <v>36</v>
      </c>
      <c r="V669" s="1">
        <v>42473.520833333336</v>
      </c>
      <c r="W669" t="s">
        <v>36</v>
      </c>
      <c r="X669" t="s">
        <v>36</v>
      </c>
      <c r="Y669" t="s">
        <v>36</v>
      </c>
      <c r="Z669" s="1">
        <v>42648.465277777781</v>
      </c>
      <c r="AA669" t="s">
        <v>36</v>
      </c>
      <c r="AB669" t="s">
        <v>36</v>
      </c>
      <c r="AC669" s="1">
        <v>42485.743055555555</v>
      </c>
      <c r="AD669" s="1">
        <v>43009</v>
      </c>
      <c r="AE669" t="s">
        <v>36</v>
      </c>
      <c r="AF669" s="1">
        <v>43529</v>
      </c>
      <c r="AG669" t="s">
        <v>36</v>
      </c>
      <c r="AH669" t="s">
        <v>36</v>
      </c>
      <c r="AI669" s="1">
        <v>43530</v>
      </c>
      <c r="AJ669" s="1">
        <v>43528</v>
      </c>
    </row>
    <row r="670" spans="1:36" x14ac:dyDescent="0.35">
      <c r="A670">
        <v>68</v>
      </c>
      <c r="B670" t="s">
        <v>858</v>
      </c>
      <c r="C670" s="1">
        <v>42528.291666666664</v>
      </c>
      <c r="D670" t="s">
        <v>36</v>
      </c>
      <c r="E670" t="s">
        <v>36</v>
      </c>
      <c r="F670" t="s">
        <v>36</v>
      </c>
      <c r="G670" s="1">
        <v>43530</v>
      </c>
      <c r="H670" t="s">
        <v>36</v>
      </c>
      <c r="I670" t="s">
        <v>36</v>
      </c>
      <c r="J670" t="s">
        <v>36</v>
      </c>
      <c r="K670" s="1">
        <v>42528.291666666664</v>
      </c>
      <c r="L670" t="s">
        <v>36</v>
      </c>
      <c r="M670" s="1">
        <v>43348.625</v>
      </c>
      <c r="N670" t="s">
        <v>36</v>
      </c>
      <c r="O670" t="s">
        <v>36</v>
      </c>
      <c r="P670" s="1">
        <v>43557</v>
      </c>
      <c r="Q670" s="1">
        <v>42472.722222222219</v>
      </c>
      <c r="R670" t="s">
        <v>36</v>
      </c>
      <c r="S670" t="s">
        <v>36</v>
      </c>
      <c r="T670" s="1">
        <v>43557</v>
      </c>
      <c r="U670" t="s">
        <v>36</v>
      </c>
      <c r="V670" s="1">
        <v>42473.520833333336</v>
      </c>
      <c r="W670" t="s">
        <v>36</v>
      </c>
      <c r="X670" t="s">
        <v>36</v>
      </c>
      <c r="Y670" t="s">
        <v>36</v>
      </c>
      <c r="Z670" s="1">
        <v>42648.465277777781</v>
      </c>
      <c r="AA670" t="s">
        <v>36</v>
      </c>
      <c r="AB670" t="s">
        <v>36</v>
      </c>
      <c r="AC670" s="1">
        <v>42485.743055555555</v>
      </c>
      <c r="AD670" s="1">
        <v>43009</v>
      </c>
      <c r="AE670" t="s">
        <v>36</v>
      </c>
      <c r="AF670" s="1">
        <v>43529</v>
      </c>
      <c r="AG670" t="s">
        <v>36</v>
      </c>
      <c r="AH670" t="s">
        <v>36</v>
      </c>
      <c r="AI670" s="1">
        <v>43530</v>
      </c>
      <c r="AJ670" s="1">
        <v>43528</v>
      </c>
    </row>
    <row r="671" spans="1:36" x14ac:dyDescent="0.35">
      <c r="A671">
        <v>157</v>
      </c>
      <c r="B671" t="s">
        <v>129</v>
      </c>
      <c r="C671" t="s">
        <v>36</v>
      </c>
      <c r="D671" s="1">
        <v>42058.680555555555</v>
      </c>
      <c r="E671" t="s">
        <v>36</v>
      </c>
      <c r="F671" t="s">
        <v>36</v>
      </c>
      <c r="G671" s="1">
        <v>41426</v>
      </c>
      <c r="H671" t="s">
        <v>36</v>
      </c>
      <c r="I671" t="s">
        <v>36</v>
      </c>
      <c r="J671" t="s">
        <v>36</v>
      </c>
      <c r="K671" t="s">
        <v>36</v>
      </c>
      <c r="L671" t="s">
        <v>36</v>
      </c>
      <c r="M671" s="1">
        <v>43348.631944444445</v>
      </c>
      <c r="N671" s="1">
        <v>42735.993055555555</v>
      </c>
      <c r="O671" s="1">
        <v>42206.590277777781</v>
      </c>
      <c r="P671" s="1">
        <v>43059.576388888891</v>
      </c>
      <c r="Q671" t="s">
        <v>36</v>
      </c>
      <c r="R671" t="s">
        <v>36</v>
      </c>
      <c r="S671" t="s">
        <v>36</v>
      </c>
      <c r="T671" s="1">
        <v>42528.291666666664</v>
      </c>
      <c r="U671" t="s">
        <v>36</v>
      </c>
      <c r="V671" t="s">
        <v>36</v>
      </c>
      <c r="W671" t="s">
        <v>36</v>
      </c>
      <c r="X671" s="1">
        <v>42193.659722222219</v>
      </c>
      <c r="Y671" t="s">
        <v>36</v>
      </c>
      <c r="Z671" t="s">
        <v>36</v>
      </c>
      <c r="AA671" t="s">
        <v>36</v>
      </c>
      <c r="AB671" t="s">
        <v>36</v>
      </c>
      <c r="AC671" t="s">
        <v>36</v>
      </c>
      <c r="AD671" t="s">
        <v>36</v>
      </c>
      <c r="AE671" t="s">
        <v>36</v>
      </c>
      <c r="AF671" s="1">
        <v>42058.680555555555</v>
      </c>
      <c r="AG671" s="32">
        <v>43040</v>
      </c>
      <c r="AH671" t="s">
        <v>36</v>
      </c>
      <c r="AI671" s="1">
        <v>41426</v>
      </c>
      <c r="AJ671" s="1">
        <v>43059.576388888891</v>
      </c>
    </row>
    <row r="672" spans="1:36" x14ac:dyDescent="0.35">
      <c r="A672">
        <v>1</v>
      </c>
      <c r="B672" t="s">
        <v>35</v>
      </c>
      <c r="C672" s="1">
        <v>42528.291666666664</v>
      </c>
      <c r="D672" s="1">
        <v>42058.680555555555</v>
      </c>
      <c r="E672" s="1">
        <v>39245.465277777781</v>
      </c>
      <c r="F672" s="1">
        <v>42735.993055555555</v>
      </c>
      <c r="G672" s="1">
        <v>41426</v>
      </c>
      <c r="H672" s="1">
        <v>43059.576388888891</v>
      </c>
      <c r="I672" s="1">
        <v>38757.354166666664</v>
      </c>
      <c r="J672" s="1">
        <v>39631.4375</v>
      </c>
      <c r="K672" s="1">
        <v>42528.291666666664</v>
      </c>
      <c r="L672" s="1">
        <v>42058.680555555555</v>
      </c>
      <c r="M672" s="1">
        <v>43009</v>
      </c>
      <c r="N672" s="1">
        <v>42735.993055555555</v>
      </c>
      <c r="O672" s="1">
        <v>42206.583333333336</v>
      </c>
      <c r="P672" s="1">
        <v>43059.576388888891</v>
      </c>
      <c r="Q672" s="1">
        <v>40215.493055555555</v>
      </c>
      <c r="R672" s="1">
        <v>43329.319444444445</v>
      </c>
      <c r="S672" s="1">
        <v>42735.993055555555</v>
      </c>
      <c r="T672" s="1">
        <v>42528.291666666664</v>
      </c>
      <c r="U672" s="1">
        <v>43054.631944444445</v>
      </c>
      <c r="V672" s="1">
        <v>42473.520833333336</v>
      </c>
      <c r="W672" s="1">
        <v>42735.993055555555</v>
      </c>
      <c r="X672" s="1">
        <v>42193.652777777781</v>
      </c>
      <c r="Y672" s="1">
        <v>43396.4375</v>
      </c>
      <c r="Z672" s="1">
        <v>42648.465277777781</v>
      </c>
      <c r="AA672" s="1">
        <v>43054.611111111109</v>
      </c>
      <c r="AB672" s="1">
        <v>41225.597222222219</v>
      </c>
      <c r="AC672" s="1">
        <v>42485.743055555555</v>
      </c>
      <c r="AD672" s="1">
        <v>43009</v>
      </c>
      <c r="AE672" t="s">
        <v>36</v>
      </c>
      <c r="AF672" s="1">
        <v>42058.680555555555</v>
      </c>
      <c r="AG672" s="32">
        <v>43040</v>
      </c>
      <c r="AH672" s="1">
        <v>42735.993055555555</v>
      </c>
      <c r="AI672" s="1">
        <v>41426</v>
      </c>
      <c r="AJ672" s="1">
        <v>43059.576388888891</v>
      </c>
    </row>
    <row r="673" spans="1:36" x14ac:dyDescent="0.35">
      <c r="A673">
        <v>67</v>
      </c>
      <c r="B673" t="s">
        <v>283</v>
      </c>
      <c r="C673" s="1">
        <v>42528.291666666664</v>
      </c>
      <c r="D673" s="1">
        <v>42058.680555555555</v>
      </c>
      <c r="E673" s="1">
        <v>43526.347222222219</v>
      </c>
      <c r="F673" s="1">
        <v>43526.319444444445</v>
      </c>
      <c r="G673" s="1">
        <v>43530</v>
      </c>
      <c r="H673" s="1">
        <v>43626.604166666664</v>
      </c>
      <c r="I673" s="1">
        <v>38757.354166666664</v>
      </c>
      <c r="J673" s="1">
        <v>39631.4375</v>
      </c>
      <c r="K673" s="1">
        <v>42528.291666666664</v>
      </c>
      <c r="L673" s="1">
        <v>42058.680555555555</v>
      </c>
      <c r="M673" s="1">
        <v>43348.625</v>
      </c>
      <c r="N673" s="1">
        <v>42735.993055555555</v>
      </c>
      <c r="O673" s="1">
        <v>42206.583333333336</v>
      </c>
      <c r="P673" s="1">
        <v>43559</v>
      </c>
      <c r="Q673" s="1">
        <v>40215.493055555555</v>
      </c>
      <c r="R673" s="1">
        <v>43329.319444444445</v>
      </c>
      <c r="S673" s="1">
        <v>43467.236111111109</v>
      </c>
      <c r="T673" s="1">
        <v>43557</v>
      </c>
      <c r="U673" s="1">
        <v>43618.270833333336</v>
      </c>
      <c r="V673" s="1">
        <v>42473.520833333336</v>
      </c>
      <c r="W673" s="1">
        <v>42735.993055555555</v>
      </c>
      <c r="X673" s="1">
        <v>42193.652777777781</v>
      </c>
      <c r="Y673" t="s">
        <v>36</v>
      </c>
      <c r="Z673" s="1">
        <v>42648.465277777781</v>
      </c>
      <c r="AA673" s="1">
        <v>43618.263888888891</v>
      </c>
      <c r="AB673" s="1">
        <v>42486.548611111109</v>
      </c>
      <c r="AC673" s="1">
        <v>42485.743055555555</v>
      </c>
      <c r="AD673" s="1">
        <v>43009</v>
      </c>
      <c r="AE673" t="s">
        <v>36</v>
      </c>
      <c r="AF673" s="1">
        <v>43529</v>
      </c>
      <c r="AG673" t="s">
        <v>36</v>
      </c>
      <c r="AH673" s="1">
        <v>43556.604166666664</v>
      </c>
      <c r="AI673" s="1">
        <v>43530</v>
      </c>
      <c r="AJ673" s="1">
        <v>43528</v>
      </c>
    </row>
    <row r="674" spans="1:36" x14ac:dyDescent="0.35">
      <c r="A674">
        <v>66</v>
      </c>
      <c r="B674" t="s">
        <v>282</v>
      </c>
      <c r="C674" s="1">
        <v>42528.291666666664</v>
      </c>
      <c r="D674" s="1">
        <v>42058.680555555555</v>
      </c>
      <c r="E674" s="1">
        <v>43526.347222222219</v>
      </c>
      <c r="F674" s="1">
        <v>43526.319444444445</v>
      </c>
      <c r="G674" s="1">
        <v>43530</v>
      </c>
      <c r="H674" s="1">
        <v>43626.604166666664</v>
      </c>
      <c r="I674" s="1">
        <v>38757.354166666664</v>
      </c>
      <c r="J674" s="1">
        <v>39631.4375</v>
      </c>
      <c r="K674" s="1">
        <v>42528.291666666664</v>
      </c>
      <c r="L674" s="1">
        <v>42058.680555555555</v>
      </c>
      <c r="M674" s="1">
        <v>43348.625</v>
      </c>
      <c r="N674" s="1">
        <v>42735.993055555555</v>
      </c>
      <c r="O674" s="1">
        <v>42206.583333333336</v>
      </c>
      <c r="P674" s="1">
        <v>43557</v>
      </c>
      <c r="Q674" s="1">
        <v>40215.493055555555</v>
      </c>
      <c r="R674" s="1">
        <v>43329.319444444445</v>
      </c>
      <c r="S674" s="1">
        <v>43467.236111111109</v>
      </c>
      <c r="T674" s="1">
        <v>43557</v>
      </c>
      <c r="U674" s="1">
        <v>43618.270833333336</v>
      </c>
      <c r="V674" s="1">
        <v>42473.520833333336</v>
      </c>
      <c r="W674" s="1">
        <v>42735.993055555555</v>
      </c>
      <c r="X674" s="1">
        <v>42193.652777777781</v>
      </c>
      <c r="Y674" t="s">
        <v>36</v>
      </c>
      <c r="Z674" s="1">
        <v>42648.465277777781</v>
      </c>
      <c r="AA674" s="1">
        <v>43618.263888888891</v>
      </c>
      <c r="AB674" s="1">
        <v>42486.548611111109</v>
      </c>
      <c r="AC674" s="1">
        <v>42485.743055555555</v>
      </c>
      <c r="AD674" s="1">
        <v>43009</v>
      </c>
      <c r="AE674" t="s">
        <v>36</v>
      </c>
      <c r="AF674" s="1">
        <v>43529</v>
      </c>
      <c r="AG674" t="s">
        <v>36</v>
      </c>
      <c r="AH674" s="1">
        <v>43556.604166666664</v>
      </c>
      <c r="AI674" s="1">
        <v>43530</v>
      </c>
      <c r="AJ674" s="1">
        <v>43528</v>
      </c>
    </row>
    <row r="675" spans="1:36" x14ac:dyDescent="0.35">
      <c r="A675">
        <v>65</v>
      </c>
      <c r="B675" t="s">
        <v>281</v>
      </c>
      <c r="C675" s="1">
        <v>42528.291666666664</v>
      </c>
      <c r="D675" s="1">
        <v>42058.680555555555</v>
      </c>
      <c r="E675" s="1">
        <v>43526.347222222219</v>
      </c>
      <c r="F675" s="1">
        <v>43526.319444444445</v>
      </c>
      <c r="G675" s="1">
        <v>43530</v>
      </c>
      <c r="H675" s="1">
        <v>43626.604166666664</v>
      </c>
      <c r="I675" s="1">
        <v>38757.354166666664</v>
      </c>
      <c r="J675" s="1">
        <v>39631.4375</v>
      </c>
      <c r="K675" s="1">
        <v>42528.291666666664</v>
      </c>
      <c r="L675" s="1">
        <v>42058.680555555555</v>
      </c>
      <c r="M675" s="1">
        <v>43348.625</v>
      </c>
      <c r="N675" s="1">
        <v>42735.993055555555</v>
      </c>
      <c r="O675" s="1">
        <v>42206.583333333336</v>
      </c>
      <c r="P675" s="1">
        <v>43557</v>
      </c>
      <c r="Q675" t="s">
        <v>36</v>
      </c>
      <c r="R675" s="1">
        <v>43329.319444444445</v>
      </c>
      <c r="S675" s="1">
        <v>43467.236111111109</v>
      </c>
      <c r="T675" s="1">
        <v>43557</v>
      </c>
      <c r="U675" s="1">
        <v>43618.270833333336</v>
      </c>
      <c r="V675" s="1">
        <v>42473.520833333336</v>
      </c>
      <c r="W675" s="1">
        <v>42735.993055555555</v>
      </c>
      <c r="X675" s="1">
        <v>42193.652777777781</v>
      </c>
      <c r="Y675" t="s">
        <v>36</v>
      </c>
      <c r="Z675" s="1">
        <v>42648.465277777781</v>
      </c>
      <c r="AA675" s="1">
        <v>43618.263888888891</v>
      </c>
      <c r="AB675" s="1">
        <v>42486.548611111109</v>
      </c>
      <c r="AC675" s="1">
        <v>42485.743055555555</v>
      </c>
      <c r="AD675" s="1">
        <v>43009</v>
      </c>
      <c r="AE675" t="s">
        <v>36</v>
      </c>
      <c r="AF675" s="1">
        <v>43529</v>
      </c>
      <c r="AG675" t="s">
        <v>36</v>
      </c>
      <c r="AH675" s="1">
        <v>43556.604166666664</v>
      </c>
      <c r="AI675" s="1">
        <v>43530</v>
      </c>
      <c r="AJ675" s="1">
        <v>43528</v>
      </c>
    </row>
    <row r="676" spans="1:36" x14ac:dyDescent="0.35">
      <c r="A676">
        <v>229</v>
      </c>
      <c r="B676" t="s">
        <v>158</v>
      </c>
      <c r="C676" t="s">
        <v>36</v>
      </c>
      <c r="D676" t="s">
        <v>36</v>
      </c>
      <c r="E676" t="s">
        <v>36</v>
      </c>
      <c r="F676" t="s">
        <v>36</v>
      </c>
      <c r="G676" t="s">
        <v>36</v>
      </c>
      <c r="H676" t="s">
        <v>36</v>
      </c>
      <c r="I676" t="s">
        <v>36</v>
      </c>
      <c r="J676" s="1">
        <v>43061.090277777781</v>
      </c>
      <c r="K676" t="s">
        <v>36</v>
      </c>
      <c r="L676" s="1">
        <v>43195.548611111109</v>
      </c>
      <c r="M676" t="s">
        <v>36</v>
      </c>
      <c r="N676" t="s">
        <v>36</v>
      </c>
      <c r="O676" t="s">
        <v>36</v>
      </c>
      <c r="P676" t="s">
        <v>36</v>
      </c>
      <c r="Q676" t="s">
        <v>36</v>
      </c>
      <c r="R676" t="s">
        <v>36</v>
      </c>
      <c r="S676" t="s">
        <v>36</v>
      </c>
      <c r="T676" t="s">
        <v>36</v>
      </c>
      <c r="U676" t="s">
        <v>36</v>
      </c>
      <c r="V676" t="s">
        <v>36</v>
      </c>
      <c r="W676" s="1">
        <v>42735.993055555555</v>
      </c>
      <c r="X676" t="s">
        <v>36</v>
      </c>
      <c r="Y676" t="s">
        <v>36</v>
      </c>
      <c r="Z676" t="s">
        <v>36</v>
      </c>
      <c r="AA676" t="s">
        <v>36</v>
      </c>
      <c r="AB676" s="1">
        <v>41225.597222222219</v>
      </c>
      <c r="AC676" t="s">
        <v>36</v>
      </c>
      <c r="AD676" t="s">
        <v>36</v>
      </c>
      <c r="AE676" t="s">
        <v>36</v>
      </c>
      <c r="AF676" t="s">
        <v>36</v>
      </c>
      <c r="AG676" t="s">
        <v>36</v>
      </c>
      <c r="AH676" t="s">
        <v>36</v>
      </c>
      <c r="AI676" t="s">
        <v>36</v>
      </c>
      <c r="AJ676" t="s">
        <v>36</v>
      </c>
    </row>
    <row r="677" spans="1:36" x14ac:dyDescent="0.35">
      <c r="A677">
        <v>227</v>
      </c>
      <c r="B677" t="s">
        <v>156</v>
      </c>
      <c r="C677" t="s">
        <v>36</v>
      </c>
      <c r="D677" t="s">
        <v>36</v>
      </c>
      <c r="E677" t="s">
        <v>36</v>
      </c>
      <c r="F677" t="s">
        <v>36</v>
      </c>
      <c r="G677" t="s">
        <v>36</v>
      </c>
      <c r="H677" t="s">
        <v>36</v>
      </c>
      <c r="I677" t="s">
        <v>36</v>
      </c>
      <c r="J677" s="1">
        <v>43061.215277777781</v>
      </c>
      <c r="K677" t="s">
        <v>36</v>
      </c>
      <c r="L677" s="1">
        <v>43195.548611111109</v>
      </c>
      <c r="M677" t="s">
        <v>36</v>
      </c>
      <c r="N677" t="s">
        <v>36</v>
      </c>
      <c r="O677" t="s">
        <v>36</v>
      </c>
      <c r="P677" t="s">
        <v>36</v>
      </c>
      <c r="Q677" t="s">
        <v>36</v>
      </c>
      <c r="R677" t="s">
        <v>36</v>
      </c>
      <c r="S677" t="s">
        <v>36</v>
      </c>
      <c r="T677" t="s">
        <v>36</v>
      </c>
      <c r="U677" t="s">
        <v>36</v>
      </c>
      <c r="V677" t="s">
        <v>36</v>
      </c>
      <c r="W677" s="1">
        <v>42735.993055555555</v>
      </c>
      <c r="X677" t="s">
        <v>36</v>
      </c>
      <c r="Y677" t="s">
        <v>36</v>
      </c>
      <c r="Z677" t="s">
        <v>36</v>
      </c>
      <c r="AA677" t="s">
        <v>36</v>
      </c>
      <c r="AB677" t="s">
        <v>36</v>
      </c>
      <c r="AC677" t="s">
        <v>36</v>
      </c>
      <c r="AD677" t="s">
        <v>36</v>
      </c>
      <c r="AE677" t="s">
        <v>36</v>
      </c>
      <c r="AF677" t="s">
        <v>36</v>
      </c>
      <c r="AG677" t="s">
        <v>36</v>
      </c>
      <c r="AH677" t="s">
        <v>36</v>
      </c>
      <c r="AI677" t="s">
        <v>36</v>
      </c>
      <c r="AJ677" t="s">
        <v>36</v>
      </c>
    </row>
    <row r="678" spans="1:36" x14ac:dyDescent="0.35">
      <c r="A678">
        <v>5126</v>
      </c>
      <c r="B678" t="s">
        <v>1245</v>
      </c>
      <c r="C678" t="s">
        <v>36</v>
      </c>
      <c r="D678" t="s">
        <v>36</v>
      </c>
      <c r="E678" s="1">
        <v>43785.611111111109</v>
      </c>
      <c r="F678" s="1">
        <v>43785.625</v>
      </c>
      <c r="G678" s="1">
        <v>43530</v>
      </c>
      <c r="H678" s="1">
        <v>43885.6875</v>
      </c>
      <c r="I678" s="1">
        <v>38757.354166666664</v>
      </c>
      <c r="J678" s="1">
        <v>39631.4375</v>
      </c>
      <c r="K678" t="s">
        <v>36</v>
      </c>
      <c r="L678" s="1">
        <v>42058.680555555555</v>
      </c>
      <c r="M678" t="s">
        <v>36</v>
      </c>
      <c r="N678" t="s">
        <v>36</v>
      </c>
      <c r="O678" t="s">
        <v>36</v>
      </c>
      <c r="P678" s="1">
        <v>43557</v>
      </c>
      <c r="Q678" t="s">
        <v>36</v>
      </c>
      <c r="R678" t="s">
        <v>36</v>
      </c>
      <c r="S678" s="1">
        <v>43738.958333333336</v>
      </c>
      <c r="T678" s="1">
        <v>43557</v>
      </c>
      <c r="U678" s="1">
        <v>43877.652777777781</v>
      </c>
      <c r="V678" t="s">
        <v>36</v>
      </c>
      <c r="W678" t="s">
        <v>36</v>
      </c>
      <c r="X678" t="s">
        <v>36</v>
      </c>
      <c r="Y678" t="s">
        <v>36</v>
      </c>
      <c r="Z678" t="s">
        <v>36</v>
      </c>
      <c r="AA678" s="1">
        <v>43877.631944444445</v>
      </c>
      <c r="AB678" t="s">
        <v>36</v>
      </c>
      <c r="AC678" t="s">
        <v>36</v>
      </c>
      <c r="AD678" t="s">
        <v>36</v>
      </c>
      <c r="AE678" t="s">
        <v>36</v>
      </c>
      <c r="AF678" s="1">
        <v>43529</v>
      </c>
      <c r="AG678" t="s">
        <v>36</v>
      </c>
      <c r="AH678" s="1">
        <v>43815.638888888891</v>
      </c>
      <c r="AI678" s="1">
        <v>43530</v>
      </c>
      <c r="AJ678" s="1">
        <v>43528</v>
      </c>
    </row>
    <row r="679" spans="1:36" x14ac:dyDescent="0.35">
      <c r="A679">
        <v>5127</v>
      </c>
      <c r="B679" t="s">
        <v>1246</v>
      </c>
      <c r="C679" t="s">
        <v>36</v>
      </c>
      <c r="D679" t="s">
        <v>36</v>
      </c>
      <c r="E679" s="1">
        <v>43785.611111111109</v>
      </c>
      <c r="F679" s="1">
        <v>43785.625</v>
      </c>
      <c r="G679" s="1">
        <v>43530</v>
      </c>
      <c r="H679" s="1">
        <v>43885.6875</v>
      </c>
      <c r="I679" s="1">
        <v>38757.354166666664</v>
      </c>
      <c r="J679" s="1">
        <v>39631.4375</v>
      </c>
      <c r="K679" t="s">
        <v>36</v>
      </c>
      <c r="L679" s="1">
        <v>42058.680555555555</v>
      </c>
      <c r="M679" t="s">
        <v>36</v>
      </c>
      <c r="N679" t="s">
        <v>36</v>
      </c>
      <c r="O679" t="s">
        <v>36</v>
      </c>
      <c r="P679" s="1">
        <v>43557</v>
      </c>
      <c r="Q679" t="s">
        <v>36</v>
      </c>
      <c r="R679" t="s">
        <v>36</v>
      </c>
      <c r="S679" s="1">
        <v>43738.958333333336</v>
      </c>
      <c r="T679" s="1">
        <v>43557</v>
      </c>
      <c r="U679" s="1">
        <v>43877.652777777781</v>
      </c>
      <c r="V679" t="s">
        <v>36</v>
      </c>
      <c r="W679" t="s">
        <v>36</v>
      </c>
      <c r="X679" t="s">
        <v>36</v>
      </c>
      <c r="Y679" t="s">
        <v>36</v>
      </c>
      <c r="Z679" t="s">
        <v>36</v>
      </c>
      <c r="AA679" s="1">
        <v>43877.631944444445</v>
      </c>
      <c r="AB679" t="s">
        <v>36</v>
      </c>
      <c r="AC679" t="s">
        <v>36</v>
      </c>
      <c r="AD679" t="s">
        <v>36</v>
      </c>
      <c r="AE679" t="s">
        <v>36</v>
      </c>
      <c r="AF679" s="1">
        <v>43529</v>
      </c>
      <c r="AG679" t="s">
        <v>36</v>
      </c>
      <c r="AH679" s="1">
        <v>43815.638888888891</v>
      </c>
      <c r="AI679" s="1">
        <v>43530</v>
      </c>
      <c r="AJ679" s="1">
        <v>43528</v>
      </c>
    </row>
    <row r="680" spans="1:36" x14ac:dyDescent="0.35">
      <c r="A680">
        <v>158</v>
      </c>
      <c r="B680" t="s">
        <v>130</v>
      </c>
      <c r="C680" t="s">
        <v>36</v>
      </c>
      <c r="D680" s="1">
        <v>42058.680555555555</v>
      </c>
      <c r="E680" t="s">
        <v>36</v>
      </c>
      <c r="F680" t="s">
        <v>36</v>
      </c>
      <c r="G680" s="1">
        <v>41426</v>
      </c>
      <c r="H680" t="s">
        <v>36</v>
      </c>
      <c r="I680" t="s">
        <v>36</v>
      </c>
      <c r="J680" t="s">
        <v>36</v>
      </c>
      <c r="K680" t="s">
        <v>36</v>
      </c>
      <c r="L680" t="s">
        <v>36</v>
      </c>
      <c r="M680" s="1">
        <v>43348.631944444445</v>
      </c>
      <c r="N680" s="1">
        <v>42735.993055555555</v>
      </c>
      <c r="O680" s="1">
        <v>42206.590277777781</v>
      </c>
      <c r="P680" s="1">
        <v>43059.576388888891</v>
      </c>
      <c r="Q680" t="s">
        <v>36</v>
      </c>
      <c r="R680" t="s">
        <v>36</v>
      </c>
      <c r="S680" t="s">
        <v>36</v>
      </c>
      <c r="T680" s="1">
        <v>42528.291666666664</v>
      </c>
      <c r="U680" t="s">
        <v>36</v>
      </c>
      <c r="V680" t="s">
        <v>36</v>
      </c>
      <c r="W680" t="s">
        <v>36</v>
      </c>
      <c r="X680" s="1">
        <v>42193.659722222219</v>
      </c>
      <c r="Y680" t="s">
        <v>36</v>
      </c>
      <c r="Z680" t="s">
        <v>36</v>
      </c>
      <c r="AA680" t="s">
        <v>36</v>
      </c>
      <c r="AB680" t="s">
        <v>36</v>
      </c>
      <c r="AC680" t="s">
        <v>36</v>
      </c>
      <c r="AD680" t="s">
        <v>36</v>
      </c>
      <c r="AE680" t="s">
        <v>36</v>
      </c>
      <c r="AF680" s="1">
        <v>42058.680555555555</v>
      </c>
      <c r="AG680" s="32">
        <v>43040</v>
      </c>
      <c r="AH680" t="s">
        <v>36</v>
      </c>
      <c r="AI680" s="1">
        <v>41426</v>
      </c>
      <c r="AJ680" s="1">
        <v>43059.576388888891</v>
      </c>
    </row>
    <row r="681" spans="1:36" x14ac:dyDescent="0.35">
      <c r="C681">
        <f t="shared" ref="C681:AJ681" si="0">MIN(C2:C680)</f>
        <v>42528.291666666664</v>
      </c>
      <c r="D681">
        <f t="shared" si="0"/>
        <v>42058.680555555555</v>
      </c>
      <c r="E681">
        <f t="shared" si="0"/>
        <v>39245.465277777781</v>
      </c>
      <c r="F681">
        <f t="shared" si="0"/>
        <v>42735.993055555555</v>
      </c>
      <c r="G681">
        <f t="shared" si="0"/>
        <v>41426</v>
      </c>
      <c r="H681">
        <f t="shared" si="0"/>
        <v>43059.576388888891</v>
      </c>
      <c r="I681">
        <f t="shared" si="0"/>
        <v>38757.354166666664</v>
      </c>
      <c r="J681">
        <f t="shared" si="0"/>
        <v>39631.4375</v>
      </c>
      <c r="K681">
        <f t="shared" si="0"/>
        <v>42528.291666666664</v>
      </c>
      <c r="L681">
        <f t="shared" si="0"/>
        <v>42058.680555555555</v>
      </c>
      <c r="M681">
        <f t="shared" si="0"/>
        <v>43009</v>
      </c>
      <c r="N681">
        <f t="shared" si="0"/>
        <v>42735.993055555555</v>
      </c>
      <c r="O681">
        <f t="shared" si="0"/>
        <v>42206.583333333336</v>
      </c>
      <c r="P681">
        <f t="shared" si="0"/>
        <v>43059.576388888891</v>
      </c>
      <c r="Q681">
        <f t="shared" si="0"/>
        <v>40215.493055555555</v>
      </c>
      <c r="R681">
        <f t="shared" si="0"/>
        <v>43329.319444444445</v>
      </c>
      <c r="S681">
        <f t="shared" si="0"/>
        <v>42735.993055555555</v>
      </c>
      <c r="T681">
        <f t="shared" si="0"/>
        <v>42528.291666666664</v>
      </c>
      <c r="U681">
        <f t="shared" si="0"/>
        <v>43054.631944444445</v>
      </c>
      <c r="V681">
        <f t="shared" si="0"/>
        <v>42473.506944444445</v>
      </c>
      <c r="W681">
        <f t="shared" si="0"/>
        <v>42735.993055555555</v>
      </c>
      <c r="X681">
        <f t="shared" si="0"/>
        <v>42193.652777777781</v>
      </c>
      <c r="Y681">
        <f t="shared" si="0"/>
        <v>43394</v>
      </c>
      <c r="Z681">
        <f t="shared" si="0"/>
        <v>42646.951388888891</v>
      </c>
      <c r="AA681">
        <f t="shared" si="0"/>
        <v>43054.611111111109</v>
      </c>
      <c r="AB681">
        <f t="shared" si="0"/>
        <v>41225.597222222219</v>
      </c>
      <c r="AC681">
        <f t="shared" si="0"/>
        <v>42485.736111111109</v>
      </c>
      <c r="AD681">
        <f t="shared" si="0"/>
        <v>43009</v>
      </c>
      <c r="AE681">
        <f t="shared" si="0"/>
        <v>0</v>
      </c>
      <c r="AF681">
        <f t="shared" si="0"/>
        <v>42058.680555555555</v>
      </c>
      <c r="AG681">
        <f t="shared" si="0"/>
        <v>43040</v>
      </c>
      <c r="AH681">
        <f t="shared" si="0"/>
        <v>42735.993055555555</v>
      </c>
      <c r="AI681">
        <f t="shared" si="0"/>
        <v>41426</v>
      </c>
      <c r="AJ681">
        <f t="shared" si="0"/>
        <v>43059.576388888891</v>
      </c>
    </row>
  </sheetData>
  <autoFilter ref="A1:AJ681" xr:uid="{32F19109-0B24-42CC-ABEA-A41687939E1C}">
    <sortState xmlns:xlrd2="http://schemas.microsoft.com/office/spreadsheetml/2017/richdata2" ref="A2:AJ681">
      <sortCondition ref="B1:B681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7D8A1-CC3A-4B26-9756-52F7F86EC887}">
  <sheetPr codeName="Sheet6"/>
  <dimension ref="A1:C744"/>
  <sheetViews>
    <sheetView topLeftCell="A707" workbookViewId="0">
      <selection activeCell="B743" sqref="B743"/>
    </sheetView>
  </sheetViews>
  <sheetFormatPr defaultRowHeight="14.5" x14ac:dyDescent="0.35"/>
  <cols>
    <col min="1" max="1" width="16" customWidth="1"/>
    <col min="2" max="3" width="38.7265625" customWidth="1"/>
  </cols>
  <sheetData>
    <row r="1" spans="1:3" x14ac:dyDescent="0.35">
      <c r="A1" t="s">
        <v>856</v>
      </c>
      <c r="B1" t="s">
        <v>1257</v>
      </c>
      <c r="C1" t="s">
        <v>1258</v>
      </c>
    </row>
    <row r="2" spans="1:3" x14ac:dyDescent="0.35">
      <c r="A2">
        <v>1</v>
      </c>
      <c r="B2" t="s">
        <v>35</v>
      </c>
      <c r="C2" t="s">
        <v>1259</v>
      </c>
    </row>
    <row r="3" spans="1:3" x14ac:dyDescent="0.35">
      <c r="A3">
        <v>2</v>
      </c>
      <c r="B3" t="s">
        <v>37</v>
      </c>
      <c r="C3" t="s">
        <v>1260</v>
      </c>
    </row>
    <row r="4" spans="1:3" x14ac:dyDescent="0.35">
      <c r="A4">
        <v>3</v>
      </c>
      <c r="B4" t="s">
        <v>38</v>
      </c>
      <c r="C4" t="s">
        <v>1261</v>
      </c>
    </row>
    <row r="5" spans="1:3" x14ac:dyDescent="0.35">
      <c r="A5">
        <v>4</v>
      </c>
      <c r="B5" t="s">
        <v>39</v>
      </c>
      <c r="C5" t="s">
        <v>1262</v>
      </c>
    </row>
    <row r="6" spans="1:3" x14ac:dyDescent="0.35">
      <c r="A6">
        <v>5</v>
      </c>
      <c r="B6" t="s">
        <v>40</v>
      </c>
      <c r="C6" t="s">
        <v>40</v>
      </c>
    </row>
    <row r="7" spans="1:3" x14ac:dyDescent="0.35">
      <c r="A7">
        <v>6</v>
      </c>
      <c r="B7" t="s">
        <v>41</v>
      </c>
      <c r="C7" t="s">
        <v>1263</v>
      </c>
    </row>
    <row r="8" spans="1:3" x14ac:dyDescent="0.35">
      <c r="A8">
        <v>7</v>
      </c>
      <c r="B8" t="s">
        <v>42</v>
      </c>
      <c r="C8" t="s">
        <v>1264</v>
      </c>
    </row>
    <row r="9" spans="1:3" x14ac:dyDescent="0.35">
      <c r="A9">
        <v>8</v>
      </c>
      <c r="B9" t="s">
        <v>43</v>
      </c>
      <c r="C9" t="s">
        <v>1265</v>
      </c>
    </row>
    <row r="10" spans="1:3" x14ac:dyDescent="0.35">
      <c r="A10">
        <v>9</v>
      </c>
      <c r="B10" t="s">
        <v>44</v>
      </c>
      <c r="C10" t="s">
        <v>1266</v>
      </c>
    </row>
    <row r="11" spans="1:3" x14ac:dyDescent="0.35">
      <c r="A11">
        <v>10</v>
      </c>
      <c r="B11" t="s">
        <v>45</v>
      </c>
      <c r="C11" t="s">
        <v>1267</v>
      </c>
    </row>
    <row r="12" spans="1:3" x14ac:dyDescent="0.35">
      <c r="A12">
        <v>11</v>
      </c>
      <c r="B12" t="s">
        <v>46</v>
      </c>
      <c r="C12" t="s">
        <v>1268</v>
      </c>
    </row>
    <row r="13" spans="1:3" x14ac:dyDescent="0.35">
      <c r="A13">
        <v>12</v>
      </c>
      <c r="B13" t="s">
        <v>47</v>
      </c>
      <c r="C13" t="s">
        <v>1269</v>
      </c>
    </row>
    <row r="14" spans="1:3" x14ac:dyDescent="0.35">
      <c r="A14">
        <v>13</v>
      </c>
      <c r="B14" t="s">
        <v>48</v>
      </c>
      <c r="C14" t="s">
        <v>1270</v>
      </c>
    </row>
    <row r="15" spans="1:3" x14ac:dyDescent="0.35">
      <c r="A15">
        <v>14</v>
      </c>
      <c r="B15" t="s">
        <v>49</v>
      </c>
      <c r="C15" t="s">
        <v>1271</v>
      </c>
    </row>
    <row r="16" spans="1:3" x14ac:dyDescent="0.35">
      <c r="A16">
        <v>15</v>
      </c>
      <c r="B16" t="s">
        <v>50</v>
      </c>
      <c r="C16" t="s">
        <v>1272</v>
      </c>
    </row>
    <row r="17" spans="1:3" x14ac:dyDescent="0.35">
      <c r="A17">
        <v>16</v>
      </c>
      <c r="B17" t="s">
        <v>51</v>
      </c>
      <c r="C17" t="s">
        <v>1273</v>
      </c>
    </row>
    <row r="18" spans="1:3" x14ac:dyDescent="0.35">
      <c r="A18">
        <v>17</v>
      </c>
      <c r="B18" t="s">
        <v>52</v>
      </c>
      <c r="C18" t="s">
        <v>1274</v>
      </c>
    </row>
    <row r="19" spans="1:3" x14ac:dyDescent="0.35">
      <c r="A19">
        <v>18</v>
      </c>
      <c r="B19" t="s">
        <v>53</v>
      </c>
      <c r="C19" t="s">
        <v>1275</v>
      </c>
    </row>
    <row r="20" spans="1:3" x14ac:dyDescent="0.35">
      <c r="A20">
        <v>19</v>
      </c>
      <c r="B20" t="s">
        <v>54</v>
      </c>
      <c r="C20" t="s">
        <v>1276</v>
      </c>
    </row>
    <row r="21" spans="1:3" x14ac:dyDescent="0.35">
      <c r="A21">
        <v>20</v>
      </c>
      <c r="B21" t="s">
        <v>55</v>
      </c>
      <c r="C21" t="s">
        <v>1277</v>
      </c>
    </row>
    <row r="22" spans="1:3" x14ac:dyDescent="0.35">
      <c r="A22">
        <v>21</v>
      </c>
      <c r="B22" t="s">
        <v>56</v>
      </c>
      <c r="C22" t="s">
        <v>1278</v>
      </c>
    </row>
    <row r="23" spans="1:3" x14ac:dyDescent="0.35">
      <c r="A23">
        <v>22</v>
      </c>
      <c r="B23" t="s">
        <v>57</v>
      </c>
      <c r="C23" t="s">
        <v>1279</v>
      </c>
    </row>
    <row r="24" spans="1:3" x14ac:dyDescent="0.35">
      <c r="A24">
        <v>23</v>
      </c>
      <c r="B24" t="s">
        <v>58</v>
      </c>
      <c r="C24" t="s">
        <v>1280</v>
      </c>
    </row>
    <row r="25" spans="1:3" x14ac:dyDescent="0.35">
      <c r="A25">
        <v>24</v>
      </c>
      <c r="B25" t="s">
        <v>59</v>
      </c>
      <c r="C25" t="s">
        <v>1281</v>
      </c>
    </row>
    <row r="26" spans="1:3" x14ac:dyDescent="0.35">
      <c r="A26">
        <v>25</v>
      </c>
      <c r="B26" t="s">
        <v>60</v>
      </c>
      <c r="C26" t="s">
        <v>1282</v>
      </c>
    </row>
    <row r="27" spans="1:3" x14ac:dyDescent="0.35">
      <c r="A27">
        <v>26</v>
      </c>
      <c r="B27" t="s">
        <v>61</v>
      </c>
      <c r="C27" t="s">
        <v>1283</v>
      </c>
    </row>
    <row r="28" spans="1:3" x14ac:dyDescent="0.35">
      <c r="A28">
        <v>27</v>
      </c>
      <c r="B28" t="s">
        <v>62</v>
      </c>
      <c r="C28" t="s">
        <v>1284</v>
      </c>
    </row>
    <row r="29" spans="1:3" x14ac:dyDescent="0.35">
      <c r="A29">
        <v>28</v>
      </c>
      <c r="B29" t="s">
        <v>63</v>
      </c>
      <c r="C29" t="s">
        <v>1285</v>
      </c>
    </row>
    <row r="30" spans="1:3" x14ac:dyDescent="0.35">
      <c r="A30">
        <v>29</v>
      </c>
      <c r="B30" t="s">
        <v>64</v>
      </c>
      <c r="C30" t="s">
        <v>1286</v>
      </c>
    </row>
    <row r="31" spans="1:3" x14ac:dyDescent="0.35">
      <c r="A31">
        <v>30</v>
      </c>
      <c r="B31" t="s">
        <v>65</v>
      </c>
      <c r="C31" t="s">
        <v>1287</v>
      </c>
    </row>
    <row r="32" spans="1:3" x14ac:dyDescent="0.35">
      <c r="A32">
        <v>31</v>
      </c>
      <c r="B32" t="s">
        <v>66</v>
      </c>
      <c r="C32" t="s">
        <v>1288</v>
      </c>
    </row>
    <row r="33" spans="1:3" x14ac:dyDescent="0.35">
      <c r="A33">
        <v>32</v>
      </c>
      <c r="B33" t="s">
        <v>67</v>
      </c>
      <c r="C33" t="s">
        <v>1289</v>
      </c>
    </row>
    <row r="34" spans="1:3" x14ac:dyDescent="0.35">
      <c r="A34">
        <v>33</v>
      </c>
      <c r="B34" t="s">
        <v>68</v>
      </c>
      <c r="C34" t="s">
        <v>1290</v>
      </c>
    </row>
    <row r="35" spans="1:3" x14ac:dyDescent="0.35">
      <c r="A35">
        <v>34</v>
      </c>
      <c r="B35" t="s">
        <v>69</v>
      </c>
      <c r="C35" t="s">
        <v>1291</v>
      </c>
    </row>
    <row r="36" spans="1:3" x14ac:dyDescent="0.35">
      <c r="A36">
        <v>35</v>
      </c>
      <c r="B36" t="s">
        <v>70</v>
      </c>
      <c r="C36" t="s">
        <v>1292</v>
      </c>
    </row>
    <row r="37" spans="1:3" x14ac:dyDescent="0.35">
      <c r="A37">
        <v>36</v>
      </c>
      <c r="B37" t="s">
        <v>71</v>
      </c>
      <c r="C37" t="s">
        <v>1293</v>
      </c>
    </row>
    <row r="38" spans="1:3" x14ac:dyDescent="0.35">
      <c r="A38">
        <v>37</v>
      </c>
      <c r="B38" t="s">
        <v>72</v>
      </c>
      <c r="C38" t="s">
        <v>1294</v>
      </c>
    </row>
    <row r="39" spans="1:3" x14ac:dyDescent="0.35">
      <c r="A39">
        <v>38</v>
      </c>
      <c r="B39" t="s">
        <v>73</v>
      </c>
      <c r="C39" t="s">
        <v>1295</v>
      </c>
    </row>
    <row r="40" spans="1:3" x14ac:dyDescent="0.35">
      <c r="A40">
        <v>39</v>
      </c>
      <c r="B40" t="s">
        <v>74</v>
      </c>
      <c r="C40" t="s">
        <v>1296</v>
      </c>
    </row>
    <row r="41" spans="1:3" x14ac:dyDescent="0.35">
      <c r="A41">
        <v>40</v>
      </c>
      <c r="B41" t="s">
        <v>75</v>
      </c>
      <c r="C41" t="s">
        <v>1297</v>
      </c>
    </row>
    <row r="42" spans="1:3" x14ac:dyDescent="0.35">
      <c r="A42">
        <v>41</v>
      </c>
      <c r="B42" t="s">
        <v>76</v>
      </c>
      <c r="C42" t="s">
        <v>1298</v>
      </c>
    </row>
    <row r="43" spans="1:3" x14ac:dyDescent="0.35">
      <c r="A43">
        <v>42</v>
      </c>
      <c r="B43" t="s">
        <v>77</v>
      </c>
      <c r="C43" t="s">
        <v>1299</v>
      </c>
    </row>
    <row r="44" spans="1:3" x14ac:dyDescent="0.35">
      <c r="A44">
        <v>43</v>
      </c>
      <c r="B44" t="s">
        <v>78</v>
      </c>
      <c r="C44" t="s">
        <v>1300</v>
      </c>
    </row>
    <row r="45" spans="1:3" x14ac:dyDescent="0.35">
      <c r="A45">
        <v>44</v>
      </c>
      <c r="B45" t="s">
        <v>79</v>
      </c>
      <c r="C45" t="s">
        <v>1301</v>
      </c>
    </row>
    <row r="46" spans="1:3" x14ac:dyDescent="0.35">
      <c r="A46">
        <v>45</v>
      </c>
      <c r="B46" t="s">
        <v>80</v>
      </c>
      <c r="C46" t="s">
        <v>1302</v>
      </c>
    </row>
    <row r="47" spans="1:3" x14ac:dyDescent="0.35">
      <c r="A47">
        <v>46</v>
      </c>
      <c r="B47" t="s">
        <v>81</v>
      </c>
      <c r="C47" t="s">
        <v>1303</v>
      </c>
    </row>
    <row r="48" spans="1:3" x14ac:dyDescent="0.35">
      <c r="A48">
        <v>47</v>
      </c>
      <c r="B48" t="s">
        <v>82</v>
      </c>
      <c r="C48" t="s">
        <v>1304</v>
      </c>
    </row>
    <row r="49" spans="1:3" x14ac:dyDescent="0.35">
      <c r="A49">
        <v>48</v>
      </c>
      <c r="B49" t="s">
        <v>83</v>
      </c>
      <c r="C49" t="s">
        <v>1305</v>
      </c>
    </row>
    <row r="50" spans="1:3" x14ac:dyDescent="0.35">
      <c r="A50">
        <v>49</v>
      </c>
      <c r="B50" t="s">
        <v>84</v>
      </c>
      <c r="C50" t="s">
        <v>1306</v>
      </c>
    </row>
    <row r="51" spans="1:3" x14ac:dyDescent="0.35">
      <c r="A51">
        <v>50</v>
      </c>
      <c r="B51" t="s">
        <v>85</v>
      </c>
      <c r="C51" t="s">
        <v>1307</v>
      </c>
    </row>
    <row r="52" spans="1:3" x14ac:dyDescent="0.35">
      <c r="A52">
        <v>51</v>
      </c>
      <c r="B52" t="s">
        <v>86</v>
      </c>
      <c r="C52" t="s">
        <v>1308</v>
      </c>
    </row>
    <row r="53" spans="1:3" x14ac:dyDescent="0.35">
      <c r="A53">
        <v>52</v>
      </c>
      <c r="B53" t="s">
        <v>87</v>
      </c>
      <c r="C53" t="s">
        <v>1309</v>
      </c>
    </row>
    <row r="54" spans="1:3" x14ac:dyDescent="0.35">
      <c r="A54">
        <v>54</v>
      </c>
      <c r="B54" t="s">
        <v>88</v>
      </c>
      <c r="C54" t="s">
        <v>1310</v>
      </c>
    </row>
    <row r="55" spans="1:3" x14ac:dyDescent="0.35">
      <c r="A55">
        <v>55</v>
      </c>
      <c r="B55" t="s">
        <v>89</v>
      </c>
      <c r="C55" t="s">
        <v>1311</v>
      </c>
    </row>
    <row r="56" spans="1:3" x14ac:dyDescent="0.35">
      <c r="A56">
        <v>56</v>
      </c>
      <c r="B56" t="s">
        <v>90</v>
      </c>
      <c r="C56" t="s">
        <v>1312</v>
      </c>
    </row>
    <row r="57" spans="1:3" x14ac:dyDescent="0.35">
      <c r="A57">
        <v>57</v>
      </c>
      <c r="B57" t="s">
        <v>91</v>
      </c>
      <c r="C57" t="s">
        <v>1313</v>
      </c>
    </row>
    <row r="58" spans="1:3" x14ac:dyDescent="0.35">
      <c r="A58">
        <v>58</v>
      </c>
      <c r="B58" t="s">
        <v>92</v>
      </c>
      <c r="C58" t="s">
        <v>1314</v>
      </c>
    </row>
    <row r="59" spans="1:3" x14ac:dyDescent="0.35">
      <c r="A59">
        <v>59</v>
      </c>
      <c r="B59" t="s">
        <v>1315</v>
      </c>
      <c r="C59" t="s">
        <v>1316</v>
      </c>
    </row>
    <row r="60" spans="1:3" x14ac:dyDescent="0.35">
      <c r="A60">
        <v>60</v>
      </c>
      <c r="B60" t="s">
        <v>1317</v>
      </c>
      <c r="C60" t="s">
        <v>1318</v>
      </c>
    </row>
    <row r="61" spans="1:3" x14ac:dyDescent="0.35">
      <c r="A61">
        <v>65</v>
      </c>
      <c r="B61" t="s">
        <v>281</v>
      </c>
      <c r="C61" t="s">
        <v>1319</v>
      </c>
    </row>
    <row r="62" spans="1:3" x14ac:dyDescent="0.35">
      <c r="A62">
        <v>66</v>
      </c>
      <c r="B62" t="s">
        <v>282</v>
      </c>
      <c r="C62" t="s">
        <v>1320</v>
      </c>
    </row>
    <row r="63" spans="1:3" x14ac:dyDescent="0.35">
      <c r="A63">
        <v>67</v>
      </c>
      <c r="B63" t="s">
        <v>283</v>
      </c>
      <c r="C63" t="s">
        <v>1321</v>
      </c>
    </row>
    <row r="64" spans="1:3" x14ac:dyDescent="0.35">
      <c r="A64">
        <v>68</v>
      </c>
      <c r="B64" t="s">
        <v>858</v>
      </c>
      <c r="C64" t="s">
        <v>1322</v>
      </c>
    </row>
    <row r="65" spans="1:3" x14ac:dyDescent="0.35">
      <c r="A65">
        <v>69</v>
      </c>
      <c r="B65" t="s">
        <v>859</v>
      </c>
      <c r="C65" t="s">
        <v>1323</v>
      </c>
    </row>
    <row r="66" spans="1:3" x14ac:dyDescent="0.35">
      <c r="A66">
        <v>70</v>
      </c>
      <c r="B66" t="s">
        <v>860</v>
      </c>
      <c r="C66" t="s">
        <v>1324</v>
      </c>
    </row>
    <row r="67" spans="1:3" x14ac:dyDescent="0.35">
      <c r="A67">
        <v>71</v>
      </c>
      <c r="B67" t="s">
        <v>284</v>
      </c>
      <c r="C67" t="s">
        <v>1325</v>
      </c>
    </row>
    <row r="68" spans="1:3" x14ac:dyDescent="0.35">
      <c r="A68">
        <v>72</v>
      </c>
      <c r="B68" t="s">
        <v>285</v>
      </c>
      <c r="C68" t="s">
        <v>1326</v>
      </c>
    </row>
    <row r="69" spans="1:3" x14ac:dyDescent="0.35">
      <c r="A69">
        <v>73</v>
      </c>
      <c r="B69" t="s">
        <v>286</v>
      </c>
      <c r="C69" t="s">
        <v>1327</v>
      </c>
    </row>
    <row r="70" spans="1:3" x14ac:dyDescent="0.35">
      <c r="A70">
        <v>74</v>
      </c>
      <c r="B70" t="s">
        <v>287</v>
      </c>
      <c r="C70" t="s">
        <v>1328</v>
      </c>
    </row>
    <row r="71" spans="1:3" x14ac:dyDescent="0.35">
      <c r="A71">
        <v>75</v>
      </c>
      <c r="B71" t="s">
        <v>288</v>
      </c>
      <c r="C71" t="s">
        <v>1329</v>
      </c>
    </row>
    <row r="72" spans="1:3" x14ac:dyDescent="0.35">
      <c r="A72">
        <v>76</v>
      </c>
      <c r="B72" t="s">
        <v>289</v>
      </c>
      <c r="C72" t="s">
        <v>1330</v>
      </c>
    </row>
    <row r="73" spans="1:3" x14ac:dyDescent="0.35">
      <c r="A73">
        <v>80</v>
      </c>
      <c r="B73" t="s">
        <v>93</v>
      </c>
      <c r="C73" t="s">
        <v>1331</v>
      </c>
    </row>
    <row r="74" spans="1:3" x14ac:dyDescent="0.35">
      <c r="A74">
        <v>81</v>
      </c>
      <c r="B74" t="s">
        <v>94</v>
      </c>
      <c r="C74" t="s">
        <v>1332</v>
      </c>
    </row>
    <row r="75" spans="1:3" x14ac:dyDescent="0.35">
      <c r="A75">
        <v>82</v>
      </c>
      <c r="B75" t="s">
        <v>95</v>
      </c>
      <c r="C75" t="s">
        <v>1333</v>
      </c>
    </row>
    <row r="76" spans="1:3" x14ac:dyDescent="0.35">
      <c r="A76">
        <v>83</v>
      </c>
      <c r="B76" t="s">
        <v>96</v>
      </c>
      <c r="C76" t="s">
        <v>1334</v>
      </c>
    </row>
    <row r="77" spans="1:3" x14ac:dyDescent="0.35">
      <c r="A77">
        <v>84</v>
      </c>
      <c r="B77" t="s">
        <v>97</v>
      </c>
      <c r="C77" t="s">
        <v>1335</v>
      </c>
    </row>
    <row r="78" spans="1:3" x14ac:dyDescent="0.35">
      <c r="A78">
        <v>85</v>
      </c>
      <c r="B78" t="s">
        <v>98</v>
      </c>
      <c r="C78" t="s">
        <v>1336</v>
      </c>
    </row>
    <row r="79" spans="1:3" x14ac:dyDescent="0.35">
      <c r="A79">
        <v>86</v>
      </c>
      <c r="B79" t="s">
        <v>99</v>
      </c>
      <c r="C79" t="s">
        <v>1337</v>
      </c>
    </row>
    <row r="80" spans="1:3" x14ac:dyDescent="0.35">
      <c r="A80">
        <v>87</v>
      </c>
      <c r="B80" t="s">
        <v>100</v>
      </c>
      <c r="C80" t="s">
        <v>1338</v>
      </c>
    </row>
    <row r="81" spans="1:3" x14ac:dyDescent="0.35">
      <c r="A81">
        <v>90</v>
      </c>
      <c r="B81" t="s">
        <v>101</v>
      </c>
      <c r="C81" t="s">
        <v>1339</v>
      </c>
    </row>
    <row r="82" spans="1:3" x14ac:dyDescent="0.35">
      <c r="A82">
        <v>91</v>
      </c>
      <c r="B82" t="s">
        <v>102</v>
      </c>
      <c r="C82" t="s">
        <v>1340</v>
      </c>
    </row>
    <row r="83" spans="1:3" x14ac:dyDescent="0.35">
      <c r="A83">
        <v>92</v>
      </c>
      <c r="B83" t="s">
        <v>103</v>
      </c>
      <c r="C83" t="s">
        <v>1341</v>
      </c>
    </row>
    <row r="84" spans="1:3" x14ac:dyDescent="0.35">
      <c r="A84">
        <v>93</v>
      </c>
      <c r="B84" t="s">
        <v>104</v>
      </c>
      <c r="C84" t="s">
        <v>1342</v>
      </c>
    </row>
    <row r="85" spans="1:3" x14ac:dyDescent="0.35">
      <c r="A85">
        <v>94</v>
      </c>
      <c r="B85" t="s">
        <v>105</v>
      </c>
      <c r="C85" t="s">
        <v>1343</v>
      </c>
    </row>
    <row r="86" spans="1:3" x14ac:dyDescent="0.35">
      <c r="A86">
        <v>95</v>
      </c>
      <c r="B86" t="s">
        <v>106</v>
      </c>
      <c r="C86" t="s">
        <v>1344</v>
      </c>
    </row>
    <row r="87" spans="1:3" x14ac:dyDescent="0.35">
      <c r="A87">
        <v>96</v>
      </c>
      <c r="B87" t="s">
        <v>107</v>
      </c>
      <c r="C87" t="s">
        <v>1345</v>
      </c>
    </row>
    <row r="88" spans="1:3" x14ac:dyDescent="0.35">
      <c r="A88">
        <v>97</v>
      </c>
      <c r="B88" t="s">
        <v>108</v>
      </c>
      <c r="C88" t="s">
        <v>1346</v>
      </c>
    </row>
    <row r="89" spans="1:3" x14ac:dyDescent="0.35">
      <c r="A89">
        <v>101</v>
      </c>
      <c r="B89" t="s">
        <v>109</v>
      </c>
      <c r="C89" t="s">
        <v>1347</v>
      </c>
    </row>
    <row r="90" spans="1:3" x14ac:dyDescent="0.35">
      <c r="A90">
        <v>102</v>
      </c>
      <c r="B90" t="s">
        <v>110</v>
      </c>
      <c r="C90" t="s">
        <v>1348</v>
      </c>
    </row>
    <row r="91" spans="1:3" x14ac:dyDescent="0.35">
      <c r="A91">
        <v>103</v>
      </c>
      <c r="B91" t="s">
        <v>111</v>
      </c>
      <c r="C91" t="s">
        <v>1349</v>
      </c>
    </row>
    <row r="92" spans="1:3" x14ac:dyDescent="0.35">
      <c r="A92">
        <v>110</v>
      </c>
      <c r="B92" t="s">
        <v>141</v>
      </c>
      <c r="C92" t="s">
        <v>1350</v>
      </c>
    </row>
    <row r="93" spans="1:3" x14ac:dyDescent="0.35">
      <c r="A93">
        <v>111</v>
      </c>
      <c r="B93" t="s">
        <v>861</v>
      </c>
      <c r="C93" t="s">
        <v>1351</v>
      </c>
    </row>
    <row r="94" spans="1:3" x14ac:dyDescent="0.35">
      <c r="A94">
        <v>112</v>
      </c>
      <c r="B94" t="s">
        <v>862</v>
      </c>
      <c r="C94" t="s">
        <v>1352</v>
      </c>
    </row>
    <row r="95" spans="1:3" x14ac:dyDescent="0.35">
      <c r="A95">
        <v>114</v>
      </c>
      <c r="B95" t="s">
        <v>112</v>
      </c>
      <c r="C95" t="s">
        <v>1353</v>
      </c>
    </row>
    <row r="96" spans="1:3" x14ac:dyDescent="0.35">
      <c r="A96">
        <v>117</v>
      </c>
      <c r="B96" t="s">
        <v>113</v>
      </c>
      <c r="C96" t="s">
        <v>1354</v>
      </c>
    </row>
    <row r="97" spans="1:3" x14ac:dyDescent="0.35">
      <c r="A97">
        <v>118</v>
      </c>
      <c r="B97" t="s">
        <v>114</v>
      </c>
      <c r="C97" t="s">
        <v>1355</v>
      </c>
    </row>
    <row r="98" spans="1:3" x14ac:dyDescent="0.35">
      <c r="A98">
        <v>119</v>
      </c>
      <c r="B98" t="s">
        <v>115</v>
      </c>
      <c r="C98" t="s">
        <v>1356</v>
      </c>
    </row>
    <row r="99" spans="1:3" x14ac:dyDescent="0.35">
      <c r="A99">
        <v>122</v>
      </c>
      <c r="B99" t="s">
        <v>116</v>
      </c>
      <c r="C99" t="s">
        <v>1357</v>
      </c>
    </row>
    <row r="100" spans="1:3" x14ac:dyDescent="0.35">
      <c r="A100">
        <v>126</v>
      </c>
      <c r="B100" t="s">
        <v>117</v>
      </c>
      <c r="C100" t="s">
        <v>1358</v>
      </c>
    </row>
    <row r="101" spans="1:3" x14ac:dyDescent="0.35">
      <c r="A101">
        <v>127</v>
      </c>
      <c r="B101" t="s">
        <v>118</v>
      </c>
      <c r="C101" t="s">
        <v>1359</v>
      </c>
    </row>
    <row r="102" spans="1:3" x14ac:dyDescent="0.35">
      <c r="A102">
        <v>128</v>
      </c>
      <c r="B102" t="s">
        <v>119</v>
      </c>
      <c r="C102" t="s">
        <v>1360</v>
      </c>
    </row>
    <row r="103" spans="1:3" x14ac:dyDescent="0.35">
      <c r="A103">
        <v>129</v>
      </c>
      <c r="B103" t="s">
        <v>120</v>
      </c>
      <c r="C103" t="s">
        <v>1361</v>
      </c>
    </row>
    <row r="104" spans="1:3" x14ac:dyDescent="0.35">
      <c r="A104">
        <v>131</v>
      </c>
      <c r="B104" t="s">
        <v>121</v>
      </c>
      <c r="C104" t="s">
        <v>1362</v>
      </c>
    </row>
    <row r="105" spans="1:3" x14ac:dyDescent="0.35">
      <c r="A105">
        <v>132</v>
      </c>
      <c r="B105" t="s">
        <v>122</v>
      </c>
      <c r="C105" t="s">
        <v>1363</v>
      </c>
    </row>
    <row r="106" spans="1:3" x14ac:dyDescent="0.35">
      <c r="A106">
        <v>133</v>
      </c>
      <c r="B106" t="s">
        <v>123</v>
      </c>
      <c r="C106" t="s">
        <v>1364</v>
      </c>
    </row>
    <row r="107" spans="1:3" x14ac:dyDescent="0.35">
      <c r="A107">
        <v>134</v>
      </c>
      <c r="B107" t="s">
        <v>124</v>
      </c>
      <c r="C107" t="s">
        <v>1365</v>
      </c>
    </row>
    <row r="108" spans="1:3" x14ac:dyDescent="0.35">
      <c r="A108">
        <v>147</v>
      </c>
      <c r="B108" t="s">
        <v>1366</v>
      </c>
      <c r="C108" t="s">
        <v>1367</v>
      </c>
    </row>
    <row r="109" spans="1:3" x14ac:dyDescent="0.35">
      <c r="A109">
        <v>152</v>
      </c>
      <c r="B109" t="s">
        <v>125</v>
      </c>
      <c r="C109" t="s">
        <v>1368</v>
      </c>
    </row>
    <row r="110" spans="1:3" x14ac:dyDescent="0.35">
      <c r="A110">
        <v>154</v>
      </c>
      <c r="B110" t="s">
        <v>126</v>
      </c>
      <c r="C110" t="s">
        <v>1369</v>
      </c>
    </row>
    <row r="111" spans="1:3" x14ac:dyDescent="0.35">
      <c r="A111">
        <v>155</v>
      </c>
      <c r="B111" t="s">
        <v>127</v>
      </c>
      <c r="C111" t="s">
        <v>1370</v>
      </c>
    </row>
    <row r="112" spans="1:3" x14ac:dyDescent="0.35">
      <c r="A112">
        <v>156</v>
      </c>
      <c r="B112" t="s">
        <v>128</v>
      </c>
      <c r="C112" t="s">
        <v>1371</v>
      </c>
    </row>
    <row r="113" spans="1:3" x14ac:dyDescent="0.35">
      <c r="A113">
        <v>157</v>
      </c>
      <c r="B113" t="s">
        <v>129</v>
      </c>
      <c r="C113" t="s">
        <v>1372</v>
      </c>
    </row>
    <row r="114" spans="1:3" x14ac:dyDescent="0.35">
      <c r="A114">
        <v>158</v>
      </c>
      <c r="B114" t="s">
        <v>130</v>
      </c>
      <c r="C114" t="s">
        <v>1373</v>
      </c>
    </row>
    <row r="115" spans="1:3" x14ac:dyDescent="0.35">
      <c r="A115">
        <v>175</v>
      </c>
      <c r="B115" t="s">
        <v>131</v>
      </c>
      <c r="C115" t="s">
        <v>1374</v>
      </c>
    </row>
    <row r="116" spans="1:3" x14ac:dyDescent="0.35">
      <c r="A116">
        <v>176</v>
      </c>
      <c r="B116" t="s">
        <v>132</v>
      </c>
      <c r="C116" t="s">
        <v>1375</v>
      </c>
    </row>
    <row r="117" spans="1:3" x14ac:dyDescent="0.35">
      <c r="A117">
        <v>177</v>
      </c>
      <c r="B117" t="s">
        <v>133</v>
      </c>
      <c r="C117" t="s">
        <v>1376</v>
      </c>
    </row>
    <row r="118" spans="1:3" x14ac:dyDescent="0.35">
      <c r="A118">
        <v>178</v>
      </c>
      <c r="B118" t="s">
        <v>134</v>
      </c>
      <c r="C118" t="s">
        <v>1377</v>
      </c>
    </row>
    <row r="119" spans="1:3" x14ac:dyDescent="0.35">
      <c r="A119">
        <v>180</v>
      </c>
      <c r="B119" t="s">
        <v>135</v>
      </c>
      <c r="C119" t="s">
        <v>1378</v>
      </c>
    </row>
    <row r="120" spans="1:3" x14ac:dyDescent="0.35">
      <c r="A120">
        <v>181</v>
      </c>
      <c r="B120" t="s">
        <v>136</v>
      </c>
      <c r="C120" t="s">
        <v>1379</v>
      </c>
    </row>
    <row r="121" spans="1:3" x14ac:dyDescent="0.35">
      <c r="A121">
        <v>182</v>
      </c>
      <c r="B121" t="s">
        <v>137</v>
      </c>
      <c r="C121" t="s">
        <v>1380</v>
      </c>
    </row>
    <row r="122" spans="1:3" x14ac:dyDescent="0.35">
      <c r="A122">
        <v>183</v>
      </c>
      <c r="B122" t="s">
        <v>138</v>
      </c>
      <c r="C122" t="s">
        <v>1381</v>
      </c>
    </row>
    <row r="123" spans="1:3" x14ac:dyDescent="0.35">
      <c r="A123">
        <v>190</v>
      </c>
      <c r="B123" t="s">
        <v>139</v>
      </c>
      <c r="C123" t="s">
        <v>1382</v>
      </c>
    </row>
    <row r="124" spans="1:3" x14ac:dyDescent="0.35">
      <c r="A124">
        <v>194</v>
      </c>
      <c r="B124" t="s">
        <v>143</v>
      </c>
      <c r="C124" t="s">
        <v>1383</v>
      </c>
    </row>
    <row r="125" spans="1:3" x14ac:dyDescent="0.35">
      <c r="A125">
        <v>195</v>
      </c>
      <c r="B125" t="s">
        <v>144</v>
      </c>
      <c r="C125" t="s">
        <v>1384</v>
      </c>
    </row>
    <row r="126" spans="1:3" x14ac:dyDescent="0.35">
      <c r="A126">
        <v>196</v>
      </c>
      <c r="B126" t="s">
        <v>145</v>
      </c>
      <c r="C126" t="s">
        <v>1385</v>
      </c>
    </row>
    <row r="127" spans="1:3" x14ac:dyDescent="0.35">
      <c r="A127">
        <v>197</v>
      </c>
      <c r="B127" t="s">
        <v>146</v>
      </c>
      <c r="C127" t="s">
        <v>1386</v>
      </c>
    </row>
    <row r="128" spans="1:3" x14ac:dyDescent="0.35">
      <c r="A128">
        <v>198</v>
      </c>
      <c r="B128" t="s">
        <v>147</v>
      </c>
      <c r="C128" t="s">
        <v>1387</v>
      </c>
    </row>
    <row r="129" spans="1:3" x14ac:dyDescent="0.35">
      <c r="A129">
        <v>202</v>
      </c>
      <c r="B129" t="s">
        <v>148</v>
      </c>
      <c r="C129" t="s">
        <v>1388</v>
      </c>
    </row>
    <row r="130" spans="1:3" x14ac:dyDescent="0.35">
      <c r="A130">
        <v>203</v>
      </c>
      <c r="B130" t="s">
        <v>149</v>
      </c>
      <c r="C130" t="s">
        <v>1389</v>
      </c>
    </row>
    <row r="131" spans="1:3" x14ac:dyDescent="0.35">
      <c r="A131">
        <v>204</v>
      </c>
      <c r="B131" t="s">
        <v>150</v>
      </c>
      <c r="C131" t="s">
        <v>1390</v>
      </c>
    </row>
    <row r="132" spans="1:3" x14ac:dyDescent="0.35">
      <c r="A132">
        <v>205</v>
      </c>
      <c r="B132" t="s">
        <v>151</v>
      </c>
      <c r="C132" t="s">
        <v>1391</v>
      </c>
    </row>
    <row r="133" spans="1:3" x14ac:dyDescent="0.35">
      <c r="A133">
        <v>208</v>
      </c>
      <c r="B133" t="s">
        <v>152</v>
      </c>
      <c r="C133" t="s">
        <v>1392</v>
      </c>
    </row>
    <row r="134" spans="1:3" x14ac:dyDescent="0.35">
      <c r="A134">
        <v>209</v>
      </c>
      <c r="B134" t="s">
        <v>153</v>
      </c>
      <c r="C134" t="s">
        <v>1393</v>
      </c>
    </row>
    <row r="135" spans="1:3" x14ac:dyDescent="0.35">
      <c r="A135">
        <v>210</v>
      </c>
      <c r="B135" t="s">
        <v>154</v>
      </c>
      <c r="C135" t="s">
        <v>1394</v>
      </c>
    </row>
    <row r="136" spans="1:3" x14ac:dyDescent="0.35">
      <c r="A136">
        <v>215</v>
      </c>
      <c r="B136" t="s">
        <v>155</v>
      </c>
      <c r="C136" t="s">
        <v>1395</v>
      </c>
    </row>
    <row r="137" spans="1:3" x14ac:dyDescent="0.35">
      <c r="A137">
        <v>225</v>
      </c>
      <c r="B137" t="s">
        <v>1396</v>
      </c>
      <c r="C137" t="s">
        <v>1397</v>
      </c>
    </row>
    <row r="138" spans="1:3" x14ac:dyDescent="0.35">
      <c r="A138">
        <v>227</v>
      </c>
      <c r="B138" t="s">
        <v>156</v>
      </c>
      <c r="C138" t="s">
        <v>156</v>
      </c>
    </row>
    <row r="139" spans="1:3" x14ac:dyDescent="0.35">
      <c r="A139">
        <v>228</v>
      </c>
      <c r="B139" t="s">
        <v>157</v>
      </c>
      <c r="C139" t="s">
        <v>157</v>
      </c>
    </row>
    <row r="140" spans="1:3" x14ac:dyDescent="0.35">
      <c r="A140">
        <v>229</v>
      </c>
      <c r="B140" t="s">
        <v>158</v>
      </c>
      <c r="C140" t="s">
        <v>158</v>
      </c>
    </row>
    <row r="141" spans="1:3" x14ac:dyDescent="0.35">
      <c r="A141">
        <v>230</v>
      </c>
      <c r="B141" t="s">
        <v>159</v>
      </c>
      <c r="C141" t="s">
        <v>159</v>
      </c>
    </row>
    <row r="142" spans="1:3" x14ac:dyDescent="0.35">
      <c r="A142">
        <v>233</v>
      </c>
      <c r="B142" t="s">
        <v>160</v>
      </c>
      <c r="C142" t="s">
        <v>1398</v>
      </c>
    </row>
    <row r="143" spans="1:3" x14ac:dyDescent="0.35">
      <c r="A143">
        <v>239</v>
      </c>
      <c r="B143" t="s">
        <v>1399</v>
      </c>
      <c r="C143" t="s">
        <v>1400</v>
      </c>
    </row>
    <row r="144" spans="1:3" x14ac:dyDescent="0.35">
      <c r="A144">
        <v>240</v>
      </c>
      <c r="B144" t="s">
        <v>1401</v>
      </c>
      <c r="C144" t="s">
        <v>1402</v>
      </c>
    </row>
    <row r="145" spans="1:3" x14ac:dyDescent="0.35">
      <c r="A145">
        <v>241</v>
      </c>
      <c r="B145" t="s">
        <v>1403</v>
      </c>
      <c r="C145" t="s">
        <v>1404</v>
      </c>
    </row>
    <row r="146" spans="1:3" x14ac:dyDescent="0.35">
      <c r="A146">
        <v>242</v>
      </c>
      <c r="B146" t="s">
        <v>1405</v>
      </c>
      <c r="C146" t="s">
        <v>1406</v>
      </c>
    </row>
    <row r="147" spans="1:3" x14ac:dyDescent="0.35">
      <c r="A147">
        <v>243</v>
      </c>
      <c r="B147" t="s">
        <v>1407</v>
      </c>
      <c r="C147" t="s">
        <v>1408</v>
      </c>
    </row>
    <row r="148" spans="1:3" x14ac:dyDescent="0.35">
      <c r="A148">
        <v>244</v>
      </c>
      <c r="B148" t="s">
        <v>1409</v>
      </c>
      <c r="C148" t="s">
        <v>1410</v>
      </c>
    </row>
    <row r="149" spans="1:3" x14ac:dyDescent="0.35">
      <c r="A149">
        <v>245</v>
      </c>
      <c r="B149" t="s">
        <v>1411</v>
      </c>
      <c r="C149" t="s">
        <v>1412</v>
      </c>
    </row>
    <row r="150" spans="1:3" x14ac:dyDescent="0.35">
      <c r="A150">
        <v>246</v>
      </c>
      <c r="B150" t="s">
        <v>1413</v>
      </c>
      <c r="C150" t="s">
        <v>1414</v>
      </c>
    </row>
    <row r="151" spans="1:3" x14ac:dyDescent="0.35">
      <c r="A151">
        <v>247</v>
      </c>
      <c r="B151" t="s">
        <v>1415</v>
      </c>
      <c r="C151" t="s">
        <v>1416</v>
      </c>
    </row>
    <row r="152" spans="1:3" x14ac:dyDescent="0.35">
      <c r="A152">
        <v>248</v>
      </c>
      <c r="B152" t="s">
        <v>1417</v>
      </c>
      <c r="C152" t="s">
        <v>1418</v>
      </c>
    </row>
    <row r="153" spans="1:3" x14ac:dyDescent="0.35">
      <c r="A153">
        <v>249</v>
      </c>
      <c r="B153" t="s">
        <v>1419</v>
      </c>
      <c r="C153" t="s">
        <v>1420</v>
      </c>
    </row>
    <row r="154" spans="1:3" x14ac:dyDescent="0.35">
      <c r="A154">
        <v>250</v>
      </c>
      <c r="B154" t="s">
        <v>1421</v>
      </c>
      <c r="C154" t="s">
        <v>1422</v>
      </c>
    </row>
    <row r="155" spans="1:3" x14ac:dyDescent="0.35">
      <c r="A155">
        <v>251</v>
      </c>
      <c r="B155" t="s">
        <v>1423</v>
      </c>
      <c r="C155" t="s">
        <v>1424</v>
      </c>
    </row>
    <row r="156" spans="1:3" x14ac:dyDescent="0.35">
      <c r="A156">
        <v>252</v>
      </c>
      <c r="B156" t="s">
        <v>1425</v>
      </c>
      <c r="C156" t="s">
        <v>1426</v>
      </c>
    </row>
    <row r="157" spans="1:3" x14ac:dyDescent="0.35">
      <c r="A157">
        <v>253</v>
      </c>
      <c r="B157" t="s">
        <v>1427</v>
      </c>
      <c r="C157" t="s">
        <v>1428</v>
      </c>
    </row>
    <row r="158" spans="1:3" x14ac:dyDescent="0.35">
      <c r="A158">
        <v>254</v>
      </c>
      <c r="B158" t="s">
        <v>1429</v>
      </c>
      <c r="C158" t="s">
        <v>1430</v>
      </c>
    </row>
    <row r="159" spans="1:3" x14ac:dyDescent="0.35">
      <c r="A159">
        <v>255</v>
      </c>
      <c r="B159" t="s">
        <v>1431</v>
      </c>
      <c r="C159" t="s">
        <v>1432</v>
      </c>
    </row>
    <row r="160" spans="1:3" x14ac:dyDescent="0.35">
      <c r="A160">
        <v>256</v>
      </c>
      <c r="B160" t="s">
        <v>161</v>
      </c>
      <c r="C160" t="s">
        <v>1433</v>
      </c>
    </row>
    <row r="161" spans="1:3" x14ac:dyDescent="0.35">
      <c r="A161">
        <v>258</v>
      </c>
      <c r="B161" t="s">
        <v>162</v>
      </c>
      <c r="C161" t="s">
        <v>1434</v>
      </c>
    </row>
    <row r="162" spans="1:3" x14ac:dyDescent="0.35">
      <c r="A162">
        <v>260</v>
      </c>
      <c r="B162" t="s">
        <v>163</v>
      </c>
      <c r="C162" t="s">
        <v>1435</v>
      </c>
    </row>
    <row r="163" spans="1:3" x14ac:dyDescent="0.35">
      <c r="A163">
        <v>274</v>
      </c>
      <c r="B163" t="s">
        <v>164</v>
      </c>
      <c r="C163" t="s">
        <v>1436</v>
      </c>
    </row>
    <row r="164" spans="1:3" x14ac:dyDescent="0.35">
      <c r="A164">
        <v>275</v>
      </c>
      <c r="B164" t="s">
        <v>165</v>
      </c>
      <c r="C164" t="s">
        <v>1437</v>
      </c>
    </row>
    <row r="165" spans="1:3" x14ac:dyDescent="0.35">
      <c r="A165">
        <v>278</v>
      </c>
      <c r="B165" t="s">
        <v>166</v>
      </c>
      <c r="C165" t="s">
        <v>1438</v>
      </c>
    </row>
    <row r="166" spans="1:3" x14ac:dyDescent="0.35">
      <c r="A166">
        <v>281</v>
      </c>
      <c r="B166" t="s">
        <v>1439</v>
      </c>
      <c r="C166" t="s">
        <v>1440</v>
      </c>
    </row>
    <row r="167" spans="1:3" x14ac:dyDescent="0.35">
      <c r="A167">
        <v>282</v>
      </c>
      <c r="B167" t="s">
        <v>1441</v>
      </c>
      <c r="C167" t="s">
        <v>1442</v>
      </c>
    </row>
    <row r="168" spans="1:3" x14ac:dyDescent="0.35">
      <c r="A168">
        <v>287</v>
      </c>
      <c r="B168" t="s">
        <v>167</v>
      </c>
      <c r="C168" t="s">
        <v>1443</v>
      </c>
    </row>
    <row r="169" spans="1:3" x14ac:dyDescent="0.35">
      <c r="A169">
        <v>288</v>
      </c>
      <c r="B169" t="s">
        <v>168</v>
      </c>
      <c r="C169" t="s">
        <v>1444</v>
      </c>
    </row>
    <row r="170" spans="1:3" x14ac:dyDescent="0.35">
      <c r="A170">
        <v>289</v>
      </c>
      <c r="B170" t="s">
        <v>169</v>
      </c>
      <c r="C170" t="s">
        <v>1445</v>
      </c>
    </row>
    <row r="171" spans="1:3" x14ac:dyDescent="0.35">
      <c r="A171">
        <v>290</v>
      </c>
      <c r="B171" t="s">
        <v>170</v>
      </c>
      <c r="C171" t="s">
        <v>1446</v>
      </c>
    </row>
    <row r="172" spans="1:3" x14ac:dyDescent="0.35">
      <c r="A172">
        <v>291</v>
      </c>
      <c r="B172" t="s">
        <v>171</v>
      </c>
      <c r="C172" t="s">
        <v>1447</v>
      </c>
    </row>
    <row r="173" spans="1:3" x14ac:dyDescent="0.35">
      <c r="A173">
        <v>292</v>
      </c>
      <c r="B173" t="s">
        <v>172</v>
      </c>
      <c r="C173" t="s">
        <v>1448</v>
      </c>
    </row>
    <row r="174" spans="1:3" x14ac:dyDescent="0.35">
      <c r="A174">
        <v>293</v>
      </c>
      <c r="B174" t="s">
        <v>173</v>
      </c>
      <c r="C174" t="s">
        <v>1449</v>
      </c>
    </row>
    <row r="175" spans="1:3" x14ac:dyDescent="0.35">
      <c r="A175">
        <v>294</v>
      </c>
      <c r="B175" t="s">
        <v>174</v>
      </c>
      <c r="C175" t="s">
        <v>1450</v>
      </c>
    </row>
    <row r="176" spans="1:3" x14ac:dyDescent="0.35">
      <c r="A176">
        <v>295</v>
      </c>
      <c r="B176" t="s">
        <v>175</v>
      </c>
      <c r="C176" t="s">
        <v>1451</v>
      </c>
    </row>
    <row r="177" spans="1:3" x14ac:dyDescent="0.35">
      <c r="A177">
        <v>296</v>
      </c>
      <c r="B177" t="s">
        <v>176</v>
      </c>
      <c r="C177" t="s">
        <v>1452</v>
      </c>
    </row>
    <row r="178" spans="1:3" x14ac:dyDescent="0.35">
      <c r="A178">
        <v>297</v>
      </c>
      <c r="B178" t="s">
        <v>177</v>
      </c>
      <c r="C178" t="s">
        <v>1453</v>
      </c>
    </row>
    <row r="179" spans="1:3" x14ac:dyDescent="0.35">
      <c r="A179">
        <v>298</v>
      </c>
      <c r="B179" t="s">
        <v>178</v>
      </c>
      <c r="C179" t="s">
        <v>1454</v>
      </c>
    </row>
    <row r="180" spans="1:3" x14ac:dyDescent="0.35">
      <c r="A180">
        <v>299</v>
      </c>
      <c r="B180" t="s">
        <v>179</v>
      </c>
      <c r="C180" t="s">
        <v>1455</v>
      </c>
    </row>
    <row r="181" spans="1:3" x14ac:dyDescent="0.35">
      <c r="A181">
        <v>300</v>
      </c>
      <c r="B181" t="s">
        <v>180</v>
      </c>
      <c r="C181" t="s">
        <v>1456</v>
      </c>
    </row>
    <row r="182" spans="1:3" x14ac:dyDescent="0.35">
      <c r="A182">
        <v>302</v>
      </c>
      <c r="B182" t="s">
        <v>181</v>
      </c>
      <c r="C182" t="s">
        <v>1457</v>
      </c>
    </row>
    <row r="183" spans="1:3" x14ac:dyDescent="0.35">
      <c r="A183">
        <v>304</v>
      </c>
      <c r="B183" t="s">
        <v>182</v>
      </c>
      <c r="C183" t="s">
        <v>1458</v>
      </c>
    </row>
    <row r="184" spans="1:3" x14ac:dyDescent="0.35">
      <c r="A184">
        <v>306</v>
      </c>
      <c r="B184" t="s">
        <v>183</v>
      </c>
      <c r="C184" t="s">
        <v>1459</v>
      </c>
    </row>
    <row r="185" spans="1:3" x14ac:dyDescent="0.35">
      <c r="A185">
        <v>307</v>
      </c>
      <c r="B185" t="s">
        <v>184</v>
      </c>
      <c r="C185" t="s">
        <v>1460</v>
      </c>
    </row>
    <row r="186" spans="1:3" x14ac:dyDescent="0.35">
      <c r="A186">
        <v>308</v>
      </c>
      <c r="B186" t="s">
        <v>185</v>
      </c>
      <c r="C186" t="s">
        <v>1461</v>
      </c>
    </row>
    <row r="187" spans="1:3" x14ac:dyDescent="0.35">
      <c r="A187">
        <v>309</v>
      </c>
      <c r="B187" t="s">
        <v>186</v>
      </c>
      <c r="C187" t="s">
        <v>1462</v>
      </c>
    </row>
    <row r="188" spans="1:3" x14ac:dyDescent="0.35">
      <c r="A188">
        <v>317</v>
      </c>
      <c r="B188" t="s">
        <v>187</v>
      </c>
      <c r="C188" t="s">
        <v>1463</v>
      </c>
    </row>
    <row r="189" spans="1:3" x14ac:dyDescent="0.35">
      <c r="A189">
        <v>320</v>
      </c>
      <c r="B189" t="s">
        <v>188</v>
      </c>
      <c r="C189" t="s">
        <v>1464</v>
      </c>
    </row>
    <row r="190" spans="1:3" x14ac:dyDescent="0.35">
      <c r="A190">
        <v>321</v>
      </c>
      <c r="B190" t="s">
        <v>189</v>
      </c>
      <c r="C190" t="s">
        <v>1465</v>
      </c>
    </row>
    <row r="191" spans="1:3" x14ac:dyDescent="0.35">
      <c r="A191">
        <v>322</v>
      </c>
      <c r="B191" t="s">
        <v>190</v>
      </c>
      <c r="C191" t="s">
        <v>1466</v>
      </c>
    </row>
    <row r="192" spans="1:3" x14ac:dyDescent="0.35">
      <c r="A192">
        <v>323</v>
      </c>
      <c r="B192" t="s">
        <v>191</v>
      </c>
      <c r="C192" t="s">
        <v>1467</v>
      </c>
    </row>
    <row r="193" spans="1:3" x14ac:dyDescent="0.35">
      <c r="A193">
        <v>324</v>
      </c>
      <c r="B193" t="s">
        <v>192</v>
      </c>
      <c r="C193" t="s">
        <v>1468</v>
      </c>
    </row>
    <row r="194" spans="1:3" x14ac:dyDescent="0.35">
      <c r="A194">
        <v>325</v>
      </c>
      <c r="B194" t="s">
        <v>193</v>
      </c>
      <c r="C194" t="s">
        <v>1469</v>
      </c>
    </row>
    <row r="195" spans="1:3" x14ac:dyDescent="0.35">
      <c r="A195">
        <v>326</v>
      </c>
      <c r="B195" t="s">
        <v>194</v>
      </c>
      <c r="C195" t="s">
        <v>1470</v>
      </c>
    </row>
    <row r="196" spans="1:3" x14ac:dyDescent="0.35">
      <c r="A196">
        <v>327</v>
      </c>
      <c r="B196" t="s">
        <v>195</v>
      </c>
      <c r="C196" t="s">
        <v>1471</v>
      </c>
    </row>
    <row r="197" spans="1:3" x14ac:dyDescent="0.35">
      <c r="A197">
        <v>328</v>
      </c>
      <c r="B197" t="s">
        <v>196</v>
      </c>
      <c r="C197" t="s">
        <v>1472</v>
      </c>
    </row>
    <row r="198" spans="1:3" x14ac:dyDescent="0.35">
      <c r="A198">
        <v>329</v>
      </c>
      <c r="B198" t="s">
        <v>197</v>
      </c>
      <c r="C198" t="s">
        <v>1473</v>
      </c>
    </row>
    <row r="199" spans="1:3" x14ac:dyDescent="0.35">
      <c r="A199">
        <v>330</v>
      </c>
      <c r="B199" t="s">
        <v>198</v>
      </c>
      <c r="C199" t="s">
        <v>1474</v>
      </c>
    </row>
    <row r="200" spans="1:3" x14ac:dyDescent="0.35">
      <c r="A200">
        <v>331</v>
      </c>
      <c r="B200" t="s">
        <v>199</v>
      </c>
      <c r="C200" t="s">
        <v>1475</v>
      </c>
    </row>
    <row r="201" spans="1:3" x14ac:dyDescent="0.35">
      <c r="A201">
        <v>332</v>
      </c>
      <c r="B201" t="s">
        <v>200</v>
      </c>
      <c r="C201" t="s">
        <v>1476</v>
      </c>
    </row>
    <row r="202" spans="1:3" x14ac:dyDescent="0.35">
      <c r="A202">
        <v>333</v>
      </c>
      <c r="B202" t="s">
        <v>201</v>
      </c>
      <c r="C202" t="s">
        <v>1477</v>
      </c>
    </row>
    <row r="203" spans="1:3" x14ac:dyDescent="0.35">
      <c r="A203">
        <v>334</v>
      </c>
      <c r="B203" t="s">
        <v>202</v>
      </c>
      <c r="C203" t="s">
        <v>1478</v>
      </c>
    </row>
    <row r="204" spans="1:3" x14ac:dyDescent="0.35">
      <c r="A204">
        <v>335</v>
      </c>
      <c r="B204" t="s">
        <v>203</v>
      </c>
      <c r="C204" t="s">
        <v>1479</v>
      </c>
    </row>
    <row r="205" spans="1:3" x14ac:dyDescent="0.35">
      <c r="A205">
        <v>336</v>
      </c>
      <c r="B205" t="s">
        <v>204</v>
      </c>
      <c r="C205" t="s">
        <v>1480</v>
      </c>
    </row>
    <row r="206" spans="1:3" x14ac:dyDescent="0.35">
      <c r="A206">
        <v>337</v>
      </c>
      <c r="B206" t="s">
        <v>205</v>
      </c>
      <c r="C206" t="s">
        <v>1481</v>
      </c>
    </row>
    <row r="207" spans="1:3" x14ac:dyDescent="0.35">
      <c r="A207">
        <v>342</v>
      </c>
      <c r="B207" t="s">
        <v>206</v>
      </c>
      <c r="C207" t="s">
        <v>1482</v>
      </c>
    </row>
    <row r="208" spans="1:3" x14ac:dyDescent="0.35">
      <c r="A208">
        <v>370</v>
      </c>
      <c r="B208" t="s">
        <v>207</v>
      </c>
      <c r="C208" t="s">
        <v>1483</v>
      </c>
    </row>
    <row r="209" spans="1:3" x14ac:dyDescent="0.35">
      <c r="A209">
        <v>373</v>
      </c>
      <c r="B209" t="s">
        <v>208</v>
      </c>
      <c r="C209" t="s">
        <v>1484</v>
      </c>
    </row>
    <row r="210" spans="1:3" x14ac:dyDescent="0.35">
      <c r="A210">
        <v>374</v>
      </c>
      <c r="B210" t="s">
        <v>209</v>
      </c>
      <c r="C210" t="s">
        <v>1485</v>
      </c>
    </row>
    <row r="211" spans="1:3" x14ac:dyDescent="0.35">
      <c r="A211">
        <v>375</v>
      </c>
      <c r="B211" t="s">
        <v>210</v>
      </c>
      <c r="C211" t="s">
        <v>1486</v>
      </c>
    </row>
    <row r="212" spans="1:3" x14ac:dyDescent="0.35">
      <c r="A212">
        <v>382</v>
      </c>
      <c r="B212" t="s">
        <v>211</v>
      </c>
      <c r="C212" t="s">
        <v>1487</v>
      </c>
    </row>
    <row r="213" spans="1:3" x14ac:dyDescent="0.35">
      <c r="A213">
        <v>383</v>
      </c>
      <c r="B213" t="s">
        <v>212</v>
      </c>
      <c r="C213" t="s">
        <v>1488</v>
      </c>
    </row>
    <row r="214" spans="1:3" x14ac:dyDescent="0.35">
      <c r="A214">
        <v>384</v>
      </c>
      <c r="B214" t="s">
        <v>213</v>
      </c>
      <c r="C214" t="s">
        <v>1489</v>
      </c>
    </row>
    <row r="215" spans="1:3" x14ac:dyDescent="0.35">
      <c r="A215">
        <v>387</v>
      </c>
      <c r="B215" t="s">
        <v>214</v>
      </c>
      <c r="C215" t="s">
        <v>1490</v>
      </c>
    </row>
    <row r="216" spans="1:3" x14ac:dyDescent="0.35">
      <c r="A216">
        <v>388</v>
      </c>
      <c r="B216" t="s">
        <v>215</v>
      </c>
      <c r="C216" t="s">
        <v>1491</v>
      </c>
    </row>
    <row r="217" spans="1:3" x14ac:dyDescent="0.35">
      <c r="A217">
        <v>389</v>
      </c>
      <c r="B217" t="s">
        <v>216</v>
      </c>
      <c r="C217" t="s">
        <v>1492</v>
      </c>
    </row>
    <row r="218" spans="1:3" x14ac:dyDescent="0.35">
      <c r="A218">
        <v>390</v>
      </c>
      <c r="B218" t="s">
        <v>217</v>
      </c>
      <c r="C218" t="s">
        <v>1493</v>
      </c>
    </row>
    <row r="219" spans="1:3" x14ac:dyDescent="0.35">
      <c r="A219">
        <v>391</v>
      </c>
      <c r="B219" t="s">
        <v>218</v>
      </c>
      <c r="C219" t="s">
        <v>1494</v>
      </c>
    </row>
    <row r="220" spans="1:3" x14ac:dyDescent="0.35">
      <c r="A220">
        <v>392</v>
      </c>
      <c r="B220" t="s">
        <v>219</v>
      </c>
      <c r="C220" t="s">
        <v>1495</v>
      </c>
    </row>
    <row r="221" spans="1:3" x14ac:dyDescent="0.35">
      <c r="A221">
        <v>393</v>
      </c>
      <c r="B221" t="s">
        <v>220</v>
      </c>
      <c r="C221" t="s">
        <v>1496</v>
      </c>
    </row>
    <row r="222" spans="1:3" x14ac:dyDescent="0.35">
      <c r="A222">
        <v>394</v>
      </c>
      <c r="B222" t="s">
        <v>221</v>
      </c>
      <c r="C222" t="s">
        <v>1497</v>
      </c>
    </row>
    <row r="223" spans="1:3" x14ac:dyDescent="0.35">
      <c r="A223">
        <v>395</v>
      </c>
      <c r="B223" t="s">
        <v>222</v>
      </c>
      <c r="C223" t="s">
        <v>1498</v>
      </c>
    </row>
    <row r="224" spans="1:3" x14ac:dyDescent="0.35">
      <c r="A224">
        <v>396</v>
      </c>
      <c r="B224" t="s">
        <v>223</v>
      </c>
      <c r="C224" t="s">
        <v>1499</v>
      </c>
    </row>
    <row r="225" spans="1:3" x14ac:dyDescent="0.35">
      <c r="A225">
        <v>397</v>
      </c>
      <c r="B225" t="s">
        <v>224</v>
      </c>
      <c r="C225" t="s">
        <v>1500</v>
      </c>
    </row>
    <row r="226" spans="1:3" x14ac:dyDescent="0.35">
      <c r="A226">
        <v>398</v>
      </c>
      <c r="B226" t="s">
        <v>225</v>
      </c>
      <c r="C226" t="s">
        <v>1501</v>
      </c>
    </row>
    <row r="227" spans="1:3" x14ac:dyDescent="0.35">
      <c r="A227">
        <v>399</v>
      </c>
      <c r="B227" t="s">
        <v>226</v>
      </c>
      <c r="C227" t="s">
        <v>1502</v>
      </c>
    </row>
    <row r="228" spans="1:3" x14ac:dyDescent="0.35">
      <c r="A228">
        <v>400</v>
      </c>
      <c r="B228" t="s">
        <v>227</v>
      </c>
      <c r="C228" t="s">
        <v>1503</v>
      </c>
    </row>
    <row r="229" spans="1:3" x14ac:dyDescent="0.35">
      <c r="A229">
        <v>401</v>
      </c>
      <c r="B229" t="s">
        <v>228</v>
      </c>
      <c r="C229" t="s">
        <v>1504</v>
      </c>
    </row>
    <row r="230" spans="1:3" x14ac:dyDescent="0.35">
      <c r="A230">
        <v>402</v>
      </c>
      <c r="B230" t="s">
        <v>229</v>
      </c>
      <c r="C230" t="s">
        <v>1505</v>
      </c>
    </row>
    <row r="231" spans="1:3" x14ac:dyDescent="0.35">
      <c r="A231">
        <v>403</v>
      </c>
      <c r="B231" t="s">
        <v>230</v>
      </c>
      <c r="C231" t="s">
        <v>1506</v>
      </c>
    </row>
    <row r="232" spans="1:3" x14ac:dyDescent="0.35">
      <c r="A232">
        <v>404</v>
      </c>
      <c r="B232" t="s">
        <v>231</v>
      </c>
      <c r="C232" t="s">
        <v>1507</v>
      </c>
    </row>
    <row r="233" spans="1:3" x14ac:dyDescent="0.35">
      <c r="A233">
        <v>405</v>
      </c>
      <c r="B233" t="s">
        <v>232</v>
      </c>
      <c r="C233" t="s">
        <v>1508</v>
      </c>
    </row>
    <row r="234" spans="1:3" x14ac:dyDescent="0.35">
      <c r="A234">
        <v>407</v>
      </c>
      <c r="B234" t="s">
        <v>233</v>
      </c>
      <c r="C234" t="s">
        <v>1509</v>
      </c>
    </row>
    <row r="235" spans="1:3" x14ac:dyDescent="0.35">
      <c r="A235">
        <v>408</v>
      </c>
      <c r="B235" t="s">
        <v>234</v>
      </c>
      <c r="C235" t="s">
        <v>1510</v>
      </c>
    </row>
    <row r="236" spans="1:3" x14ac:dyDescent="0.35">
      <c r="A236">
        <v>409</v>
      </c>
      <c r="B236" t="s">
        <v>235</v>
      </c>
      <c r="C236" t="s">
        <v>1511</v>
      </c>
    </row>
    <row r="237" spans="1:3" x14ac:dyDescent="0.35">
      <c r="A237">
        <v>410</v>
      </c>
      <c r="B237" t="s">
        <v>236</v>
      </c>
      <c r="C237" t="s">
        <v>1512</v>
      </c>
    </row>
    <row r="238" spans="1:3" x14ac:dyDescent="0.35">
      <c r="A238">
        <v>411</v>
      </c>
      <c r="B238" t="s">
        <v>237</v>
      </c>
      <c r="C238" t="s">
        <v>1513</v>
      </c>
    </row>
    <row r="239" spans="1:3" x14ac:dyDescent="0.35">
      <c r="A239">
        <v>412</v>
      </c>
      <c r="B239" t="s">
        <v>238</v>
      </c>
      <c r="C239" t="s">
        <v>1514</v>
      </c>
    </row>
    <row r="240" spans="1:3" x14ac:dyDescent="0.35">
      <c r="A240">
        <v>413</v>
      </c>
      <c r="B240" t="s">
        <v>239</v>
      </c>
      <c r="C240" t="s">
        <v>1515</v>
      </c>
    </row>
    <row r="241" spans="1:3" x14ac:dyDescent="0.35">
      <c r="A241">
        <v>414</v>
      </c>
      <c r="B241" t="s">
        <v>240</v>
      </c>
      <c r="C241" t="s">
        <v>1516</v>
      </c>
    </row>
    <row r="242" spans="1:3" x14ac:dyDescent="0.35">
      <c r="A242">
        <v>415</v>
      </c>
      <c r="B242" t="s">
        <v>241</v>
      </c>
      <c r="C242" t="s">
        <v>1517</v>
      </c>
    </row>
    <row r="243" spans="1:3" x14ac:dyDescent="0.35">
      <c r="A243">
        <v>416</v>
      </c>
      <c r="B243" t="s">
        <v>242</v>
      </c>
      <c r="C243" t="s">
        <v>1518</v>
      </c>
    </row>
    <row r="244" spans="1:3" x14ac:dyDescent="0.35">
      <c r="A244">
        <v>417</v>
      </c>
      <c r="B244" t="s">
        <v>243</v>
      </c>
      <c r="C244" t="s">
        <v>1519</v>
      </c>
    </row>
    <row r="245" spans="1:3" x14ac:dyDescent="0.35">
      <c r="A245">
        <v>418</v>
      </c>
      <c r="B245" t="s">
        <v>244</v>
      </c>
      <c r="C245" t="s">
        <v>1520</v>
      </c>
    </row>
    <row r="246" spans="1:3" x14ac:dyDescent="0.35">
      <c r="A246">
        <v>422</v>
      </c>
      <c r="B246" t="s">
        <v>245</v>
      </c>
      <c r="C246" t="s">
        <v>1521</v>
      </c>
    </row>
    <row r="247" spans="1:3" x14ac:dyDescent="0.35">
      <c r="A247">
        <v>423</v>
      </c>
      <c r="B247" t="s">
        <v>246</v>
      </c>
      <c r="C247" t="s">
        <v>1522</v>
      </c>
    </row>
    <row r="248" spans="1:3" x14ac:dyDescent="0.35">
      <c r="A248">
        <v>429</v>
      </c>
      <c r="B248" t="s">
        <v>247</v>
      </c>
      <c r="C248" t="s">
        <v>1523</v>
      </c>
    </row>
    <row r="249" spans="1:3" x14ac:dyDescent="0.35">
      <c r="A249">
        <v>430</v>
      </c>
      <c r="B249" t="s">
        <v>1524</v>
      </c>
      <c r="C249" t="s">
        <v>1525</v>
      </c>
    </row>
    <row r="250" spans="1:3" x14ac:dyDescent="0.35">
      <c r="A250">
        <v>431</v>
      </c>
      <c r="B250" t="s">
        <v>1526</v>
      </c>
      <c r="C250" t="s">
        <v>1527</v>
      </c>
    </row>
    <row r="251" spans="1:3" x14ac:dyDescent="0.35">
      <c r="A251">
        <v>432</v>
      </c>
      <c r="B251" t="s">
        <v>1528</v>
      </c>
      <c r="C251" t="s">
        <v>1529</v>
      </c>
    </row>
    <row r="252" spans="1:3" x14ac:dyDescent="0.35">
      <c r="A252">
        <v>433</v>
      </c>
      <c r="B252" t="s">
        <v>1530</v>
      </c>
      <c r="C252" t="s">
        <v>1531</v>
      </c>
    </row>
    <row r="253" spans="1:3" x14ac:dyDescent="0.35">
      <c r="A253">
        <v>434</v>
      </c>
      <c r="B253" t="s">
        <v>1532</v>
      </c>
      <c r="C253" t="s">
        <v>1533</v>
      </c>
    </row>
    <row r="254" spans="1:3" x14ac:dyDescent="0.35">
      <c r="A254">
        <v>435</v>
      </c>
      <c r="B254" t="s">
        <v>1534</v>
      </c>
      <c r="C254" t="s">
        <v>1535</v>
      </c>
    </row>
    <row r="255" spans="1:3" x14ac:dyDescent="0.35">
      <c r="A255">
        <v>436</v>
      </c>
      <c r="B255" t="s">
        <v>1536</v>
      </c>
      <c r="C255" t="s">
        <v>1537</v>
      </c>
    </row>
    <row r="256" spans="1:3" x14ac:dyDescent="0.35">
      <c r="A256">
        <v>445</v>
      </c>
      <c r="B256" t="s">
        <v>1538</v>
      </c>
      <c r="C256" t="s">
        <v>1539</v>
      </c>
    </row>
    <row r="257" spans="1:3" x14ac:dyDescent="0.35">
      <c r="A257">
        <v>446</v>
      </c>
      <c r="B257" t="s">
        <v>1540</v>
      </c>
      <c r="C257" t="s">
        <v>1541</v>
      </c>
    </row>
    <row r="258" spans="1:3" x14ac:dyDescent="0.35">
      <c r="A258">
        <v>447</v>
      </c>
      <c r="B258" t="s">
        <v>248</v>
      </c>
      <c r="C258" t="s">
        <v>1542</v>
      </c>
    </row>
    <row r="259" spans="1:3" x14ac:dyDescent="0.35">
      <c r="A259">
        <v>452</v>
      </c>
      <c r="B259" t="s">
        <v>249</v>
      </c>
      <c r="C259" t="s">
        <v>1543</v>
      </c>
    </row>
    <row r="260" spans="1:3" x14ac:dyDescent="0.35">
      <c r="A260">
        <v>453</v>
      </c>
      <c r="B260" t="s">
        <v>250</v>
      </c>
      <c r="C260" t="s">
        <v>1544</v>
      </c>
    </row>
    <row r="261" spans="1:3" x14ac:dyDescent="0.35">
      <c r="A261">
        <v>454</v>
      </c>
      <c r="B261" t="s">
        <v>251</v>
      </c>
      <c r="C261" t="s">
        <v>1545</v>
      </c>
    </row>
    <row r="262" spans="1:3" x14ac:dyDescent="0.35">
      <c r="A262">
        <v>455</v>
      </c>
      <c r="B262" t="s">
        <v>252</v>
      </c>
      <c r="C262" t="s">
        <v>1546</v>
      </c>
    </row>
    <row r="263" spans="1:3" x14ac:dyDescent="0.35">
      <c r="A263">
        <v>472</v>
      </c>
      <c r="B263" t="s">
        <v>253</v>
      </c>
      <c r="C263" t="s">
        <v>1547</v>
      </c>
    </row>
    <row r="264" spans="1:3" x14ac:dyDescent="0.35">
      <c r="A264">
        <v>509</v>
      </c>
      <c r="B264" t="s">
        <v>290</v>
      </c>
      <c r="C264" t="s">
        <v>1548</v>
      </c>
    </row>
    <row r="265" spans="1:3" x14ac:dyDescent="0.35">
      <c r="A265">
        <v>513</v>
      </c>
      <c r="B265" t="s">
        <v>291</v>
      </c>
      <c r="C265" t="s">
        <v>1549</v>
      </c>
    </row>
    <row r="266" spans="1:3" x14ac:dyDescent="0.35">
      <c r="A266">
        <v>516</v>
      </c>
      <c r="B266" t="s">
        <v>292</v>
      </c>
      <c r="C266" t="s">
        <v>1550</v>
      </c>
    </row>
    <row r="267" spans="1:3" x14ac:dyDescent="0.35">
      <c r="A267">
        <v>517</v>
      </c>
      <c r="B267" t="s">
        <v>293</v>
      </c>
      <c r="C267" t="s">
        <v>1551</v>
      </c>
    </row>
    <row r="268" spans="1:3" x14ac:dyDescent="0.35">
      <c r="A268">
        <v>538</v>
      </c>
      <c r="B268" t="s">
        <v>294</v>
      </c>
      <c r="C268" t="s">
        <v>1552</v>
      </c>
    </row>
    <row r="269" spans="1:3" x14ac:dyDescent="0.35">
      <c r="A269">
        <v>550</v>
      </c>
      <c r="B269" t="s">
        <v>254</v>
      </c>
      <c r="C269" t="s">
        <v>1553</v>
      </c>
    </row>
    <row r="270" spans="1:3" x14ac:dyDescent="0.35">
      <c r="A270">
        <v>551</v>
      </c>
      <c r="B270" t="s">
        <v>255</v>
      </c>
      <c r="C270" t="s">
        <v>1554</v>
      </c>
    </row>
    <row r="271" spans="1:3" x14ac:dyDescent="0.35">
      <c r="A271">
        <v>552</v>
      </c>
      <c r="B271" t="s">
        <v>256</v>
      </c>
      <c r="C271" t="s">
        <v>1555</v>
      </c>
    </row>
    <row r="272" spans="1:3" x14ac:dyDescent="0.35">
      <c r="A272">
        <v>553</v>
      </c>
      <c r="B272" t="s">
        <v>257</v>
      </c>
      <c r="C272" t="s">
        <v>1556</v>
      </c>
    </row>
    <row r="273" spans="1:3" x14ac:dyDescent="0.35">
      <c r="A273">
        <v>554</v>
      </c>
      <c r="B273" t="s">
        <v>258</v>
      </c>
      <c r="C273" t="s">
        <v>1557</v>
      </c>
    </row>
    <row r="274" spans="1:3" x14ac:dyDescent="0.35">
      <c r="A274">
        <v>555</v>
      </c>
      <c r="B274" t="s">
        <v>259</v>
      </c>
      <c r="C274" t="s">
        <v>1558</v>
      </c>
    </row>
    <row r="275" spans="1:3" x14ac:dyDescent="0.35">
      <c r="A275">
        <v>556</v>
      </c>
      <c r="B275" t="s">
        <v>260</v>
      </c>
      <c r="C275" t="s">
        <v>1559</v>
      </c>
    </row>
    <row r="276" spans="1:3" x14ac:dyDescent="0.35">
      <c r="A276">
        <v>557</v>
      </c>
      <c r="B276" t="s">
        <v>261</v>
      </c>
      <c r="C276" t="s">
        <v>1560</v>
      </c>
    </row>
    <row r="277" spans="1:3" x14ac:dyDescent="0.35">
      <c r="A277">
        <v>558</v>
      </c>
      <c r="B277" t="s">
        <v>262</v>
      </c>
      <c r="C277" t="s">
        <v>1561</v>
      </c>
    </row>
    <row r="278" spans="1:3" x14ac:dyDescent="0.35">
      <c r="A278">
        <v>559</v>
      </c>
      <c r="B278" t="s">
        <v>263</v>
      </c>
      <c r="C278" t="s">
        <v>1562</v>
      </c>
    </row>
    <row r="279" spans="1:3" x14ac:dyDescent="0.35">
      <c r="A279">
        <v>560</v>
      </c>
      <c r="B279" t="s">
        <v>264</v>
      </c>
      <c r="C279" t="s">
        <v>1563</v>
      </c>
    </row>
    <row r="280" spans="1:3" x14ac:dyDescent="0.35">
      <c r="A280">
        <v>561</v>
      </c>
      <c r="B280" t="s">
        <v>265</v>
      </c>
      <c r="C280" t="s">
        <v>1564</v>
      </c>
    </row>
    <row r="281" spans="1:3" x14ac:dyDescent="0.35">
      <c r="A281">
        <v>562</v>
      </c>
      <c r="B281" t="s">
        <v>266</v>
      </c>
      <c r="C281" t="s">
        <v>1565</v>
      </c>
    </row>
    <row r="282" spans="1:3" x14ac:dyDescent="0.35">
      <c r="A282">
        <v>563</v>
      </c>
      <c r="B282" t="s">
        <v>267</v>
      </c>
      <c r="C282" t="s">
        <v>1566</v>
      </c>
    </row>
    <row r="283" spans="1:3" x14ac:dyDescent="0.35">
      <c r="A283">
        <v>564</v>
      </c>
      <c r="B283" t="s">
        <v>268</v>
      </c>
      <c r="C283" t="s">
        <v>1567</v>
      </c>
    </row>
    <row r="284" spans="1:3" x14ac:dyDescent="0.35">
      <c r="A284">
        <v>565</v>
      </c>
      <c r="B284" t="s">
        <v>269</v>
      </c>
      <c r="C284" t="s">
        <v>1568</v>
      </c>
    </row>
    <row r="285" spans="1:3" x14ac:dyDescent="0.35">
      <c r="A285">
        <v>794</v>
      </c>
      <c r="B285" t="s">
        <v>270</v>
      </c>
      <c r="C285" t="s">
        <v>270</v>
      </c>
    </row>
    <row r="286" spans="1:3" x14ac:dyDescent="0.35">
      <c r="A286">
        <v>810</v>
      </c>
      <c r="B286" t="s">
        <v>271</v>
      </c>
      <c r="C286" t="s">
        <v>1569</v>
      </c>
    </row>
    <row r="287" spans="1:3" x14ac:dyDescent="0.35">
      <c r="A287">
        <v>811</v>
      </c>
      <c r="B287" t="s">
        <v>272</v>
      </c>
      <c r="C287" t="s">
        <v>1570</v>
      </c>
    </row>
    <row r="288" spans="1:3" x14ac:dyDescent="0.35">
      <c r="A288">
        <v>915</v>
      </c>
      <c r="B288" t="s">
        <v>863</v>
      </c>
      <c r="C288" t="s">
        <v>1571</v>
      </c>
    </row>
    <row r="289" spans="1:3" x14ac:dyDescent="0.35">
      <c r="A289">
        <v>916</v>
      </c>
      <c r="B289" t="s">
        <v>864</v>
      </c>
      <c r="C289" t="s">
        <v>1572</v>
      </c>
    </row>
    <row r="290" spans="1:3" x14ac:dyDescent="0.35">
      <c r="A290">
        <v>917</v>
      </c>
      <c r="B290" t="s">
        <v>865</v>
      </c>
      <c r="C290" t="s">
        <v>1573</v>
      </c>
    </row>
    <row r="291" spans="1:3" x14ac:dyDescent="0.35">
      <c r="A291">
        <v>918</v>
      </c>
      <c r="B291" t="s">
        <v>866</v>
      </c>
      <c r="C291" t="s">
        <v>1574</v>
      </c>
    </row>
    <row r="292" spans="1:3" x14ac:dyDescent="0.35">
      <c r="A292">
        <v>919</v>
      </c>
      <c r="B292" t="s">
        <v>867</v>
      </c>
      <c r="C292" t="s">
        <v>1575</v>
      </c>
    </row>
    <row r="293" spans="1:3" x14ac:dyDescent="0.35">
      <c r="A293">
        <v>920</v>
      </c>
      <c r="B293" t="s">
        <v>868</v>
      </c>
      <c r="C293" t="s">
        <v>1576</v>
      </c>
    </row>
    <row r="294" spans="1:3" x14ac:dyDescent="0.35">
      <c r="A294">
        <v>921</v>
      </c>
      <c r="B294" t="s">
        <v>869</v>
      </c>
      <c r="C294" t="s">
        <v>1577</v>
      </c>
    </row>
    <row r="295" spans="1:3" x14ac:dyDescent="0.35">
      <c r="A295">
        <v>922</v>
      </c>
      <c r="B295" t="s">
        <v>870</v>
      </c>
      <c r="C295" t="s">
        <v>1578</v>
      </c>
    </row>
    <row r="296" spans="1:3" x14ac:dyDescent="0.35">
      <c r="A296">
        <v>923</v>
      </c>
      <c r="B296" t="s">
        <v>871</v>
      </c>
      <c r="C296" t="s">
        <v>1579</v>
      </c>
    </row>
    <row r="297" spans="1:3" x14ac:dyDescent="0.35">
      <c r="A297">
        <v>927</v>
      </c>
      <c r="B297" t="s">
        <v>295</v>
      </c>
      <c r="C297" t="s">
        <v>1580</v>
      </c>
    </row>
    <row r="298" spans="1:3" x14ac:dyDescent="0.35">
      <c r="A298">
        <v>928</v>
      </c>
      <c r="B298" t="s">
        <v>296</v>
      </c>
      <c r="C298" t="s">
        <v>1581</v>
      </c>
    </row>
    <row r="299" spans="1:3" x14ac:dyDescent="0.35">
      <c r="A299">
        <v>929</v>
      </c>
      <c r="B299" t="s">
        <v>297</v>
      </c>
      <c r="C299" t="s">
        <v>1582</v>
      </c>
    </row>
    <row r="300" spans="1:3" x14ac:dyDescent="0.35">
      <c r="A300">
        <v>930</v>
      </c>
      <c r="B300" t="s">
        <v>298</v>
      </c>
      <c r="C300" t="s">
        <v>1583</v>
      </c>
    </row>
    <row r="301" spans="1:3" x14ac:dyDescent="0.35">
      <c r="A301">
        <v>931</v>
      </c>
      <c r="B301" t="s">
        <v>299</v>
      </c>
      <c r="C301" t="s">
        <v>1584</v>
      </c>
    </row>
    <row r="302" spans="1:3" x14ac:dyDescent="0.35">
      <c r="A302">
        <v>932</v>
      </c>
      <c r="B302" t="s">
        <v>300</v>
      </c>
      <c r="C302" t="s">
        <v>1585</v>
      </c>
    </row>
    <row r="303" spans="1:3" x14ac:dyDescent="0.35">
      <c r="A303">
        <v>933</v>
      </c>
      <c r="B303" t="s">
        <v>872</v>
      </c>
      <c r="C303" t="s">
        <v>1586</v>
      </c>
    </row>
    <row r="304" spans="1:3" x14ac:dyDescent="0.35">
      <c r="A304">
        <v>934</v>
      </c>
      <c r="B304" t="s">
        <v>873</v>
      </c>
      <c r="C304" t="s">
        <v>1587</v>
      </c>
    </row>
    <row r="305" spans="1:3" x14ac:dyDescent="0.35">
      <c r="A305">
        <v>935</v>
      </c>
      <c r="B305" t="s">
        <v>874</v>
      </c>
      <c r="C305" t="s">
        <v>1588</v>
      </c>
    </row>
    <row r="306" spans="1:3" x14ac:dyDescent="0.35">
      <c r="A306">
        <v>939</v>
      </c>
      <c r="B306" t="s">
        <v>875</v>
      </c>
      <c r="C306" t="s">
        <v>1589</v>
      </c>
    </row>
    <row r="307" spans="1:3" x14ac:dyDescent="0.35">
      <c r="A307">
        <v>940</v>
      </c>
      <c r="B307" t="s">
        <v>876</v>
      </c>
      <c r="C307" t="s">
        <v>1590</v>
      </c>
    </row>
    <row r="308" spans="1:3" x14ac:dyDescent="0.35">
      <c r="A308">
        <v>941</v>
      </c>
      <c r="B308" t="s">
        <v>877</v>
      </c>
      <c r="C308" t="s">
        <v>1591</v>
      </c>
    </row>
    <row r="309" spans="1:3" x14ac:dyDescent="0.35">
      <c r="A309">
        <v>942</v>
      </c>
      <c r="B309" t="s">
        <v>878</v>
      </c>
      <c r="C309" t="s">
        <v>1592</v>
      </c>
    </row>
    <row r="310" spans="1:3" x14ac:dyDescent="0.35">
      <c r="A310">
        <v>943</v>
      </c>
      <c r="B310" t="s">
        <v>879</v>
      </c>
      <c r="C310" t="s">
        <v>1593</v>
      </c>
    </row>
    <row r="311" spans="1:3" x14ac:dyDescent="0.35">
      <c r="A311">
        <v>944</v>
      </c>
      <c r="B311" t="s">
        <v>880</v>
      </c>
      <c r="C311" t="s">
        <v>1594</v>
      </c>
    </row>
    <row r="312" spans="1:3" x14ac:dyDescent="0.35">
      <c r="A312">
        <v>948</v>
      </c>
      <c r="B312" t="s">
        <v>881</v>
      </c>
      <c r="C312" t="s">
        <v>1595</v>
      </c>
    </row>
    <row r="313" spans="1:3" x14ac:dyDescent="0.35">
      <c r="A313">
        <v>949</v>
      </c>
      <c r="B313" t="s">
        <v>882</v>
      </c>
      <c r="C313" t="s">
        <v>1596</v>
      </c>
    </row>
    <row r="314" spans="1:3" x14ac:dyDescent="0.35">
      <c r="A314">
        <v>950</v>
      </c>
      <c r="B314" t="s">
        <v>883</v>
      </c>
      <c r="C314" t="s">
        <v>1597</v>
      </c>
    </row>
    <row r="315" spans="1:3" x14ac:dyDescent="0.35">
      <c r="A315">
        <v>951</v>
      </c>
      <c r="B315" t="s">
        <v>884</v>
      </c>
      <c r="C315" t="s">
        <v>1598</v>
      </c>
    </row>
    <row r="316" spans="1:3" x14ac:dyDescent="0.35">
      <c r="A316">
        <v>952</v>
      </c>
      <c r="B316" t="s">
        <v>885</v>
      </c>
      <c r="C316" t="s">
        <v>1599</v>
      </c>
    </row>
    <row r="317" spans="1:3" x14ac:dyDescent="0.35">
      <c r="A317">
        <v>953</v>
      </c>
      <c r="B317" t="s">
        <v>886</v>
      </c>
      <c r="C317" t="s">
        <v>1600</v>
      </c>
    </row>
    <row r="318" spans="1:3" x14ac:dyDescent="0.35">
      <c r="A318">
        <v>954</v>
      </c>
      <c r="B318" t="s">
        <v>887</v>
      </c>
      <c r="C318" t="s">
        <v>1601</v>
      </c>
    </row>
    <row r="319" spans="1:3" x14ac:dyDescent="0.35">
      <c r="A319">
        <v>955</v>
      </c>
      <c r="B319" t="s">
        <v>888</v>
      </c>
      <c r="C319" t="s">
        <v>1602</v>
      </c>
    </row>
    <row r="320" spans="1:3" x14ac:dyDescent="0.35">
      <c r="A320">
        <v>956</v>
      </c>
      <c r="B320" t="s">
        <v>889</v>
      </c>
      <c r="C320" t="s">
        <v>1603</v>
      </c>
    </row>
    <row r="321" spans="1:3" x14ac:dyDescent="0.35">
      <c r="A321">
        <v>984</v>
      </c>
      <c r="B321" t="s">
        <v>273</v>
      </c>
      <c r="C321" t="s">
        <v>1604</v>
      </c>
    </row>
    <row r="322" spans="1:3" x14ac:dyDescent="0.35">
      <c r="A322">
        <v>1427</v>
      </c>
      <c r="B322" t="s">
        <v>301</v>
      </c>
      <c r="C322" t="s">
        <v>1605</v>
      </c>
    </row>
    <row r="323" spans="1:3" x14ac:dyDescent="0.35">
      <c r="A323">
        <v>1428</v>
      </c>
      <c r="B323" t="s">
        <v>302</v>
      </c>
      <c r="C323" t="s">
        <v>1606</v>
      </c>
    </row>
    <row r="324" spans="1:3" x14ac:dyDescent="0.35">
      <c r="A324">
        <v>1429</v>
      </c>
      <c r="B324" t="s">
        <v>303</v>
      </c>
      <c r="C324" t="s">
        <v>1607</v>
      </c>
    </row>
    <row r="325" spans="1:3" x14ac:dyDescent="0.35">
      <c r="A325">
        <v>1433</v>
      </c>
      <c r="B325" t="s">
        <v>304</v>
      </c>
      <c r="C325" t="s">
        <v>1608</v>
      </c>
    </row>
    <row r="326" spans="1:3" x14ac:dyDescent="0.35">
      <c r="A326">
        <v>1434</v>
      </c>
      <c r="B326" t="s">
        <v>305</v>
      </c>
      <c r="C326" t="s">
        <v>1609</v>
      </c>
    </row>
    <row r="327" spans="1:3" x14ac:dyDescent="0.35">
      <c r="A327">
        <v>1435</v>
      </c>
      <c r="B327" t="s">
        <v>306</v>
      </c>
      <c r="C327" t="s">
        <v>1610</v>
      </c>
    </row>
    <row r="328" spans="1:3" x14ac:dyDescent="0.35">
      <c r="A328">
        <v>1436</v>
      </c>
      <c r="B328" t="s">
        <v>307</v>
      </c>
      <c r="C328" t="s">
        <v>1611</v>
      </c>
    </row>
    <row r="329" spans="1:3" x14ac:dyDescent="0.35">
      <c r="A329">
        <v>1437</v>
      </c>
      <c r="B329" t="s">
        <v>308</v>
      </c>
      <c r="C329" t="s">
        <v>1612</v>
      </c>
    </row>
    <row r="330" spans="1:3" x14ac:dyDescent="0.35">
      <c r="A330">
        <v>1438</v>
      </c>
      <c r="B330" t="s">
        <v>309</v>
      </c>
      <c r="C330" t="s">
        <v>1613</v>
      </c>
    </row>
    <row r="331" spans="1:3" x14ac:dyDescent="0.35">
      <c r="A331">
        <v>1439</v>
      </c>
      <c r="B331" t="s">
        <v>310</v>
      </c>
      <c r="C331" t="s">
        <v>1614</v>
      </c>
    </row>
    <row r="332" spans="1:3" x14ac:dyDescent="0.35">
      <c r="A332">
        <v>1440</v>
      </c>
      <c r="B332" t="s">
        <v>311</v>
      </c>
      <c r="C332" t="s">
        <v>1615</v>
      </c>
    </row>
    <row r="333" spans="1:3" x14ac:dyDescent="0.35">
      <c r="A333">
        <v>1441</v>
      </c>
      <c r="B333" t="s">
        <v>312</v>
      </c>
      <c r="C333" t="s">
        <v>1616</v>
      </c>
    </row>
    <row r="334" spans="1:3" x14ac:dyDescent="0.35">
      <c r="A334">
        <v>1445</v>
      </c>
      <c r="B334" t="s">
        <v>313</v>
      </c>
      <c r="C334" t="s">
        <v>1617</v>
      </c>
    </row>
    <row r="335" spans="1:3" x14ac:dyDescent="0.35">
      <c r="A335">
        <v>1446</v>
      </c>
      <c r="B335" t="s">
        <v>314</v>
      </c>
      <c r="C335" t="s">
        <v>1618</v>
      </c>
    </row>
    <row r="336" spans="1:3" x14ac:dyDescent="0.35">
      <c r="A336">
        <v>1447</v>
      </c>
      <c r="B336" t="s">
        <v>315</v>
      </c>
      <c r="C336" t="s">
        <v>1619</v>
      </c>
    </row>
    <row r="337" spans="1:3" x14ac:dyDescent="0.35">
      <c r="A337">
        <v>1457</v>
      </c>
      <c r="B337" t="s">
        <v>890</v>
      </c>
      <c r="C337" t="s">
        <v>1620</v>
      </c>
    </row>
    <row r="338" spans="1:3" x14ac:dyDescent="0.35">
      <c r="A338">
        <v>1459</v>
      </c>
      <c r="B338" t="s">
        <v>891</v>
      </c>
      <c r="C338" t="s">
        <v>1621</v>
      </c>
    </row>
    <row r="339" spans="1:3" x14ac:dyDescent="0.35">
      <c r="A339">
        <v>1460</v>
      </c>
      <c r="B339" t="s">
        <v>1622</v>
      </c>
      <c r="C339" t="s">
        <v>1623</v>
      </c>
    </row>
    <row r="340" spans="1:3" x14ac:dyDescent="0.35">
      <c r="A340">
        <v>1463</v>
      </c>
      <c r="B340" t="s">
        <v>1624</v>
      </c>
      <c r="C340" t="s">
        <v>1625</v>
      </c>
    </row>
    <row r="341" spans="1:3" x14ac:dyDescent="0.35">
      <c r="A341">
        <v>1464</v>
      </c>
      <c r="B341" t="s">
        <v>1626</v>
      </c>
      <c r="C341" t="s">
        <v>1627</v>
      </c>
    </row>
    <row r="342" spans="1:3" x14ac:dyDescent="0.35">
      <c r="A342">
        <v>1465</v>
      </c>
      <c r="B342" t="s">
        <v>1628</v>
      </c>
      <c r="C342" t="s">
        <v>1629</v>
      </c>
    </row>
    <row r="343" spans="1:3" x14ac:dyDescent="0.35">
      <c r="A343">
        <v>1466</v>
      </c>
      <c r="B343" t="s">
        <v>1630</v>
      </c>
      <c r="C343" t="s">
        <v>1631</v>
      </c>
    </row>
    <row r="344" spans="1:3" x14ac:dyDescent="0.35">
      <c r="A344">
        <v>1467</v>
      </c>
      <c r="B344" t="s">
        <v>1632</v>
      </c>
      <c r="C344" t="s">
        <v>1633</v>
      </c>
    </row>
    <row r="345" spans="1:3" x14ac:dyDescent="0.35">
      <c r="A345">
        <v>1468</v>
      </c>
      <c r="B345" t="s">
        <v>1634</v>
      </c>
      <c r="C345" t="s">
        <v>1635</v>
      </c>
    </row>
    <row r="346" spans="1:3" x14ac:dyDescent="0.35">
      <c r="A346">
        <v>1469</v>
      </c>
      <c r="B346" t="s">
        <v>1636</v>
      </c>
      <c r="C346" t="s">
        <v>1637</v>
      </c>
    </row>
    <row r="347" spans="1:3" x14ac:dyDescent="0.35">
      <c r="A347">
        <v>1470</v>
      </c>
      <c r="B347" t="s">
        <v>1638</v>
      </c>
      <c r="C347" t="s">
        <v>1639</v>
      </c>
    </row>
    <row r="348" spans="1:3" x14ac:dyDescent="0.35">
      <c r="A348">
        <v>1471</v>
      </c>
      <c r="B348" t="s">
        <v>1640</v>
      </c>
      <c r="C348" t="s">
        <v>1641</v>
      </c>
    </row>
    <row r="349" spans="1:3" x14ac:dyDescent="0.35">
      <c r="A349">
        <v>1472</v>
      </c>
      <c r="B349" t="s">
        <v>1642</v>
      </c>
      <c r="C349" t="s">
        <v>1643</v>
      </c>
    </row>
    <row r="350" spans="1:3" x14ac:dyDescent="0.35">
      <c r="A350">
        <v>1473</v>
      </c>
      <c r="B350" t="s">
        <v>1644</v>
      </c>
      <c r="C350" t="s">
        <v>1645</v>
      </c>
    </row>
    <row r="351" spans="1:3" x14ac:dyDescent="0.35">
      <c r="A351">
        <v>1626</v>
      </c>
      <c r="B351" t="s">
        <v>1646</v>
      </c>
      <c r="C351" t="s">
        <v>1647</v>
      </c>
    </row>
    <row r="352" spans="1:3" x14ac:dyDescent="0.35">
      <c r="A352">
        <v>1627</v>
      </c>
      <c r="B352" t="s">
        <v>1648</v>
      </c>
      <c r="C352" t="s">
        <v>1649</v>
      </c>
    </row>
    <row r="353" spans="1:3" x14ac:dyDescent="0.35">
      <c r="A353">
        <v>1674</v>
      </c>
      <c r="B353" t="s">
        <v>1650</v>
      </c>
      <c r="C353" t="s">
        <v>1651</v>
      </c>
    </row>
    <row r="354" spans="1:3" x14ac:dyDescent="0.35">
      <c r="A354">
        <v>1675</v>
      </c>
      <c r="B354" t="s">
        <v>1652</v>
      </c>
      <c r="C354" t="s">
        <v>1653</v>
      </c>
    </row>
    <row r="355" spans="1:3" x14ac:dyDescent="0.35">
      <c r="A355">
        <v>1676</v>
      </c>
      <c r="B355" t="s">
        <v>274</v>
      </c>
      <c r="C355" t="s">
        <v>1654</v>
      </c>
    </row>
    <row r="356" spans="1:3" x14ac:dyDescent="0.35">
      <c r="A356">
        <v>1677</v>
      </c>
      <c r="B356" t="s">
        <v>275</v>
      </c>
      <c r="C356" t="s">
        <v>1655</v>
      </c>
    </row>
    <row r="357" spans="1:3" x14ac:dyDescent="0.35">
      <c r="A357">
        <v>1678</v>
      </c>
      <c r="B357" t="s">
        <v>1656</v>
      </c>
      <c r="C357" t="s">
        <v>1657</v>
      </c>
    </row>
    <row r="358" spans="1:3" x14ac:dyDescent="0.35">
      <c r="A358">
        <v>1702</v>
      </c>
      <c r="B358" t="s">
        <v>276</v>
      </c>
      <c r="C358" t="s">
        <v>1658</v>
      </c>
    </row>
    <row r="359" spans="1:3" x14ac:dyDescent="0.35">
      <c r="A359">
        <v>2020</v>
      </c>
      <c r="B359" t="s">
        <v>1659</v>
      </c>
      <c r="C359" t="s">
        <v>1660</v>
      </c>
    </row>
    <row r="360" spans="1:3" x14ac:dyDescent="0.35">
      <c r="A360">
        <v>2748</v>
      </c>
      <c r="B360" t="s">
        <v>892</v>
      </c>
      <c r="C360" t="s">
        <v>1661</v>
      </c>
    </row>
    <row r="361" spans="1:3" x14ac:dyDescent="0.35">
      <c r="A361">
        <v>2749</v>
      </c>
      <c r="B361" t="s">
        <v>893</v>
      </c>
      <c r="C361" t="s">
        <v>1662</v>
      </c>
    </row>
    <row r="362" spans="1:3" x14ac:dyDescent="0.35">
      <c r="A362">
        <v>2752</v>
      </c>
      <c r="B362" t="s">
        <v>277</v>
      </c>
      <c r="C362" t="s">
        <v>1663</v>
      </c>
    </row>
    <row r="363" spans="1:3" x14ac:dyDescent="0.35">
      <c r="A363">
        <v>2815</v>
      </c>
      <c r="B363" t="s">
        <v>1664</v>
      </c>
      <c r="C363" t="s">
        <v>1665</v>
      </c>
    </row>
    <row r="364" spans="1:3" x14ac:dyDescent="0.35">
      <c r="A364">
        <v>2819</v>
      </c>
      <c r="B364" t="s">
        <v>1666</v>
      </c>
      <c r="C364" t="s">
        <v>1667</v>
      </c>
    </row>
    <row r="365" spans="1:3" x14ac:dyDescent="0.35">
      <c r="A365">
        <v>2833</v>
      </c>
      <c r="B365" t="s">
        <v>894</v>
      </c>
      <c r="C365" t="s">
        <v>1668</v>
      </c>
    </row>
    <row r="366" spans="1:3" x14ac:dyDescent="0.35">
      <c r="A366">
        <v>2834</v>
      </c>
      <c r="B366" t="s">
        <v>895</v>
      </c>
      <c r="C366" t="s">
        <v>1669</v>
      </c>
    </row>
    <row r="367" spans="1:3" x14ac:dyDescent="0.35">
      <c r="A367">
        <v>2835</v>
      </c>
      <c r="B367" t="s">
        <v>896</v>
      </c>
      <c r="C367" t="s">
        <v>1670</v>
      </c>
    </row>
    <row r="368" spans="1:3" x14ac:dyDescent="0.35">
      <c r="A368">
        <v>2836</v>
      </c>
      <c r="B368" t="s">
        <v>897</v>
      </c>
      <c r="C368" t="s">
        <v>1671</v>
      </c>
    </row>
    <row r="369" spans="1:3" x14ac:dyDescent="0.35">
      <c r="A369">
        <v>2837</v>
      </c>
      <c r="B369" t="s">
        <v>898</v>
      </c>
      <c r="C369" t="s">
        <v>1672</v>
      </c>
    </row>
    <row r="370" spans="1:3" x14ac:dyDescent="0.35">
      <c r="A370">
        <v>2838</v>
      </c>
      <c r="B370" t="s">
        <v>899</v>
      </c>
      <c r="C370" t="s">
        <v>1673</v>
      </c>
    </row>
    <row r="371" spans="1:3" x14ac:dyDescent="0.35">
      <c r="A371">
        <v>2839</v>
      </c>
      <c r="B371" t="s">
        <v>900</v>
      </c>
      <c r="C371" t="s">
        <v>1674</v>
      </c>
    </row>
    <row r="372" spans="1:3" x14ac:dyDescent="0.35">
      <c r="A372">
        <v>2840</v>
      </c>
      <c r="B372" t="s">
        <v>901</v>
      </c>
      <c r="C372" t="s">
        <v>1675</v>
      </c>
    </row>
    <row r="373" spans="1:3" x14ac:dyDescent="0.35">
      <c r="A373">
        <v>2869</v>
      </c>
      <c r="B373" t="s">
        <v>1676</v>
      </c>
      <c r="C373" t="s">
        <v>1677</v>
      </c>
    </row>
    <row r="374" spans="1:3" x14ac:dyDescent="0.35">
      <c r="A374">
        <v>2870</v>
      </c>
      <c r="B374" t="s">
        <v>1678</v>
      </c>
      <c r="C374" t="s">
        <v>1679</v>
      </c>
    </row>
    <row r="375" spans="1:3" x14ac:dyDescent="0.35">
      <c r="A375">
        <v>2885</v>
      </c>
      <c r="B375" t="s">
        <v>1680</v>
      </c>
      <c r="C375" t="s">
        <v>1681</v>
      </c>
    </row>
    <row r="376" spans="1:3" x14ac:dyDescent="0.35">
      <c r="A376">
        <v>2889</v>
      </c>
      <c r="B376" t="s">
        <v>902</v>
      </c>
      <c r="C376" t="s">
        <v>1682</v>
      </c>
    </row>
    <row r="377" spans="1:3" x14ac:dyDescent="0.35">
      <c r="A377">
        <v>2890</v>
      </c>
      <c r="B377" t="s">
        <v>903</v>
      </c>
      <c r="C377" t="s">
        <v>1683</v>
      </c>
    </row>
    <row r="378" spans="1:3" x14ac:dyDescent="0.35">
      <c r="A378">
        <v>2891</v>
      </c>
      <c r="B378" t="s">
        <v>904</v>
      </c>
      <c r="C378" t="s">
        <v>1684</v>
      </c>
    </row>
    <row r="379" spans="1:3" x14ac:dyDescent="0.35">
      <c r="A379">
        <v>2892</v>
      </c>
      <c r="B379" t="s">
        <v>905</v>
      </c>
      <c r="C379" t="s">
        <v>1685</v>
      </c>
    </row>
    <row r="380" spans="1:3" x14ac:dyDescent="0.35">
      <c r="A380">
        <v>2893</v>
      </c>
      <c r="B380" t="s">
        <v>906</v>
      </c>
      <c r="C380" t="s">
        <v>1686</v>
      </c>
    </row>
    <row r="381" spans="1:3" x14ac:dyDescent="0.35">
      <c r="A381">
        <v>2894</v>
      </c>
      <c r="B381" t="s">
        <v>907</v>
      </c>
      <c r="C381" t="s">
        <v>1687</v>
      </c>
    </row>
    <row r="382" spans="1:3" x14ac:dyDescent="0.35">
      <c r="A382">
        <v>2895</v>
      </c>
      <c r="B382" t="s">
        <v>908</v>
      </c>
      <c r="C382" t="s">
        <v>1688</v>
      </c>
    </row>
    <row r="383" spans="1:3" x14ac:dyDescent="0.35">
      <c r="A383">
        <v>2896</v>
      </c>
      <c r="B383" t="s">
        <v>909</v>
      </c>
      <c r="C383" t="s">
        <v>1689</v>
      </c>
    </row>
    <row r="384" spans="1:3" x14ac:dyDescent="0.35">
      <c r="A384">
        <v>2897</v>
      </c>
      <c r="B384" t="s">
        <v>910</v>
      </c>
      <c r="C384" t="s">
        <v>1690</v>
      </c>
    </row>
    <row r="385" spans="1:3" x14ac:dyDescent="0.35">
      <c r="A385">
        <v>2898</v>
      </c>
      <c r="B385" t="s">
        <v>911</v>
      </c>
      <c r="C385" t="s">
        <v>1691</v>
      </c>
    </row>
    <row r="386" spans="1:3" x14ac:dyDescent="0.35">
      <c r="A386">
        <v>2899</v>
      </c>
      <c r="B386" t="s">
        <v>912</v>
      </c>
      <c r="C386" t="s">
        <v>1692</v>
      </c>
    </row>
    <row r="387" spans="1:3" x14ac:dyDescent="0.35">
      <c r="A387">
        <v>2900</v>
      </c>
      <c r="B387" t="s">
        <v>913</v>
      </c>
      <c r="C387" t="s">
        <v>1693</v>
      </c>
    </row>
    <row r="388" spans="1:3" x14ac:dyDescent="0.35">
      <c r="A388">
        <v>2901</v>
      </c>
      <c r="B388" t="s">
        <v>1694</v>
      </c>
      <c r="C388" t="s">
        <v>1695</v>
      </c>
    </row>
    <row r="389" spans="1:3" x14ac:dyDescent="0.35">
      <c r="A389">
        <v>2994</v>
      </c>
      <c r="B389" t="s">
        <v>1696</v>
      </c>
      <c r="C389" t="s">
        <v>1697</v>
      </c>
    </row>
    <row r="390" spans="1:3" x14ac:dyDescent="0.35">
      <c r="A390">
        <v>3013</v>
      </c>
      <c r="B390" t="s">
        <v>914</v>
      </c>
      <c r="C390" t="s">
        <v>1698</v>
      </c>
    </row>
    <row r="391" spans="1:3" x14ac:dyDescent="0.35">
      <c r="A391">
        <v>3014</v>
      </c>
      <c r="B391" t="s">
        <v>915</v>
      </c>
      <c r="C391" t="s">
        <v>1699</v>
      </c>
    </row>
    <row r="392" spans="1:3" x14ac:dyDescent="0.35">
      <c r="A392">
        <v>3015</v>
      </c>
      <c r="B392" t="s">
        <v>916</v>
      </c>
      <c r="C392" t="s">
        <v>1700</v>
      </c>
    </row>
    <row r="393" spans="1:3" x14ac:dyDescent="0.35">
      <c r="A393">
        <v>3052</v>
      </c>
      <c r="B393" t="s">
        <v>917</v>
      </c>
      <c r="C393" t="s">
        <v>1701</v>
      </c>
    </row>
    <row r="394" spans="1:3" x14ac:dyDescent="0.35">
      <c r="A394">
        <v>3053</v>
      </c>
      <c r="B394" t="s">
        <v>918</v>
      </c>
      <c r="C394" t="s">
        <v>1702</v>
      </c>
    </row>
    <row r="395" spans="1:3" x14ac:dyDescent="0.35">
      <c r="A395">
        <v>3054</v>
      </c>
      <c r="B395" t="s">
        <v>919</v>
      </c>
      <c r="C395" t="s">
        <v>1703</v>
      </c>
    </row>
    <row r="396" spans="1:3" x14ac:dyDescent="0.35">
      <c r="A396">
        <v>3055</v>
      </c>
      <c r="B396" t="s">
        <v>920</v>
      </c>
      <c r="C396" t="s">
        <v>1704</v>
      </c>
    </row>
    <row r="397" spans="1:3" x14ac:dyDescent="0.35">
      <c r="A397">
        <v>3056</v>
      </c>
      <c r="B397" t="s">
        <v>921</v>
      </c>
      <c r="C397" t="s">
        <v>1705</v>
      </c>
    </row>
    <row r="398" spans="1:3" x14ac:dyDescent="0.35">
      <c r="A398">
        <v>3057</v>
      </c>
      <c r="B398" t="s">
        <v>922</v>
      </c>
      <c r="C398" t="s">
        <v>1706</v>
      </c>
    </row>
    <row r="399" spans="1:3" x14ac:dyDescent="0.35">
      <c r="A399">
        <v>3058</v>
      </c>
      <c r="B399" t="s">
        <v>923</v>
      </c>
      <c r="C399" t="s">
        <v>1707</v>
      </c>
    </row>
    <row r="400" spans="1:3" x14ac:dyDescent="0.35">
      <c r="A400">
        <v>3059</v>
      </c>
      <c r="B400" t="s">
        <v>924</v>
      </c>
      <c r="C400" t="s">
        <v>1708</v>
      </c>
    </row>
    <row r="401" spans="1:3" x14ac:dyDescent="0.35">
      <c r="A401">
        <v>3060</v>
      </c>
      <c r="B401" t="s">
        <v>925</v>
      </c>
      <c r="C401" t="s">
        <v>1709</v>
      </c>
    </row>
    <row r="402" spans="1:3" x14ac:dyDescent="0.35">
      <c r="A402">
        <v>3143</v>
      </c>
      <c r="B402" t="s">
        <v>1710</v>
      </c>
      <c r="C402" t="s">
        <v>1711</v>
      </c>
    </row>
    <row r="403" spans="1:3" x14ac:dyDescent="0.35">
      <c r="A403">
        <v>3157</v>
      </c>
      <c r="B403" t="s">
        <v>1712</v>
      </c>
      <c r="C403" t="s">
        <v>1713</v>
      </c>
    </row>
    <row r="404" spans="1:3" x14ac:dyDescent="0.35">
      <c r="A404">
        <v>3192</v>
      </c>
      <c r="B404" t="s">
        <v>1714</v>
      </c>
      <c r="C404" t="s">
        <v>1715</v>
      </c>
    </row>
    <row r="405" spans="1:3" x14ac:dyDescent="0.35">
      <c r="A405">
        <v>3193</v>
      </c>
      <c r="B405" t="s">
        <v>278</v>
      </c>
      <c r="C405" t="s">
        <v>1716</v>
      </c>
    </row>
    <row r="406" spans="1:3" x14ac:dyDescent="0.35">
      <c r="A406">
        <v>3197</v>
      </c>
      <c r="B406" t="s">
        <v>316</v>
      </c>
      <c r="C406" t="s">
        <v>1717</v>
      </c>
    </row>
    <row r="407" spans="1:3" x14ac:dyDescent="0.35">
      <c r="A407">
        <v>3517</v>
      </c>
      <c r="B407" t="s">
        <v>926</v>
      </c>
      <c r="C407" t="s">
        <v>1718</v>
      </c>
    </row>
    <row r="408" spans="1:3" x14ac:dyDescent="0.35">
      <c r="A408">
        <v>3518</v>
      </c>
      <c r="B408" t="s">
        <v>927</v>
      </c>
      <c r="C408" t="s">
        <v>1719</v>
      </c>
    </row>
    <row r="409" spans="1:3" x14ac:dyDescent="0.35">
      <c r="A409">
        <v>3519</v>
      </c>
      <c r="B409" t="s">
        <v>928</v>
      </c>
      <c r="C409" t="s">
        <v>1720</v>
      </c>
    </row>
    <row r="410" spans="1:3" x14ac:dyDescent="0.35">
      <c r="A410">
        <v>3523</v>
      </c>
      <c r="B410" t="s">
        <v>317</v>
      </c>
      <c r="C410" t="s">
        <v>1721</v>
      </c>
    </row>
    <row r="411" spans="1:3" x14ac:dyDescent="0.35">
      <c r="A411">
        <v>3524</v>
      </c>
      <c r="B411" t="s">
        <v>318</v>
      </c>
      <c r="C411" t="s">
        <v>1722</v>
      </c>
    </row>
    <row r="412" spans="1:3" x14ac:dyDescent="0.35">
      <c r="A412">
        <v>3525</v>
      </c>
      <c r="B412" t="s">
        <v>319</v>
      </c>
      <c r="C412" t="s">
        <v>1723</v>
      </c>
    </row>
    <row r="413" spans="1:3" x14ac:dyDescent="0.35">
      <c r="A413">
        <v>3526</v>
      </c>
      <c r="B413" t="s">
        <v>320</v>
      </c>
      <c r="C413" t="s">
        <v>1724</v>
      </c>
    </row>
    <row r="414" spans="1:3" x14ac:dyDescent="0.35">
      <c r="A414">
        <v>3527</v>
      </c>
      <c r="B414" t="s">
        <v>321</v>
      </c>
      <c r="C414" t="s">
        <v>1725</v>
      </c>
    </row>
    <row r="415" spans="1:3" x14ac:dyDescent="0.35">
      <c r="A415">
        <v>3528</v>
      </c>
      <c r="B415" t="s">
        <v>322</v>
      </c>
      <c r="C415" t="s">
        <v>1726</v>
      </c>
    </row>
    <row r="416" spans="1:3" x14ac:dyDescent="0.35">
      <c r="A416">
        <v>3529</v>
      </c>
      <c r="B416" t="s">
        <v>323</v>
      </c>
      <c r="C416" t="s">
        <v>1727</v>
      </c>
    </row>
    <row r="417" spans="1:3" x14ac:dyDescent="0.35">
      <c r="A417">
        <v>3530</v>
      </c>
      <c r="B417" t="s">
        <v>324</v>
      </c>
      <c r="C417" t="s">
        <v>1728</v>
      </c>
    </row>
    <row r="418" spans="1:3" x14ac:dyDescent="0.35">
      <c r="A418">
        <v>3531</v>
      </c>
      <c r="B418" t="s">
        <v>325</v>
      </c>
      <c r="C418" t="s">
        <v>1729</v>
      </c>
    </row>
    <row r="419" spans="1:3" x14ac:dyDescent="0.35">
      <c r="A419">
        <v>3537</v>
      </c>
      <c r="B419" t="s">
        <v>929</v>
      </c>
      <c r="C419" t="s">
        <v>1730</v>
      </c>
    </row>
    <row r="420" spans="1:3" x14ac:dyDescent="0.35">
      <c r="A420">
        <v>3538</v>
      </c>
      <c r="B420" t="s">
        <v>930</v>
      </c>
      <c r="C420" t="s">
        <v>1731</v>
      </c>
    </row>
    <row r="421" spans="1:3" x14ac:dyDescent="0.35">
      <c r="A421">
        <v>3539</v>
      </c>
      <c r="B421" t="s">
        <v>931</v>
      </c>
      <c r="C421" t="s">
        <v>1732</v>
      </c>
    </row>
    <row r="422" spans="1:3" x14ac:dyDescent="0.35">
      <c r="A422">
        <v>3540</v>
      </c>
      <c r="B422" t="s">
        <v>932</v>
      </c>
      <c r="C422" t="s">
        <v>1733</v>
      </c>
    </row>
    <row r="423" spans="1:3" x14ac:dyDescent="0.35">
      <c r="A423">
        <v>3729</v>
      </c>
      <c r="B423" t="s">
        <v>933</v>
      </c>
      <c r="C423" t="s">
        <v>1734</v>
      </c>
    </row>
    <row r="424" spans="1:3" x14ac:dyDescent="0.35">
      <c r="A424">
        <v>3730</v>
      </c>
      <c r="B424" t="s">
        <v>934</v>
      </c>
      <c r="C424" t="s">
        <v>1735</v>
      </c>
    </row>
    <row r="425" spans="1:3" x14ac:dyDescent="0.35">
      <c r="A425">
        <v>3731</v>
      </c>
      <c r="B425" t="s">
        <v>935</v>
      </c>
      <c r="C425" t="s">
        <v>1736</v>
      </c>
    </row>
    <row r="426" spans="1:3" x14ac:dyDescent="0.35">
      <c r="A426">
        <v>3732</v>
      </c>
      <c r="B426" t="s">
        <v>936</v>
      </c>
      <c r="C426" t="s">
        <v>1737</v>
      </c>
    </row>
    <row r="427" spans="1:3" x14ac:dyDescent="0.35">
      <c r="A427">
        <v>3733</v>
      </c>
      <c r="B427" t="s">
        <v>937</v>
      </c>
      <c r="C427" t="s">
        <v>1738</v>
      </c>
    </row>
    <row r="428" spans="1:3" x14ac:dyDescent="0.35">
      <c r="A428">
        <v>3734</v>
      </c>
      <c r="B428" t="s">
        <v>938</v>
      </c>
      <c r="C428" t="s">
        <v>1739</v>
      </c>
    </row>
    <row r="429" spans="1:3" x14ac:dyDescent="0.35">
      <c r="A429">
        <v>3735</v>
      </c>
      <c r="B429" t="s">
        <v>939</v>
      </c>
      <c r="C429" t="s">
        <v>1740</v>
      </c>
    </row>
    <row r="430" spans="1:3" x14ac:dyDescent="0.35">
      <c r="A430">
        <v>3736</v>
      </c>
      <c r="B430" t="s">
        <v>940</v>
      </c>
      <c r="C430" t="s">
        <v>1741</v>
      </c>
    </row>
    <row r="431" spans="1:3" x14ac:dyDescent="0.35">
      <c r="A431">
        <v>3737</v>
      </c>
      <c r="B431" t="s">
        <v>941</v>
      </c>
      <c r="C431" t="s">
        <v>1742</v>
      </c>
    </row>
    <row r="432" spans="1:3" x14ac:dyDescent="0.35">
      <c r="A432">
        <v>3738</v>
      </c>
      <c r="B432" t="s">
        <v>942</v>
      </c>
      <c r="C432" t="s">
        <v>1743</v>
      </c>
    </row>
    <row r="433" spans="1:3" x14ac:dyDescent="0.35">
      <c r="A433">
        <v>3739</v>
      </c>
      <c r="B433" t="s">
        <v>943</v>
      </c>
      <c r="C433" t="s">
        <v>1744</v>
      </c>
    </row>
    <row r="434" spans="1:3" x14ac:dyDescent="0.35">
      <c r="A434">
        <v>3740</v>
      </c>
      <c r="B434" t="s">
        <v>944</v>
      </c>
      <c r="C434" t="s">
        <v>1745</v>
      </c>
    </row>
    <row r="435" spans="1:3" x14ac:dyDescent="0.35">
      <c r="A435">
        <v>3741</v>
      </c>
      <c r="B435" t="s">
        <v>945</v>
      </c>
      <c r="C435" t="s">
        <v>1746</v>
      </c>
    </row>
    <row r="436" spans="1:3" x14ac:dyDescent="0.35">
      <c r="A436">
        <v>3742</v>
      </c>
      <c r="B436" t="s">
        <v>946</v>
      </c>
      <c r="C436" t="s">
        <v>1747</v>
      </c>
    </row>
    <row r="437" spans="1:3" x14ac:dyDescent="0.35">
      <c r="A437">
        <v>3743</v>
      </c>
      <c r="B437" t="s">
        <v>947</v>
      </c>
      <c r="C437" t="s">
        <v>1748</v>
      </c>
    </row>
    <row r="438" spans="1:3" x14ac:dyDescent="0.35">
      <c r="A438">
        <v>3744</v>
      </c>
      <c r="B438" t="s">
        <v>948</v>
      </c>
      <c r="C438" t="s">
        <v>1749</v>
      </c>
    </row>
    <row r="439" spans="1:3" x14ac:dyDescent="0.35">
      <c r="A439">
        <v>3745</v>
      </c>
      <c r="B439" t="s">
        <v>949</v>
      </c>
      <c r="C439" t="s">
        <v>1750</v>
      </c>
    </row>
    <row r="440" spans="1:3" x14ac:dyDescent="0.35">
      <c r="A440">
        <v>3746</v>
      </c>
      <c r="B440" t="s">
        <v>950</v>
      </c>
      <c r="C440" t="s">
        <v>1751</v>
      </c>
    </row>
    <row r="441" spans="1:3" x14ac:dyDescent="0.35">
      <c r="A441">
        <v>3747</v>
      </c>
      <c r="B441" t="s">
        <v>326</v>
      </c>
      <c r="C441" t="s">
        <v>1752</v>
      </c>
    </row>
    <row r="442" spans="1:3" x14ac:dyDescent="0.35">
      <c r="A442">
        <v>3748</v>
      </c>
      <c r="B442" t="s">
        <v>327</v>
      </c>
      <c r="C442" t="s">
        <v>1753</v>
      </c>
    </row>
    <row r="443" spans="1:3" x14ac:dyDescent="0.35">
      <c r="A443">
        <v>3749</v>
      </c>
      <c r="B443" t="s">
        <v>328</v>
      </c>
      <c r="C443" t="s">
        <v>1754</v>
      </c>
    </row>
    <row r="444" spans="1:3" x14ac:dyDescent="0.35">
      <c r="A444">
        <v>3750</v>
      </c>
      <c r="B444" t="s">
        <v>951</v>
      </c>
      <c r="C444" t="s">
        <v>1755</v>
      </c>
    </row>
    <row r="445" spans="1:3" x14ac:dyDescent="0.35">
      <c r="A445">
        <v>3751</v>
      </c>
      <c r="B445" t="s">
        <v>952</v>
      </c>
      <c r="C445" t="s">
        <v>1756</v>
      </c>
    </row>
    <row r="446" spans="1:3" x14ac:dyDescent="0.35">
      <c r="A446">
        <v>3752</v>
      </c>
      <c r="B446" t="s">
        <v>953</v>
      </c>
      <c r="C446" t="s">
        <v>1757</v>
      </c>
    </row>
    <row r="447" spans="1:3" x14ac:dyDescent="0.35">
      <c r="A447">
        <v>3753</v>
      </c>
      <c r="B447" t="s">
        <v>954</v>
      </c>
      <c r="C447" t="s">
        <v>1758</v>
      </c>
    </row>
    <row r="448" spans="1:3" x14ac:dyDescent="0.35">
      <c r="A448">
        <v>3754</v>
      </c>
      <c r="B448" t="s">
        <v>955</v>
      </c>
      <c r="C448" t="s">
        <v>1759</v>
      </c>
    </row>
    <row r="449" spans="1:3" x14ac:dyDescent="0.35">
      <c r="A449">
        <v>3755</v>
      </c>
      <c r="B449" t="s">
        <v>956</v>
      </c>
      <c r="C449" t="s">
        <v>1760</v>
      </c>
    </row>
    <row r="450" spans="1:3" x14ac:dyDescent="0.35">
      <c r="A450">
        <v>3756</v>
      </c>
      <c r="B450" t="s">
        <v>957</v>
      </c>
      <c r="C450" t="s">
        <v>1761</v>
      </c>
    </row>
    <row r="451" spans="1:3" x14ac:dyDescent="0.35">
      <c r="A451">
        <v>3757</v>
      </c>
      <c r="B451" t="s">
        <v>958</v>
      </c>
      <c r="C451" t="s">
        <v>1762</v>
      </c>
    </row>
    <row r="452" spans="1:3" x14ac:dyDescent="0.35">
      <c r="A452">
        <v>3758</v>
      </c>
      <c r="B452" t="s">
        <v>959</v>
      </c>
      <c r="C452" t="s">
        <v>1763</v>
      </c>
    </row>
    <row r="453" spans="1:3" x14ac:dyDescent="0.35">
      <c r="A453">
        <v>3759</v>
      </c>
      <c r="B453" t="s">
        <v>960</v>
      </c>
      <c r="C453" t="s">
        <v>1764</v>
      </c>
    </row>
    <row r="454" spans="1:3" x14ac:dyDescent="0.35">
      <c r="A454">
        <v>3760</v>
      </c>
      <c r="B454" t="s">
        <v>961</v>
      </c>
      <c r="C454" t="s">
        <v>1765</v>
      </c>
    </row>
    <row r="455" spans="1:3" x14ac:dyDescent="0.35">
      <c r="A455">
        <v>3761</v>
      </c>
      <c r="B455" t="s">
        <v>962</v>
      </c>
      <c r="C455" t="s">
        <v>1766</v>
      </c>
    </row>
    <row r="456" spans="1:3" x14ac:dyDescent="0.35">
      <c r="A456">
        <v>3763</v>
      </c>
      <c r="B456" t="s">
        <v>963</v>
      </c>
      <c r="C456" t="s">
        <v>1767</v>
      </c>
    </row>
    <row r="457" spans="1:3" x14ac:dyDescent="0.35">
      <c r="A457">
        <v>3764</v>
      </c>
      <c r="B457" t="s">
        <v>964</v>
      </c>
      <c r="C457" t="s">
        <v>1768</v>
      </c>
    </row>
    <row r="458" spans="1:3" x14ac:dyDescent="0.35">
      <c r="A458">
        <v>3765</v>
      </c>
      <c r="B458" t="s">
        <v>965</v>
      </c>
      <c r="C458" t="s">
        <v>1769</v>
      </c>
    </row>
    <row r="459" spans="1:3" x14ac:dyDescent="0.35">
      <c r="A459">
        <v>3766</v>
      </c>
      <c r="B459" t="s">
        <v>966</v>
      </c>
      <c r="C459" t="s">
        <v>1770</v>
      </c>
    </row>
    <row r="460" spans="1:3" x14ac:dyDescent="0.35">
      <c r="A460">
        <v>3767</v>
      </c>
      <c r="B460" t="s">
        <v>967</v>
      </c>
      <c r="C460" t="s">
        <v>1771</v>
      </c>
    </row>
    <row r="461" spans="1:3" x14ac:dyDescent="0.35">
      <c r="A461">
        <v>3768</v>
      </c>
      <c r="B461" t="s">
        <v>968</v>
      </c>
      <c r="C461" t="s">
        <v>1772</v>
      </c>
    </row>
    <row r="462" spans="1:3" x14ac:dyDescent="0.35">
      <c r="A462">
        <v>3769</v>
      </c>
      <c r="B462" t="s">
        <v>969</v>
      </c>
      <c r="C462" t="s">
        <v>1773</v>
      </c>
    </row>
    <row r="463" spans="1:3" x14ac:dyDescent="0.35">
      <c r="A463">
        <v>3770</v>
      </c>
      <c r="B463" t="s">
        <v>970</v>
      </c>
      <c r="C463" t="s">
        <v>1774</v>
      </c>
    </row>
    <row r="464" spans="1:3" x14ac:dyDescent="0.35">
      <c r="A464">
        <v>3771</v>
      </c>
      <c r="B464" t="s">
        <v>971</v>
      </c>
      <c r="C464" t="s">
        <v>1775</v>
      </c>
    </row>
    <row r="465" spans="1:3" x14ac:dyDescent="0.35">
      <c r="A465">
        <v>3772</v>
      </c>
      <c r="B465" t="s">
        <v>972</v>
      </c>
      <c r="C465" t="s">
        <v>1776</v>
      </c>
    </row>
    <row r="466" spans="1:3" x14ac:dyDescent="0.35">
      <c r="A466">
        <v>3773</v>
      </c>
      <c r="B466" t="s">
        <v>973</v>
      </c>
      <c r="C466" t="s">
        <v>1777</v>
      </c>
    </row>
    <row r="467" spans="1:3" x14ac:dyDescent="0.35">
      <c r="A467">
        <v>3774</v>
      </c>
      <c r="B467" t="s">
        <v>974</v>
      </c>
      <c r="C467" t="s">
        <v>1778</v>
      </c>
    </row>
    <row r="468" spans="1:3" x14ac:dyDescent="0.35">
      <c r="A468">
        <v>3775</v>
      </c>
      <c r="B468" t="s">
        <v>975</v>
      </c>
      <c r="C468" t="s">
        <v>1779</v>
      </c>
    </row>
    <row r="469" spans="1:3" x14ac:dyDescent="0.35">
      <c r="A469">
        <v>3776</v>
      </c>
      <c r="B469" t="s">
        <v>976</v>
      </c>
      <c r="C469" t="s">
        <v>1780</v>
      </c>
    </row>
    <row r="470" spans="1:3" x14ac:dyDescent="0.35">
      <c r="A470">
        <v>3777</v>
      </c>
      <c r="B470" t="s">
        <v>977</v>
      </c>
      <c r="C470" t="s">
        <v>1781</v>
      </c>
    </row>
    <row r="471" spans="1:3" x14ac:dyDescent="0.35">
      <c r="A471">
        <v>3779</v>
      </c>
      <c r="B471" t="s">
        <v>279</v>
      </c>
      <c r="C471" t="s">
        <v>1782</v>
      </c>
    </row>
    <row r="472" spans="1:3" x14ac:dyDescent="0.35">
      <c r="A472">
        <v>3780</v>
      </c>
      <c r="B472" t="s">
        <v>978</v>
      </c>
      <c r="C472" t="s">
        <v>1783</v>
      </c>
    </row>
    <row r="473" spans="1:3" x14ac:dyDescent="0.35">
      <c r="A473">
        <v>3781</v>
      </c>
      <c r="B473" t="s">
        <v>979</v>
      </c>
      <c r="C473" t="s">
        <v>1784</v>
      </c>
    </row>
    <row r="474" spans="1:3" x14ac:dyDescent="0.35">
      <c r="A474">
        <v>3782</v>
      </c>
      <c r="B474" t="s">
        <v>980</v>
      </c>
      <c r="C474" t="s">
        <v>1785</v>
      </c>
    </row>
    <row r="475" spans="1:3" x14ac:dyDescent="0.35">
      <c r="A475">
        <v>3783</v>
      </c>
      <c r="B475" t="s">
        <v>981</v>
      </c>
      <c r="C475" t="s">
        <v>1786</v>
      </c>
    </row>
    <row r="476" spans="1:3" x14ac:dyDescent="0.35">
      <c r="A476">
        <v>3784</v>
      </c>
      <c r="B476" t="s">
        <v>982</v>
      </c>
      <c r="C476" t="s">
        <v>1787</v>
      </c>
    </row>
    <row r="477" spans="1:3" x14ac:dyDescent="0.35">
      <c r="A477">
        <v>3785</v>
      </c>
      <c r="B477" t="s">
        <v>983</v>
      </c>
      <c r="C477" t="s">
        <v>1788</v>
      </c>
    </row>
    <row r="478" spans="1:3" x14ac:dyDescent="0.35">
      <c r="A478">
        <v>3786</v>
      </c>
      <c r="B478" t="s">
        <v>984</v>
      </c>
      <c r="C478" t="s">
        <v>1789</v>
      </c>
    </row>
    <row r="479" spans="1:3" x14ac:dyDescent="0.35">
      <c r="A479">
        <v>3796</v>
      </c>
      <c r="B479" t="s">
        <v>985</v>
      </c>
      <c r="C479" t="s">
        <v>1790</v>
      </c>
    </row>
    <row r="480" spans="1:3" x14ac:dyDescent="0.35">
      <c r="A480">
        <v>3797</v>
      </c>
      <c r="B480" t="s">
        <v>986</v>
      </c>
      <c r="C480" t="s">
        <v>1791</v>
      </c>
    </row>
    <row r="481" spans="1:3" x14ac:dyDescent="0.35">
      <c r="A481">
        <v>3798</v>
      </c>
      <c r="B481" t="s">
        <v>987</v>
      </c>
      <c r="C481" t="s">
        <v>1792</v>
      </c>
    </row>
    <row r="482" spans="1:3" x14ac:dyDescent="0.35">
      <c r="A482">
        <v>3854</v>
      </c>
      <c r="B482" t="s">
        <v>988</v>
      </c>
      <c r="C482" t="s">
        <v>1793</v>
      </c>
    </row>
    <row r="483" spans="1:3" x14ac:dyDescent="0.35">
      <c r="A483">
        <v>3855</v>
      </c>
      <c r="B483" t="s">
        <v>989</v>
      </c>
      <c r="C483" t="s">
        <v>1794</v>
      </c>
    </row>
    <row r="484" spans="1:3" x14ac:dyDescent="0.35">
      <c r="A484">
        <v>3856</v>
      </c>
      <c r="B484" t="s">
        <v>990</v>
      </c>
      <c r="C484" t="s">
        <v>1795</v>
      </c>
    </row>
    <row r="485" spans="1:3" x14ac:dyDescent="0.35">
      <c r="A485">
        <v>3857</v>
      </c>
      <c r="B485" t="s">
        <v>991</v>
      </c>
      <c r="C485" t="s">
        <v>1796</v>
      </c>
    </row>
    <row r="486" spans="1:3" x14ac:dyDescent="0.35">
      <c r="A486">
        <v>3858</v>
      </c>
      <c r="B486" t="s">
        <v>992</v>
      </c>
      <c r="C486" t="s">
        <v>1797</v>
      </c>
    </row>
    <row r="487" spans="1:3" x14ac:dyDescent="0.35">
      <c r="A487">
        <v>3859</v>
      </c>
      <c r="B487" t="s">
        <v>993</v>
      </c>
      <c r="C487" t="s">
        <v>1798</v>
      </c>
    </row>
    <row r="488" spans="1:3" x14ac:dyDescent="0.35">
      <c r="A488">
        <v>3860</v>
      </c>
      <c r="B488" t="s">
        <v>994</v>
      </c>
      <c r="C488" t="s">
        <v>1799</v>
      </c>
    </row>
    <row r="489" spans="1:3" x14ac:dyDescent="0.35">
      <c r="A489">
        <v>3938</v>
      </c>
      <c r="B489" t="s">
        <v>995</v>
      </c>
      <c r="C489" t="s">
        <v>1800</v>
      </c>
    </row>
    <row r="490" spans="1:3" x14ac:dyDescent="0.35">
      <c r="A490">
        <v>4094</v>
      </c>
      <c r="B490" t="s">
        <v>996</v>
      </c>
      <c r="C490" t="s">
        <v>1801</v>
      </c>
    </row>
    <row r="491" spans="1:3" x14ac:dyDescent="0.35">
      <c r="A491">
        <v>4095</v>
      </c>
      <c r="B491" t="s">
        <v>997</v>
      </c>
      <c r="C491" t="s">
        <v>1802</v>
      </c>
    </row>
    <row r="492" spans="1:3" x14ac:dyDescent="0.35">
      <c r="A492">
        <v>4096</v>
      </c>
      <c r="B492" t="s">
        <v>998</v>
      </c>
      <c r="C492" t="s">
        <v>1803</v>
      </c>
    </row>
    <row r="493" spans="1:3" x14ac:dyDescent="0.35">
      <c r="A493">
        <v>4097</v>
      </c>
      <c r="B493" t="s">
        <v>999</v>
      </c>
      <c r="C493" t="s">
        <v>1804</v>
      </c>
    </row>
    <row r="494" spans="1:3" x14ac:dyDescent="0.35">
      <c r="A494">
        <v>4098</v>
      </c>
      <c r="B494" t="s">
        <v>1000</v>
      </c>
      <c r="C494" t="s">
        <v>1805</v>
      </c>
    </row>
    <row r="495" spans="1:3" x14ac:dyDescent="0.35">
      <c r="A495">
        <v>4099</v>
      </c>
      <c r="B495" t="s">
        <v>1001</v>
      </c>
      <c r="C495" t="s">
        <v>1806</v>
      </c>
    </row>
    <row r="496" spans="1:3" x14ac:dyDescent="0.35">
      <c r="A496">
        <v>4109</v>
      </c>
      <c r="B496" t="s">
        <v>1002</v>
      </c>
      <c r="C496" t="s">
        <v>1807</v>
      </c>
    </row>
    <row r="497" spans="1:3" x14ac:dyDescent="0.35">
      <c r="A497">
        <v>4110</v>
      </c>
      <c r="B497" t="s">
        <v>1003</v>
      </c>
      <c r="C497" t="s">
        <v>1808</v>
      </c>
    </row>
    <row r="498" spans="1:3" x14ac:dyDescent="0.35">
      <c r="A498">
        <v>4111</v>
      </c>
      <c r="B498" t="s">
        <v>1004</v>
      </c>
      <c r="C498" t="s">
        <v>1809</v>
      </c>
    </row>
    <row r="499" spans="1:3" x14ac:dyDescent="0.35">
      <c r="A499">
        <v>4115</v>
      </c>
      <c r="B499" t="s">
        <v>1005</v>
      </c>
      <c r="C499" t="s">
        <v>1810</v>
      </c>
    </row>
    <row r="500" spans="1:3" x14ac:dyDescent="0.35">
      <c r="A500">
        <v>4116</v>
      </c>
      <c r="B500" t="s">
        <v>1006</v>
      </c>
      <c r="C500" t="s">
        <v>1811</v>
      </c>
    </row>
    <row r="501" spans="1:3" x14ac:dyDescent="0.35">
      <c r="A501">
        <v>4117</v>
      </c>
      <c r="B501" t="s">
        <v>1007</v>
      </c>
      <c r="C501" t="s">
        <v>1812</v>
      </c>
    </row>
    <row r="502" spans="1:3" x14ac:dyDescent="0.35">
      <c r="A502">
        <v>4118</v>
      </c>
      <c r="B502" t="s">
        <v>1008</v>
      </c>
      <c r="C502" t="s">
        <v>1813</v>
      </c>
    </row>
    <row r="503" spans="1:3" x14ac:dyDescent="0.35">
      <c r="A503">
        <v>4119</v>
      </c>
      <c r="B503" t="s">
        <v>1009</v>
      </c>
      <c r="C503" t="s">
        <v>1814</v>
      </c>
    </row>
    <row r="504" spans="1:3" x14ac:dyDescent="0.35">
      <c r="A504">
        <v>4120</v>
      </c>
      <c r="B504" t="s">
        <v>1010</v>
      </c>
      <c r="C504" t="s">
        <v>1815</v>
      </c>
    </row>
    <row r="505" spans="1:3" x14ac:dyDescent="0.35">
      <c r="A505">
        <v>4121</v>
      </c>
      <c r="B505" t="s">
        <v>1011</v>
      </c>
      <c r="C505" t="s">
        <v>1816</v>
      </c>
    </row>
    <row r="506" spans="1:3" x14ac:dyDescent="0.35">
      <c r="A506">
        <v>4122</v>
      </c>
      <c r="B506" t="s">
        <v>1012</v>
      </c>
      <c r="C506" t="s">
        <v>1817</v>
      </c>
    </row>
    <row r="507" spans="1:3" x14ac:dyDescent="0.35">
      <c r="A507">
        <v>4123</v>
      </c>
      <c r="B507" t="s">
        <v>1013</v>
      </c>
      <c r="C507" t="s">
        <v>1818</v>
      </c>
    </row>
    <row r="508" spans="1:3" x14ac:dyDescent="0.35">
      <c r="A508">
        <v>4124</v>
      </c>
      <c r="B508" t="s">
        <v>1014</v>
      </c>
      <c r="C508" t="s">
        <v>1819</v>
      </c>
    </row>
    <row r="509" spans="1:3" x14ac:dyDescent="0.35">
      <c r="A509">
        <v>4125</v>
      </c>
      <c r="B509" t="s">
        <v>1015</v>
      </c>
      <c r="C509" t="s">
        <v>1820</v>
      </c>
    </row>
    <row r="510" spans="1:3" x14ac:dyDescent="0.35">
      <c r="A510">
        <v>4126</v>
      </c>
      <c r="B510" t="s">
        <v>1016</v>
      </c>
      <c r="C510" t="s">
        <v>1821</v>
      </c>
    </row>
    <row r="511" spans="1:3" x14ac:dyDescent="0.35">
      <c r="A511">
        <v>4127</v>
      </c>
      <c r="B511" t="s">
        <v>1017</v>
      </c>
      <c r="C511" t="s">
        <v>1822</v>
      </c>
    </row>
    <row r="512" spans="1:3" x14ac:dyDescent="0.35">
      <c r="A512">
        <v>4128</v>
      </c>
      <c r="B512" t="s">
        <v>1018</v>
      </c>
      <c r="C512" t="s">
        <v>1823</v>
      </c>
    </row>
    <row r="513" spans="1:3" x14ac:dyDescent="0.35">
      <c r="A513">
        <v>4129</v>
      </c>
      <c r="B513" t="s">
        <v>1019</v>
      </c>
      <c r="C513" t="s">
        <v>1824</v>
      </c>
    </row>
    <row r="514" spans="1:3" x14ac:dyDescent="0.35">
      <c r="A514">
        <v>4130</v>
      </c>
      <c r="B514" t="s">
        <v>1020</v>
      </c>
      <c r="C514" t="s">
        <v>1825</v>
      </c>
    </row>
    <row r="515" spans="1:3" x14ac:dyDescent="0.35">
      <c r="A515">
        <v>4131</v>
      </c>
      <c r="B515" t="s">
        <v>1021</v>
      </c>
      <c r="C515" t="s">
        <v>1826</v>
      </c>
    </row>
    <row r="516" spans="1:3" x14ac:dyDescent="0.35">
      <c r="A516">
        <v>4132</v>
      </c>
      <c r="B516" t="s">
        <v>1022</v>
      </c>
      <c r="C516" t="s">
        <v>1827</v>
      </c>
    </row>
    <row r="517" spans="1:3" x14ac:dyDescent="0.35">
      <c r="A517">
        <v>4139</v>
      </c>
      <c r="B517" t="s">
        <v>1023</v>
      </c>
      <c r="C517" t="s">
        <v>1828</v>
      </c>
    </row>
    <row r="518" spans="1:3" x14ac:dyDescent="0.35">
      <c r="A518">
        <v>4140</v>
      </c>
      <c r="B518" t="s">
        <v>1024</v>
      </c>
      <c r="C518" t="s">
        <v>1829</v>
      </c>
    </row>
    <row r="519" spans="1:3" x14ac:dyDescent="0.35">
      <c r="A519">
        <v>4141</v>
      </c>
      <c r="B519" t="s">
        <v>1025</v>
      </c>
      <c r="C519" t="s">
        <v>1830</v>
      </c>
    </row>
    <row r="520" spans="1:3" x14ac:dyDescent="0.35">
      <c r="A520">
        <v>4142</v>
      </c>
      <c r="B520" t="s">
        <v>1026</v>
      </c>
      <c r="C520" t="s">
        <v>1831</v>
      </c>
    </row>
    <row r="521" spans="1:3" x14ac:dyDescent="0.35">
      <c r="A521">
        <v>4143</v>
      </c>
      <c r="B521" t="s">
        <v>1027</v>
      </c>
      <c r="C521" t="s">
        <v>1832</v>
      </c>
    </row>
    <row r="522" spans="1:3" x14ac:dyDescent="0.35">
      <c r="A522">
        <v>4144</v>
      </c>
      <c r="B522" t="s">
        <v>1028</v>
      </c>
      <c r="C522" t="s">
        <v>1833</v>
      </c>
    </row>
    <row r="523" spans="1:3" x14ac:dyDescent="0.35">
      <c r="A523">
        <v>4145</v>
      </c>
      <c r="B523" t="s">
        <v>1029</v>
      </c>
      <c r="C523" t="s">
        <v>1834</v>
      </c>
    </row>
    <row r="524" spans="1:3" x14ac:dyDescent="0.35">
      <c r="A524">
        <v>4146</v>
      </c>
      <c r="B524" t="s">
        <v>1030</v>
      </c>
      <c r="C524" t="s">
        <v>1835</v>
      </c>
    </row>
    <row r="525" spans="1:3" x14ac:dyDescent="0.35">
      <c r="A525">
        <v>4147</v>
      </c>
      <c r="B525" t="s">
        <v>1031</v>
      </c>
      <c r="C525" t="s">
        <v>1836</v>
      </c>
    </row>
    <row r="526" spans="1:3" x14ac:dyDescent="0.35">
      <c r="A526">
        <v>4148</v>
      </c>
      <c r="B526" t="s">
        <v>1032</v>
      </c>
      <c r="C526" t="s">
        <v>1837</v>
      </c>
    </row>
    <row r="527" spans="1:3" x14ac:dyDescent="0.35">
      <c r="A527">
        <v>4149</v>
      </c>
      <c r="B527" t="s">
        <v>1033</v>
      </c>
      <c r="C527" t="s">
        <v>1838</v>
      </c>
    </row>
    <row r="528" spans="1:3" x14ac:dyDescent="0.35">
      <c r="A528">
        <v>4150</v>
      </c>
      <c r="B528" t="s">
        <v>1034</v>
      </c>
      <c r="C528" t="s">
        <v>1839</v>
      </c>
    </row>
    <row r="529" spans="1:3" x14ac:dyDescent="0.35">
      <c r="A529">
        <v>4154</v>
      </c>
      <c r="B529" t="s">
        <v>1035</v>
      </c>
      <c r="C529" t="s">
        <v>1840</v>
      </c>
    </row>
    <row r="530" spans="1:3" x14ac:dyDescent="0.35">
      <c r="A530">
        <v>4155</v>
      </c>
      <c r="B530" t="s">
        <v>1036</v>
      </c>
      <c r="C530" t="s">
        <v>1841</v>
      </c>
    </row>
    <row r="531" spans="1:3" x14ac:dyDescent="0.35">
      <c r="A531">
        <v>4156</v>
      </c>
      <c r="B531" t="s">
        <v>1037</v>
      </c>
      <c r="C531" t="s">
        <v>1842</v>
      </c>
    </row>
    <row r="532" spans="1:3" x14ac:dyDescent="0.35">
      <c r="A532">
        <v>4162</v>
      </c>
      <c r="B532" t="s">
        <v>1038</v>
      </c>
      <c r="C532" t="s">
        <v>1843</v>
      </c>
    </row>
    <row r="533" spans="1:3" x14ac:dyDescent="0.35">
      <c r="A533">
        <v>4163</v>
      </c>
      <c r="B533" t="s">
        <v>1039</v>
      </c>
      <c r="C533" t="s">
        <v>1844</v>
      </c>
    </row>
    <row r="534" spans="1:3" x14ac:dyDescent="0.35">
      <c r="A534">
        <v>4164</v>
      </c>
      <c r="B534" t="s">
        <v>1040</v>
      </c>
      <c r="C534" t="s">
        <v>1845</v>
      </c>
    </row>
    <row r="535" spans="1:3" x14ac:dyDescent="0.35">
      <c r="A535">
        <v>4165</v>
      </c>
      <c r="B535" t="s">
        <v>1041</v>
      </c>
      <c r="C535" t="s">
        <v>1846</v>
      </c>
    </row>
    <row r="536" spans="1:3" x14ac:dyDescent="0.35">
      <c r="A536">
        <v>4166</v>
      </c>
      <c r="B536" t="s">
        <v>1042</v>
      </c>
      <c r="C536" t="s">
        <v>1847</v>
      </c>
    </row>
    <row r="537" spans="1:3" x14ac:dyDescent="0.35">
      <c r="A537">
        <v>4167</v>
      </c>
      <c r="B537" t="s">
        <v>1043</v>
      </c>
      <c r="C537" t="s">
        <v>1848</v>
      </c>
    </row>
    <row r="538" spans="1:3" x14ac:dyDescent="0.35">
      <c r="A538">
        <v>4183</v>
      </c>
      <c r="B538" t="s">
        <v>1044</v>
      </c>
      <c r="C538" t="s">
        <v>1849</v>
      </c>
    </row>
    <row r="539" spans="1:3" x14ac:dyDescent="0.35">
      <c r="A539">
        <v>4184</v>
      </c>
      <c r="B539" t="s">
        <v>1045</v>
      </c>
      <c r="C539" t="s">
        <v>1850</v>
      </c>
    </row>
    <row r="540" spans="1:3" x14ac:dyDescent="0.35">
      <c r="A540">
        <v>4185</v>
      </c>
      <c r="B540" t="s">
        <v>1046</v>
      </c>
      <c r="C540" t="s">
        <v>1851</v>
      </c>
    </row>
    <row r="541" spans="1:3" x14ac:dyDescent="0.35">
      <c r="A541">
        <v>4186</v>
      </c>
      <c r="B541" t="s">
        <v>1047</v>
      </c>
      <c r="C541" t="s">
        <v>1852</v>
      </c>
    </row>
    <row r="542" spans="1:3" x14ac:dyDescent="0.35">
      <c r="A542">
        <v>4187</v>
      </c>
      <c r="B542" t="s">
        <v>1048</v>
      </c>
      <c r="C542" t="s">
        <v>1853</v>
      </c>
    </row>
    <row r="543" spans="1:3" x14ac:dyDescent="0.35">
      <c r="A543">
        <v>4188</v>
      </c>
      <c r="B543" t="s">
        <v>1049</v>
      </c>
      <c r="C543" t="s">
        <v>1854</v>
      </c>
    </row>
    <row r="544" spans="1:3" x14ac:dyDescent="0.35">
      <c r="A544">
        <v>4189</v>
      </c>
      <c r="B544" t="s">
        <v>1254</v>
      </c>
      <c r="C544" t="s">
        <v>1855</v>
      </c>
    </row>
    <row r="545" spans="1:3" x14ac:dyDescent="0.35">
      <c r="A545">
        <v>4190</v>
      </c>
      <c r="B545" t="s">
        <v>1255</v>
      </c>
      <c r="C545" t="s">
        <v>1856</v>
      </c>
    </row>
    <row r="546" spans="1:3" x14ac:dyDescent="0.35">
      <c r="A546">
        <v>4191</v>
      </c>
      <c r="B546" t="s">
        <v>1256</v>
      </c>
      <c r="C546" t="s">
        <v>1857</v>
      </c>
    </row>
    <row r="547" spans="1:3" x14ac:dyDescent="0.35">
      <c r="A547">
        <v>4200</v>
      </c>
      <c r="B547" t="s">
        <v>1050</v>
      </c>
      <c r="C547" t="s">
        <v>1858</v>
      </c>
    </row>
    <row r="548" spans="1:3" x14ac:dyDescent="0.35">
      <c r="A548">
        <v>4201</v>
      </c>
      <c r="B548" t="s">
        <v>1051</v>
      </c>
      <c r="C548" t="s">
        <v>1859</v>
      </c>
    </row>
    <row r="549" spans="1:3" x14ac:dyDescent="0.35">
      <c r="A549">
        <v>4202</v>
      </c>
      <c r="B549" t="s">
        <v>1052</v>
      </c>
      <c r="C549" t="s">
        <v>1860</v>
      </c>
    </row>
    <row r="550" spans="1:3" x14ac:dyDescent="0.35">
      <c r="A550">
        <v>4203</v>
      </c>
      <c r="B550" t="s">
        <v>1053</v>
      </c>
      <c r="C550" t="s">
        <v>1861</v>
      </c>
    </row>
    <row r="551" spans="1:3" x14ac:dyDescent="0.35">
      <c r="A551">
        <v>4204</v>
      </c>
      <c r="B551" t="s">
        <v>1054</v>
      </c>
      <c r="C551" t="s">
        <v>1862</v>
      </c>
    </row>
    <row r="552" spans="1:3" x14ac:dyDescent="0.35">
      <c r="A552">
        <v>4205</v>
      </c>
      <c r="B552" t="s">
        <v>1055</v>
      </c>
      <c r="C552" t="s">
        <v>1863</v>
      </c>
    </row>
    <row r="553" spans="1:3" x14ac:dyDescent="0.35">
      <c r="A553">
        <v>4206</v>
      </c>
      <c r="B553" t="s">
        <v>1056</v>
      </c>
      <c r="C553" t="s">
        <v>1864</v>
      </c>
    </row>
    <row r="554" spans="1:3" x14ac:dyDescent="0.35">
      <c r="A554">
        <v>4207</v>
      </c>
      <c r="B554" t="s">
        <v>1057</v>
      </c>
      <c r="C554" t="s">
        <v>1865</v>
      </c>
    </row>
    <row r="555" spans="1:3" x14ac:dyDescent="0.35">
      <c r="A555">
        <v>4208</v>
      </c>
      <c r="B555" t="s">
        <v>1058</v>
      </c>
      <c r="C555" t="s">
        <v>1866</v>
      </c>
    </row>
    <row r="556" spans="1:3" x14ac:dyDescent="0.35">
      <c r="A556">
        <v>4212</v>
      </c>
      <c r="B556" t="s">
        <v>1059</v>
      </c>
      <c r="C556" t="s">
        <v>1867</v>
      </c>
    </row>
    <row r="557" spans="1:3" x14ac:dyDescent="0.35">
      <c r="A557">
        <v>4213</v>
      </c>
      <c r="B557" t="s">
        <v>1060</v>
      </c>
      <c r="C557" t="s">
        <v>1868</v>
      </c>
    </row>
    <row r="558" spans="1:3" x14ac:dyDescent="0.35">
      <c r="A558">
        <v>4214</v>
      </c>
      <c r="B558" t="s">
        <v>1061</v>
      </c>
      <c r="C558" t="s">
        <v>1869</v>
      </c>
    </row>
    <row r="559" spans="1:3" x14ac:dyDescent="0.35">
      <c r="A559">
        <v>4218</v>
      </c>
      <c r="B559" t="s">
        <v>1062</v>
      </c>
      <c r="C559" t="s">
        <v>1870</v>
      </c>
    </row>
    <row r="560" spans="1:3" x14ac:dyDescent="0.35">
      <c r="A560">
        <v>4219</v>
      </c>
      <c r="B560" t="s">
        <v>1063</v>
      </c>
      <c r="C560" t="s">
        <v>1871</v>
      </c>
    </row>
    <row r="561" spans="1:3" x14ac:dyDescent="0.35">
      <c r="A561">
        <v>4220</v>
      </c>
      <c r="B561" t="s">
        <v>1064</v>
      </c>
      <c r="C561" t="s">
        <v>1872</v>
      </c>
    </row>
    <row r="562" spans="1:3" x14ac:dyDescent="0.35">
      <c r="A562">
        <v>4230</v>
      </c>
      <c r="B562" t="s">
        <v>1065</v>
      </c>
      <c r="C562" t="s">
        <v>1873</v>
      </c>
    </row>
    <row r="563" spans="1:3" x14ac:dyDescent="0.35">
      <c r="A563">
        <v>4231</v>
      </c>
      <c r="B563" t="s">
        <v>1066</v>
      </c>
      <c r="C563" t="s">
        <v>1874</v>
      </c>
    </row>
    <row r="564" spans="1:3" x14ac:dyDescent="0.35">
      <c r="A564">
        <v>4232</v>
      </c>
      <c r="B564" t="s">
        <v>1067</v>
      </c>
      <c r="C564" t="s">
        <v>1875</v>
      </c>
    </row>
    <row r="565" spans="1:3" x14ac:dyDescent="0.35">
      <c r="A565">
        <v>4233</v>
      </c>
      <c r="B565" t="s">
        <v>1068</v>
      </c>
      <c r="C565" t="s">
        <v>1876</v>
      </c>
    </row>
    <row r="566" spans="1:3" x14ac:dyDescent="0.35">
      <c r="A566">
        <v>4234</v>
      </c>
      <c r="B566" t="s">
        <v>1069</v>
      </c>
      <c r="C566" t="s">
        <v>1877</v>
      </c>
    </row>
    <row r="567" spans="1:3" x14ac:dyDescent="0.35">
      <c r="A567">
        <v>4235</v>
      </c>
      <c r="B567" t="s">
        <v>1070</v>
      </c>
      <c r="C567" t="s">
        <v>1878</v>
      </c>
    </row>
    <row r="568" spans="1:3" x14ac:dyDescent="0.35">
      <c r="A568">
        <v>4236</v>
      </c>
      <c r="B568" t="s">
        <v>1071</v>
      </c>
      <c r="C568" t="s">
        <v>1879</v>
      </c>
    </row>
    <row r="569" spans="1:3" x14ac:dyDescent="0.35">
      <c r="A569">
        <v>4237</v>
      </c>
      <c r="B569" t="s">
        <v>1072</v>
      </c>
      <c r="C569" t="s">
        <v>1880</v>
      </c>
    </row>
    <row r="570" spans="1:3" x14ac:dyDescent="0.35">
      <c r="A570">
        <v>4238</v>
      </c>
      <c r="B570" t="s">
        <v>1073</v>
      </c>
      <c r="C570" t="s">
        <v>1881</v>
      </c>
    </row>
    <row r="571" spans="1:3" x14ac:dyDescent="0.35">
      <c r="A571">
        <v>4239</v>
      </c>
      <c r="B571" t="s">
        <v>1074</v>
      </c>
      <c r="C571" t="s">
        <v>1882</v>
      </c>
    </row>
    <row r="572" spans="1:3" x14ac:dyDescent="0.35">
      <c r="A572">
        <v>4240</v>
      </c>
      <c r="B572" t="s">
        <v>1075</v>
      </c>
      <c r="C572" t="s">
        <v>1883</v>
      </c>
    </row>
    <row r="573" spans="1:3" x14ac:dyDescent="0.35">
      <c r="A573">
        <v>4241</v>
      </c>
      <c r="B573" t="s">
        <v>1076</v>
      </c>
      <c r="C573" t="s">
        <v>1884</v>
      </c>
    </row>
    <row r="574" spans="1:3" x14ac:dyDescent="0.35">
      <c r="A574">
        <v>4242</v>
      </c>
      <c r="B574" t="s">
        <v>1077</v>
      </c>
      <c r="C574" t="s">
        <v>1885</v>
      </c>
    </row>
    <row r="575" spans="1:3" x14ac:dyDescent="0.35">
      <c r="A575">
        <v>4243</v>
      </c>
      <c r="B575" t="s">
        <v>1078</v>
      </c>
      <c r="C575" t="s">
        <v>1886</v>
      </c>
    </row>
    <row r="576" spans="1:3" x14ac:dyDescent="0.35">
      <c r="A576">
        <v>4244</v>
      </c>
      <c r="B576" t="s">
        <v>1079</v>
      </c>
      <c r="C576" t="s">
        <v>1887</v>
      </c>
    </row>
    <row r="577" spans="1:3" x14ac:dyDescent="0.35">
      <c r="A577">
        <v>4245</v>
      </c>
      <c r="B577" t="s">
        <v>1080</v>
      </c>
      <c r="C577" t="s">
        <v>1888</v>
      </c>
    </row>
    <row r="578" spans="1:3" x14ac:dyDescent="0.35">
      <c r="A578">
        <v>4246</v>
      </c>
      <c r="B578" t="s">
        <v>1081</v>
      </c>
      <c r="C578" t="s">
        <v>1889</v>
      </c>
    </row>
    <row r="579" spans="1:3" x14ac:dyDescent="0.35">
      <c r="A579">
        <v>4247</v>
      </c>
      <c r="B579" t="s">
        <v>1082</v>
      </c>
      <c r="C579" t="s">
        <v>1890</v>
      </c>
    </row>
    <row r="580" spans="1:3" x14ac:dyDescent="0.35">
      <c r="A580">
        <v>4248</v>
      </c>
      <c r="B580" t="s">
        <v>1083</v>
      </c>
      <c r="C580" t="s">
        <v>1891</v>
      </c>
    </row>
    <row r="581" spans="1:3" x14ac:dyDescent="0.35">
      <c r="A581">
        <v>4249</v>
      </c>
      <c r="B581" t="s">
        <v>1084</v>
      </c>
      <c r="C581" t="s">
        <v>1892</v>
      </c>
    </row>
    <row r="582" spans="1:3" x14ac:dyDescent="0.35">
      <c r="A582">
        <v>4250</v>
      </c>
      <c r="B582" t="s">
        <v>1085</v>
      </c>
      <c r="C582" t="s">
        <v>1893</v>
      </c>
    </row>
    <row r="583" spans="1:3" x14ac:dyDescent="0.35">
      <c r="A583">
        <v>4251</v>
      </c>
      <c r="B583" t="s">
        <v>1086</v>
      </c>
      <c r="C583" t="s">
        <v>1894</v>
      </c>
    </row>
    <row r="584" spans="1:3" x14ac:dyDescent="0.35">
      <c r="A584">
        <v>4252</v>
      </c>
      <c r="B584" t="s">
        <v>1087</v>
      </c>
      <c r="C584" t="s">
        <v>1895</v>
      </c>
    </row>
    <row r="585" spans="1:3" x14ac:dyDescent="0.35">
      <c r="A585">
        <v>4253</v>
      </c>
      <c r="B585" t="s">
        <v>1088</v>
      </c>
      <c r="C585" t="s">
        <v>1896</v>
      </c>
    </row>
    <row r="586" spans="1:3" x14ac:dyDescent="0.35">
      <c r="A586">
        <v>4254</v>
      </c>
      <c r="B586" t="s">
        <v>1089</v>
      </c>
      <c r="C586" t="s">
        <v>1897</v>
      </c>
    </row>
    <row r="587" spans="1:3" x14ac:dyDescent="0.35">
      <c r="A587">
        <v>4255</v>
      </c>
      <c r="B587" t="s">
        <v>1090</v>
      </c>
      <c r="C587" t="s">
        <v>1898</v>
      </c>
    </row>
    <row r="588" spans="1:3" x14ac:dyDescent="0.35">
      <c r="A588">
        <v>4256</v>
      </c>
      <c r="B588" t="s">
        <v>1091</v>
      </c>
      <c r="C588" t="s">
        <v>1899</v>
      </c>
    </row>
    <row r="589" spans="1:3" x14ac:dyDescent="0.35">
      <c r="A589">
        <v>4269</v>
      </c>
      <c r="B589" t="s">
        <v>1092</v>
      </c>
      <c r="C589" t="s">
        <v>1900</v>
      </c>
    </row>
    <row r="590" spans="1:3" x14ac:dyDescent="0.35">
      <c r="A590">
        <v>4270</v>
      </c>
      <c r="B590" t="s">
        <v>1093</v>
      </c>
      <c r="C590" t="s">
        <v>1901</v>
      </c>
    </row>
    <row r="591" spans="1:3" x14ac:dyDescent="0.35">
      <c r="A591">
        <v>4271</v>
      </c>
      <c r="B591" t="s">
        <v>1094</v>
      </c>
      <c r="C591" t="s">
        <v>1902</v>
      </c>
    </row>
    <row r="592" spans="1:3" x14ac:dyDescent="0.35">
      <c r="A592">
        <v>4272</v>
      </c>
      <c r="B592" t="s">
        <v>1095</v>
      </c>
      <c r="C592" t="s">
        <v>1903</v>
      </c>
    </row>
    <row r="593" spans="1:3" x14ac:dyDescent="0.35">
      <c r="A593">
        <v>4273</v>
      </c>
      <c r="B593" t="s">
        <v>1096</v>
      </c>
      <c r="C593" t="s">
        <v>1904</v>
      </c>
    </row>
    <row r="594" spans="1:3" x14ac:dyDescent="0.35">
      <c r="A594">
        <v>4274</v>
      </c>
      <c r="B594" t="s">
        <v>1097</v>
      </c>
      <c r="C594" t="s">
        <v>1905</v>
      </c>
    </row>
    <row r="595" spans="1:3" x14ac:dyDescent="0.35">
      <c r="A595">
        <v>4275</v>
      </c>
      <c r="B595" t="s">
        <v>1098</v>
      </c>
      <c r="C595" t="s">
        <v>1906</v>
      </c>
    </row>
    <row r="596" spans="1:3" x14ac:dyDescent="0.35">
      <c r="A596">
        <v>4276</v>
      </c>
      <c r="B596" t="s">
        <v>1099</v>
      </c>
      <c r="C596" t="s">
        <v>1907</v>
      </c>
    </row>
    <row r="597" spans="1:3" x14ac:dyDescent="0.35">
      <c r="A597">
        <v>4277</v>
      </c>
      <c r="B597" t="s">
        <v>1100</v>
      </c>
      <c r="C597" t="s">
        <v>1908</v>
      </c>
    </row>
    <row r="598" spans="1:3" x14ac:dyDescent="0.35">
      <c r="A598">
        <v>4278</v>
      </c>
      <c r="B598" t="s">
        <v>1101</v>
      </c>
      <c r="C598" t="s">
        <v>1909</v>
      </c>
    </row>
    <row r="599" spans="1:3" x14ac:dyDescent="0.35">
      <c r="A599">
        <v>4279</v>
      </c>
      <c r="B599" t="s">
        <v>1102</v>
      </c>
      <c r="C599" t="s">
        <v>1910</v>
      </c>
    </row>
    <row r="600" spans="1:3" x14ac:dyDescent="0.35">
      <c r="A600">
        <v>4280</v>
      </c>
      <c r="B600" t="s">
        <v>1103</v>
      </c>
      <c r="C600" t="s">
        <v>1911</v>
      </c>
    </row>
    <row r="601" spans="1:3" x14ac:dyDescent="0.35">
      <c r="A601">
        <v>4293</v>
      </c>
      <c r="B601" t="s">
        <v>1104</v>
      </c>
      <c r="C601" t="s">
        <v>1912</v>
      </c>
    </row>
    <row r="602" spans="1:3" x14ac:dyDescent="0.35">
      <c r="A602">
        <v>4294</v>
      </c>
      <c r="B602" t="s">
        <v>1105</v>
      </c>
      <c r="C602" t="s">
        <v>1913</v>
      </c>
    </row>
    <row r="603" spans="1:3" x14ac:dyDescent="0.35">
      <c r="A603">
        <v>4295</v>
      </c>
      <c r="B603" t="s">
        <v>1106</v>
      </c>
      <c r="C603" t="s">
        <v>1914</v>
      </c>
    </row>
    <row r="604" spans="1:3" x14ac:dyDescent="0.35">
      <c r="A604">
        <v>4296</v>
      </c>
      <c r="B604" t="s">
        <v>1107</v>
      </c>
      <c r="C604" t="s">
        <v>1915</v>
      </c>
    </row>
    <row r="605" spans="1:3" x14ac:dyDescent="0.35">
      <c r="A605">
        <v>4297</v>
      </c>
      <c r="B605" t="s">
        <v>1108</v>
      </c>
      <c r="C605" t="s">
        <v>1916</v>
      </c>
    </row>
    <row r="606" spans="1:3" x14ac:dyDescent="0.35">
      <c r="A606">
        <v>4298</v>
      </c>
      <c r="B606" t="s">
        <v>1109</v>
      </c>
      <c r="C606" t="s">
        <v>1917</v>
      </c>
    </row>
    <row r="607" spans="1:3" x14ac:dyDescent="0.35">
      <c r="A607">
        <v>4299</v>
      </c>
      <c r="B607" t="s">
        <v>1110</v>
      </c>
      <c r="C607" t="s">
        <v>1918</v>
      </c>
    </row>
    <row r="608" spans="1:3" x14ac:dyDescent="0.35">
      <c r="A608">
        <v>4300</v>
      </c>
      <c r="B608" t="s">
        <v>1111</v>
      </c>
      <c r="C608" t="s">
        <v>1919</v>
      </c>
    </row>
    <row r="609" spans="1:3" x14ac:dyDescent="0.35">
      <c r="A609">
        <v>4301</v>
      </c>
      <c r="B609" t="s">
        <v>1112</v>
      </c>
      <c r="C609" t="s">
        <v>1920</v>
      </c>
    </row>
    <row r="610" spans="1:3" x14ac:dyDescent="0.35">
      <c r="A610">
        <v>4302</v>
      </c>
      <c r="B610" t="s">
        <v>1113</v>
      </c>
      <c r="C610" t="s">
        <v>1921</v>
      </c>
    </row>
    <row r="611" spans="1:3" x14ac:dyDescent="0.35">
      <c r="A611">
        <v>4303</v>
      </c>
      <c r="B611" t="s">
        <v>1114</v>
      </c>
      <c r="C611" t="s">
        <v>1922</v>
      </c>
    </row>
    <row r="612" spans="1:3" x14ac:dyDescent="0.35">
      <c r="A612">
        <v>4304</v>
      </c>
      <c r="B612" t="s">
        <v>1115</v>
      </c>
      <c r="C612" t="s">
        <v>1923</v>
      </c>
    </row>
    <row r="613" spans="1:3" x14ac:dyDescent="0.35">
      <c r="A613">
        <v>4308</v>
      </c>
      <c r="B613" t="s">
        <v>1116</v>
      </c>
      <c r="C613" t="s">
        <v>1924</v>
      </c>
    </row>
    <row r="614" spans="1:3" x14ac:dyDescent="0.35">
      <c r="A614">
        <v>4309</v>
      </c>
      <c r="B614" t="s">
        <v>1117</v>
      </c>
      <c r="C614" t="s">
        <v>1925</v>
      </c>
    </row>
    <row r="615" spans="1:3" x14ac:dyDescent="0.35">
      <c r="A615">
        <v>4310</v>
      </c>
      <c r="B615" t="s">
        <v>1118</v>
      </c>
      <c r="C615" t="s">
        <v>1926</v>
      </c>
    </row>
    <row r="616" spans="1:3" x14ac:dyDescent="0.35">
      <c r="A616">
        <v>4311</v>
      </c>
      <c r="B616" t="s">
        <v>1119</v>
      </c>
      <c r="C616" t="s">
        <v>1927</v>
      </c>
    </row>
    <row r="617" spans="1:3" x14ac:dyDescent="0.35">
      <c r="A617">
        <v>4312</v>
      </c>
      <c r="B617" t="s">
        <v>1120</v>
      </c>
      <c r="C617" t="s">
        <v>1928</v>
      </c>
    </row>
    <row r="618" spans="1:3" x14ac:dyDescent="0.35">
      <c r="A618">
        <v>4313</v>
      </c>
      <c r="B618" t="s">
        <v>1121</v>
      </c>
      <c r="C618" t="s">
        <v>1929</v>
      </c>
    </row>
    <row r="619" spans="1:3" x14ac:dyDescent="0.35">
      <c r="A619">
        <v>4314</v>
      </c>
      <c r="B619" t="s">
        <v>1122</v>
      </c>
      <c r="C619" t="s">
        <v>1930</v>
      </c>
    </row>
    <row r="620" spans="1:3" x14ac:dyDescent="0.35">
      <c r="A620">
        <v>4315</v>
      </c>
      <c r="B620" t="s">
        <v>1123</v>
      </c>
      <c r="C620" t="s">
        <v>1931</v>
      </c>
    </row>
    <row r="621" spans="1:3" x14ac:dyDescent="0.35">
      <c r="A621">
        <v>4316</v>
      </c>
      <c r="B621" t="s">
        <v>1124</v>
      </c>
      <c r="C621" t="s">
        <v>1932</v>
      </c>
    </row>
    <row r="622" spans="1:3" x14ac:dyDescent="0.35">
      <c r="A622">
        <v>4317</v>
      </c>
      <c r="B622" t="s">
        <v>1125</v>
      </c>
      <c r="C622" t="s">
        <v>1933</v>
      </c>
    </row>
    <row r="623" spans="1:3" x14ac:dyDescent="0.35">
      <c r="A623">
        <v>4318</v>
      </c>
      <c r="B623" t="s">
        <v>1126</v>
      </c>
      <c r="C623" t="s">
        <v>1934</v>
      </c>
    </row>
    <row r="624" spans="1:3" x14ac:dyDescent="0.35">
      <c r="A624">
        <v>4319</v>
      </c>
      <c r="B624" t="s">
        <v>1127</v>
      </c>
      <c r="C624" t="s">
        <v>1935</v>
      </c>
    </row>
    <row r="625" spans="1:3" x14ac:dyDescent="0.35">
      <c r="A625">
        <v>4320</v>
      </c>
      <c r="B625" t="s">
        <v>1128</v>
      </c>
      <c r="C625" t="s">
        <v>1936</v>
      </c>
    </row>
    <row r="626" spans="1:3" x14ac:dyDescent="0.35">
      <c r="A626">
        <v>4321</v>
      </c>
      <c r="B626" t="s">
        <v>1129</v>
      </c>
      <c r="C626" t="s">
        <v>1937</v>
      </c>
    </row>
    <row r="627" spans="1:3" x14ac:dyDescent="0.35">
      <c r="A627">
        <v>4322</v>
      </c>
      <c r="B627" t="s">
        <v>1130</v>
      </c>
      <c r="C627" t="s">
        <v>1938</v>
      </c>
    </row>
    <row r="628" spans="1:3" x14ac:dyDescent="0.35">
      <c r="A628">
        <v>4329</v>
      </c>
      <c r="B628" t="s">
        <v>1131</v>
      </c>
      <c r="C628" t="s">
        <v>1939</v>
      </c>
    </row>
    <row r="629" spans="1:3" x14ac:dyDescent="0.35">
      <c r="A629">
        <v>4330</v>
      </c>
      <c r="B629" t="s">
        <v>1132</v>
      </c>
      <c r="C629" t="s">
        <v>1940</v>
      </c>
    </row>
    <row r="630" spans="1:3" x14ac:dyDescent="0.35">
      <c r="A630">
        <v>4331</v>
      </c>
      <c r="B630" t="s">
        <v>1133</v>
      </c>
      <c r="C630" t="s">
        <v>1941</v>
      </c>
    </row>
    <row r="631" spans="1:3" x14ac:dyDescent="0.35">
      <c r="A631">
        <v>4332</v>
      </c>
      <c r="B631" t="s">
        <v>1134</v>
      </c>
      <c r="C631" t="s">
        <v>1942</v>
      </c>
    </row>
    <row r="632" spans="1:3" x14ac:dyDescent="0.35">
      <c r="A632">
        <v>4333</v>
      </c>
      <c r="B632" t="s">
        <v>1135</v>
      </c>
      <c r="C632" t="s">
        <v>1943</v>
      </c>
    </row>
    <row r="633" spans="1:3" x14ac:dyDescent="0.35">
      <c r="A633">
        <v>4334</v>
      </c>
      <c r="B633" t="s">
        <v>1136</v>
      </c>
      <c r="C633" t="s">
        <v>1944</v>
      </c>
    </row>
    <row r="634" spans="1:3" x14ac:dyDescent="0.35">
      <c r="A634">
        <v>4335</v>
      </c>
      <c r="B634" t="s">
        <v>1137</v>
      </c>
      <c r="C634" t="s">
        <v>1945</v>
      </c>
    </row>
    <row r="635" spans="1:3" x14ac:dyDescent="0.35">
      <c r="A635">
        <v>4336</v>
      </c>
      <c r="B635" t="s">
        <v>1138</v>
      </c>
      <c r="C635" t="s">
        <v>1946</v>
      </c>
    </row>
    <row r="636" spans="1:3" x14ac:dyDescent="0.35">
      <c r="A636">
        <v>4337</v>
      </c>
      <c r="B636" t="s">
        <v>1139</v>
      </c>
      <c r="C636" t="s">
        <v>1947</v>
      </c>
    </row>
    <row r="637" spans="1:3" x14ac:dyDescent="0.35">
      <c r="A637">
        <v>4348</v>
      </c>
      <c r="B637" t="s">
        <v>1140</v>
      </c>
      <c r="C637" t="s">
        <v>1948</v>
      </c>
    </row>
    <row r="638" spans="1:3" x14ac:dyDescent="0.35">
      <c r="A638">
        <v>4349</v>
      </c>
      <c r="B638" t="s">
        <v>1141</v>
      </c>
      <c r="C638" t="s">
        <v>1949</v>
      </c>
    </row>
    <row r="639" spans="1:3" x14ac:dyDescent="0.35">
      <c r="A639">
        <v>4350</v>
      </c>
      <c r="B639" t="s">
        <v>1142</v>
      </c>
      <c r="C639" t="s">
        <v>1950</v>
      </c>
    </row>
    <row r="640" spans="1:3" x14ac:dyDescent="0.35">
      <c r="A640">
        <v>4360</v>
      </c>
      <c r="B640" t="s">
        <v>1143</v>
      </c>
      <c r="C640" t="s">
        <v>1951</v>
      </c>
    </row>
    <row r="641" spans="1:3" x14ac:dyDescent="0.35">
      <c r="A641">
        <v>4361</v>
      </c>
      <c r="B641" t="s">
        <v>1144</v>
      </c>
      <c r="C641" t="s">
        <v>1952</v>
      </c>
    </row>
    <row r="642" spans="1:3" x14ac:dyDescent="0.35">
      <c r="A642">
        <v>4362</v>
      </c>
      <c r="B642" t="s">
        <v>1145</v>
      </c>
      <c r="C642" t="s">
        <v>1953</v>
      </c>
    </row>
    <row r="643" spans="1:3" x14ac:dyDescent="0.35">
      <c r="A643">
        <v>4363</v>
      </c>
      <c r="B643" t="s">
        <v>1146</v>
      </c>
      <c r="C643" t="s">
        <v>1954</v>
      </c>
    </row>
    <row r="644" spans="1:3" x14ac:dyDescent="0.35">
      <c r="A644">
        <v>4364</v>
      </c>
      <c r="B644" t="s">
        <v>1147</v>
      </c>
      <c r="C644" t="s">
        <v>1955</v>
      </c>
    </row>
    <row r="645" spans="1:3" x14ac:dyDescent="0.35">
      <c r="A645">
        <v>4365</v>
      </c>
      <c r="B645" t="s">
        <v>1148</v>
      </c>
      <c r="C645" t="s">
        <v>1956</v>
      </c>
    </row>
    <row r="646" spans="1:3" x14ac:dyDescent="0.35">
      <c r="A646">
        <v>4366</v>
      </c>
      <c r="B646" t="s">
        <v>1149</v>
      </c>
      <c r="C646" t="s">
        <v>1957</v>
      </c>
    </row>
    <row r="647" spans="1:3" x14ac:dyDescent="0.35">
      <c r="A647">
        <v>4367</v>
      </c>
      <c r="B647" t="s">
        <v>1150</v>
      </c>
      <c r="C647" t="s">
        <v>1958</v>
      </c>
    </row>
    <row r="648" spans="1:3" x14ac:dyDescent="0.35">
      <c r="A648">
        <v>4368</v>
      </c>
      <c r="B648" t="s">
        <v>1151</v>
      </c>
      <c r="C648" t="s">
        <v>1959</v>
      </c>
    </row>
    <row r="649" spans="1:3" x14ac:dyDescent="0.35">
      <c r="A649">
        <v>4369</v>
      </c>
      <c r="B649" t="s">
        <v>1152</v>
      </c>
      <c r="C649" t="s">
        <v>1960</v>
      </c>
    </row>
    <row r="650" spans="1:3" x14ac:dyDescent="0.35">
      <c r="A650">
        <v>4370</v>
      </c>
      <c r="B650" t="s">
        <v>1153</v>
      </c>
      <c r="C650" t="s">
        <v>1961</v>
      </c>
    </row>
    <row r="651" spans="1:3" x14ac:dyDescent="0.35">
      <c r="A651">
        <v>4371</v>
      </c>
      <c r="B651" t="s">
        <v>1154</v>
      </c>
      <c r="C651" t="s">
        <v>1962</v>
      </c>
    </row>
    <row r="652" spans="1:3" x14ac:dyDescent="0.35">
      <c r="A652">
        <v>4372</v>
      </c>
      <c r="B652" t="s">
        <v>1155</v>
      </c>
      <c r="C652" t="s">
        <v>1963</v>
      </c>
    </row>
    <row r="653" spans="1:3" x14ac:dyDescent="0.35">
      <c r="A653">
        <v>4373</v>
      </c>
      <c r="B653" t="s">
        <v>1156</v>
      </c>
      <c r="C653" t="s">
        <v>1964</v>
      </c>
    </row>
    <row r="654" spans="1:3" x14ac:dyDescent="0.35">
      <c r="A654">
        <v>4374</v>
      </c>
      <c r="B654" t="s">
        <v>1157</v>
      </c>
      <c r="C654" t="s">
        <v>1965</v>
      </c>
    </row>
    <row r="655" spans="1:3" x14ac:dyDescent="0.35">
      <c r="A655">
        <v>4375</v>
      </c>
      <c r="B655" t="s">
        <v>1158</v>
      </c>
      <c r="C655" t="s">
        <v>1966</v>
      </c>
    </row>
    <row r="656" spans="1:3" x14ac:dyDescent="0.35">
      <c r="A656">
        <v>4376</v>
      </c>
      <c r="B656" t="s">
        <v>1159</v>
      </c>
      <c r="C656" t="s">
        <v>1967</v>
      </c>
    </row>
    <row r="657" spans="1:3" x14ac:dyDescent="0.35">
      <c r="A657">
        <v>4377</v>
      </c>
      <c r="B657" t="s">
        <v>1160</v>
      </c>
      <c r="C657" t="s">
        <v>1968</v>
      </c>
    </row>
    <row r="658" spans="1:3" x14ac:dyDescent="0.35">
      <c r="A658">
        <v>4378</v>
      </c>
      <c r="B658" t="s">
        <v>1161</v>
      </c>
      <c r="C658" t="s">
        <v>1969</v>
      </c>
    </row>
    <row r="659" spans="1:3" x14ac:dyDescent="0.35">
      <c r="A659">
        <v>4379</v>
      </c>
      <c r="B659" t="s">
        <v>1162</v>
      </c>
      <c r="C659" t="s">
        <v>1970</v>
      </c>
    </row>
    <row r="660" spans="1:3" x14ac:dyDescent="0.35">
      <c r="A660">
        <v>4380</v>
      </c>
      <c r="B660" t="s">
        <v>1163</v>
      </c>
      <c r="C660" t="s">
        <v>1971</v>
      </c>
    </row>
    <row r="661" spans="1:3" x14ac:dyDescent="0.35">
      <c r="A661">
        <v>4381</v>
      </c>
      <c r="B661" t="s">
        <v>1164</v>
      </c>
      <c r="C661" t="s">
        <v>1972</v>
      </c>
    </row>
    <row r="662" spans="1:3" x14ac:dyDescent="0.35">
      <c r="A662">
        <v>4382</v>
      </c>
      <c r="B662" t="s">
        <v>1165</v>
      </c>
      <c r="C662" t="s">
        <v>1973</v>
      </c>
    </row>
    <row r="663" spans="1:3" x14ac:dyDescent="0.35">
      <c r="A663">
        <v>4383</v>
      </c>
      <c r="B663" t="s">
        <v>1166</v>
      </c>
      <c r="C663" t="s">
        <v>1974</v>
      </c>
    </row>
    <row r="664" spans="1:3" x14ac:dyDescent="0.35">
      <c r="A664">
        <v>4384</v>
      </c>
      <c r="B664" t="s">
        <v>1167</v>
      </c>
      <c r="C664" t="s">
        <v>1975</v>
      </c>
    </row>
    <row r="665" spans="1:3" x14ac:dyDescent="0.35">
      <c r="A665">
        <v>4385</v>
      </c>
      <c r="B665" t="s">
        <v>1168</v>
      </c>
      <c r="C665" t="s">
        <v>1976</v>
      </c>
    </row>
    <row r="666" spans="1:3" x14ac:dyDescent="0.35">
      <c r="A666">
        <v>4386</v>
      </c>
      <c r="B666" t="s">
        <v>1169</v>
      </c>
      <c r="C666" t="s">
        <v>1977</v>
      </c>
    </row>
    <row r="667" spans="1:3" x14ac:dyDescent="0.35">
      <c r="A667">
        <v>4389</v>
      </c>
      <c r="B667" t="s">
        <v>1170</v>
      </c>
      <c r="C667" t="s">
        <v>1978</v>
      </c>
    </row>
    <row r="668" spans="1:3" x14ac:dyDescent="0.35">
      <c r="A668">
        <v>4390</v>
      </c>
      <c r="B668" t="s">
        <v>1171</v>
      </c>
      <c r="C668" t="s">
        <v>1979</v>
      </c>
    </row>
    <row r="669" spans="1:3" x14ac:dyDescent="0.35">
      <c r="A669">
        <v>4391</v>
      </c>
      <c r="B669" t="s">
        <v>1172</v>
      </c>
      <c r="C669" t="s">
        <v>1980</v>
      </c>
    </row>
    <row r="670" spans="1:3" x14ac:dyDescent="0.35">
      <c r="A670">
        <v>4392</v>
      </c>
      <c r="B670" t="s">
        <v>1173</v>
      </c>
      <c r="C670" t="s">
        <v>1981</v>
      </c>
    </row>
    <row r="671" spans="1:3" x14ac:dyDescent="0.35">
      <c r="A671">
        <v>4393</v>
      </c>
      <c r="B671" t="s">
        <v>1174</v>
      </c>
      <c r="C671" t="s">
        <v>1982</v>
      </c>
    </row>
    <row r="672" spans="1:3" x14ac:dyDescent="0.35">
      <c r="A672">
        <v>4394</v>
      </c>
      <c r="B672" t="s">
        <v>1175</v>
      </c>
      <c r="C672" t="s">
        <v>1983</v>
      </c>
    </row>
    <row r="673" spans="1:3" x14ac:dyDescent="0.35">
      <c r="A673">
        <v>4395</v>
      </c>
      <c r="B673" t="s">
        <v>1176</v>
      </c>
      <c r="C673" t="s">
        <v>1984</v>
      </c>
    </row>
    <row r="674" spans="1:3" x14ac:dyDescent="0.35">
      <c r="A674">
        <v>4396</v>
      </c>
      <c r="B674" t="s">
        <v>1177</v>
      </c>
      <c r="C674" t="s">
        <v>1985</v>
      </c>
    </row>
    <row r="675" spans="1:3" x14ac:dyDescent="0.35">
      <c r="A675">
        <v>4397</v>
      </c>
      <c r="B675" t="s">
        <v>1178</v>
      </c>
      <c r="C675" t="s">
        <v>1986</v>
      </c>
    </row>
    <row r="676" spans="1:3" x14ac:dyDescent="0.35">
      <c r="A676">
        <v>4398</v>
      </c>
      <c r="B676" t="s">
        <v>1179</v>
      </c>
      <c r="C676" t="s">
        <v>1987</v>
      </c>
    </row>
    <row r="677" spans="1:3" x14ac:dyDescent="0.35">
      <c r="A677">
        <v>4399</v>
      </c>
      <c r="B677" t="s">
        <v>1180</v>
      </c>
      <c r="C677" t="s">
        <v>1988</v>
      </c>
    </row>
    <row r="678" spans="1:3" x14ac:dyDescent="0.35">
      <c r="A678">
        <v>4400</v>
      </c>
      <c r="B678" t="s">
        <v>1181</v>
      </c>
      <c r="C678" t="s">
        <v>1989</v>
      </c>
    </row>
    <row r="679" spans="1:3" x14ac:dyDescent="0.35">
      <c r="A679">
        <v>4401</v>
      </c>
      <c r="B679" t="s">
        <v>1182</v>
      </c>
      <c r="C679" t="s">
        <v>1990</v>
      </c>
    </row>
    <row r="680" spans="1:3" x14ac:dyDescent="0.35">
      <c r="A680">
        <v>4402</v>
      </c>
      <c r="B680" t="s">
        <v>1183</v>
      </c>
      <c r="C680" t="s">
        <v>1991</v>
      </c>
    </row>
    <row r="681" spans="1:3" x14ac:dyDescent="0.35">
      <c r="A681">
        <v>4403</v>
      </c>
      <c r="B681" t="s">
        <v>1184</v>
      </c>
      <c r="C681" t="s">
        <v>1992</v>
      </c>
    </row>
    <row r="682" spans="1:3" x14ac:dyDescent="0.35">
      <c r="A682">
        <v>4404</v>
      </c>
      <c r="B682" t="s">
        <v>1185</v>
      </c>
      <c r="C682" t="s">
        <v>1993</v>
      </c>
    </row>
    <row r="683" spans="1:3" x14ac:dyDescent="0.35">
      <c r="A683">
        <v>4405</v>
      </c>
      <c r="B683" t="s">
        <v>1186</v>
      </c>
      <c r="C683" t="s">
        <v>1994</v>
      </c>
    </row>
    <row r="684" spans="1:3" x14ac:dyDescent="0.35">
      <c r="A684">
        <v>4406</v>
      </c>
      <c r="B684" t="s">
        <v>1187</v>
      </c>
      <c r="C684" t="s">
        <v>1995</v>
      </c>
    </row>
    <row r="685" spans="1:3" x14ac:dyDescent="0.35">
      <c r="A685">
        <v>4407</v>
      </c>
      <c r="B685" t="s">
        <v>1188</v>
      </c>
      <c r="C685" t="s">
        <v>1996</v>
      </c>
    </row>
    <row r="686" spans="1:3" x14ac:dyDescent="0.35">
      <c r="A686">
        <v>4408</v>
      </c>
      <c r="B686" t="s">
        <v>1189</v>
      </c>
      <c r="C686" t="s">
        <v>1997</v>
      </c>
    </row>
    <row r="687" spans="1:3" x14ac:dyDescent="0.35">
      <c r="A687">
        <v>4409</v>
      </c>
      <c r="B687" t="s">
        <v>1190</v>
      </c>
      <c r="C687" t="s">
        <v>1998</v>
      </c>
    </row>
    <row r="688" spans="1:3" x14ac:dyDescent="0.35">
      <c r="A688">
        <v>4410</v>
      </c>
      <c r="B688" t="s">
        <v>1191</v>
      </c>
      <c r="C688" t="s">
        <v>1999</v>
      </c>
    </row>
    <row r="689" spans="1:3" x14ac:dyDescent="0.35">
      <c r="A689">
        <v>4411</v>
      </c>
      <c r="B689" t="s">
        <v>1192</v>
      </c>
      <c r="C689" t="s">
        <v>2000</v>
      </c>
    </row>
    <row r="690" spans="1:3" x14ac:dyDescent="0.35">
      <c r="A690">
        <v>4412</v>
      </c>
      <c r="B690" t="s">
        <v>1193</v>
      </c>
      <c r="C690" t="s">
        <v>2001</v>
      </c>
    </row>
    <row r="691" spans="1:3" x14ac:dyDescent="0.35">
      <c r="A691">
        <v>4413</v>
      </c>
      <c r="B691" t="s">
        <v>1194</v>
      </c>
      <c r="C691" t="s">
        <v>2002</v>
      </c>
    </row>
    <row r="692" spans="1:3" x14ac:dyDescent="0.35">
      <c r="A692">
        <v>4414</v>
      </c>
      <c r="B692" t="s">
        <v>1195</v>
      </c>
      <c r="C692" t="s">
        <v>2003</v>
      </c>
    </row>
    <row r="693" spans="1:3" x14ac:dyDescent="0.35">
      <c r="A693">
        <v>4415</v>
      </c>
      <c r="B693" t="s">
        <v>1196</v>
      </c>
      <c r="C693" t="s">
        <v>2004</v>
      </c>
    </row>
    <row r="694" spans="1:3" x14ac:dyDescent="0.35">
      <c r="A694">
        <v>4428</v>
      </c>
      <c r="B694" t="s">
        <v>1197</v>
      </c>
      <c r="C694" t="s">
        <v>2005</v>
      </c>
    </row>
    <row r="695" spans="1:3" x14ac:dyDescent="0.35">
      <c r="A695">
        <v>4429</v>
      </c>
      <c r="B695" t="s">
        <v>1198</v>
      </c>
      <c r="C695" t="s">
        <v>2006</v>
      </c>
    </row>
    <row r="696" spans="1:3" x14ac:dyDescent="0.35">
      <c r="A696">
        <v>4430</v>
      </c>
      <c r="B696" t="s">
        <v>1199</v>
      </c>
      <c r="C696" t="s">
        <v>2007</v>
      </c>
    </row>
    <row r="697" spans="1:3" x14ac:dyDescent="0.35">
      <c r="A697">
        <v>4434</v>
      </c>
      <c r="B697" t="s">
        <v>1200</v>
      </c>
      <c r="C697" t="s">
        <v>2008</v>
      </c>
    </row>
    <row r="698" spans="1:3" x14ac:dyDescent="0.35">
      <c r="A698">
        <v>4435</v>
      </c>
      <c r="B698" t="s">
        <v>1201</v>
      </c>
      <c r="C698" t="s">
        <v>2009</v>
      </c>
    </row>
    <row r="699" spans="1:3" x14ac:dyDescent="0.35">
      <c r="A699">
        <v>4436</v>
      </c>
      <c r="B699" t="s">
        <v>1202</v>
      </c>
      <c r="C699" t="s">
        <v>2010</v>
      </c>
    </row>
    <row r="700" spans="1:3" x14ac:dyDescent="0.35">
      <c r="A700">
        <v>4446</v>
      </c>
      <c r="B700" t="s">
        <v>1203</v>
      </c>
      <c r="C700" t="s">
        <v>2011</v>
      </c>
    </row>
    <row r="701" spans="1:3" x14ac:dyDescent="0.35">
      <c r="A701">
        <v>4447</v>
      </c>
      <c r="B701" t="s">
        <v>1204</v>
      </c>
      <c r="C701" t="s">
        <v>2012</v>
      </c>
    </row>
    <row r="702" spans="1:3" x14ac:dyDescent="0.35">
      <c r="A702">
        <v>4448</v>
      </c>
      <c r="B702" t="s">
        <v>1205</v>
      </c>
      <c r="C702" t="s">
        <v>2013</v>
      </c>
    </row>
    <row r="703" spans="1:3" x14ac:dyDescent="0.35">
      <c r="A703">
        <v>4449</v>
      </c>
      <c r="B703" t="s">
        <v>1206</v>
      </c>
      <c r="C703" t="s">
        <v>2014</v>
      </c>
    </row>
    <row r="704" spans="1:3" x14ac:dyDescent="0.35">
      <c r="A704">
        <v>4450</v>
      </c>
      <c r="B704" t="s">
        <v>1207</v>
      </c>
      <c r="C704" t="s">
        <v>2015</v>
      </c>
    </row>
    <row r="705" spans="1:3" x14ac:dyDescent="0.35">
      <c r="A705">
        <v>4451</v>
      </c>
      <c r="B705" t="s">
        <v>1208</v>
      </c>
      <c r="C705" t="s">
        <v>2016</v>
      </c>
    </row>
    <row r="706" spans="1:3" x14ac:dyDescent="0.35">
      <c r="A706">
        <v>4476</v>
      </c>
      <c r="B706" t="s">
        <v>1209</v>
      </c>
      <c r="C706" t="s">
        <v>2017</v>
      </c>
    </row>
    <row r="707" spans="1:3" x14ac:dyDescent="0.35">
      <c r="A707">
        <v>4477</v>
      </c>
      <c r="B707" t="s">
        <v>1210</v>
      </c>
      <c r="C707" t="s">
        <v>2018</v>
      </c>
    </row>
    <row r="708" spans="1:3" x14ac:dyDescent="0.35">
      <c r="A708">
        <v>4478</v>
      </c>
      <c r="B708" t="s">
        <v>1211</v>
      </c>
      <c r="C708" t="s">
        <v>2019</v>
      </c>
    </row>
    <row r="709" spans="1:3" x14ac:dyDescent="0.35">
      <c r="A709">
        <v>5076</v>
      </c>
      <c r="B709" t="s">
        <v>1212</v>
      </c>
      <c r="C709" t="s">
        <v>2020</v>
      </c>
    </row>
    <row r="710" spans="1:3" x14ac:dyDescent="0.35">
      <c r="A710">
        <v>5077</v>
      </c>
      <c r="B710" t="s">
        <v>1213</v>
      </c>
      <c r="C710" t="s">
        <v>2021</v>
      </c>
    </row>
    <row r="711" spans="1:3" x14ac:dyDescent="0.35">
      <c r="A711">
        <v>5078</v>
      </c>
      <c r="B711" t="s">
        <v>1214</v>
      </c>
      <c r="C711" t="s">
        <v>2022</v>
      </c>
    </row>
    <row r="712" spans="1:3" x14ac:dyDescent="0.35">
      <c r="A712">
        <v>5079</v>
      </c>
      <c r="B712" t="s">
        <v>1215</v>
      </c>
      <c r="C712" t="s">
        <v>2023</v>
      </c>
    </row>
    <row r="713" spans="1:3" x14ac:dyDescent="0.35">
      <c r="A713">
        <v>5080</v>
      </c>
      <c r="B713" t="s">
        <v>1216</v>
      </c>
      <c r="C713" t="s">
        <v>2024</v>
      </c>
    </row>
    <row r="714" spans="1:3" x14ac:dyDescent="0.35">
      <c r="A714">
        <v>5081</v>
      </c>
      <c r="B714" t="s">
        <v>1217</v>
      </c>
      <c r="C714" t="s">
        <v>2025</v>
      </c>
    </row>
    <row r="715" spans="1:3" x14ac:dyDescent="0.35">
      <c r="A715">
        <v>5082</v>
      </c>
      <c r="B715" t="s">
        <v>1218</v>
      </c>
      <c r="C715" t="s">
        <v>2026</v>
      </c>
    </row>
    <row r="716" spans="1:3" x14ac:dyDescent="0.35">
      <c r="A716">
        <v>5083</v>
      </c>
      <c r="B716" t="s">
        <v>1219</v>
      </c>
      <c r="C716" t="s">
        <v>2027</v>
      </c>
    </row>
    <row r="717" spans="1:3" x14ac:dyDescent="0.35">
      <c r="A717">
        <v>5084</v>
      </c>
      <c r="B717" t="s">
        <v>1220</v>
      </c>
      <c r="C717" t="s">
        <v>2028</v>
      </c>
    </row>
    <row r="718" spans="1:3" x14ac:dyDescent="0.35">
      <c r="A718">
        <v>5085</v>
      </c>
      <c r="B718" t="s">
        <v>1221</v>
      </c>
      <c r="C718" t="s">
        <v>2029</v>
      </c>
    </row>
    <row r="719" spans="1:3" x14ac:dyDescent="0.35">
      <c r="A719">
        <v>5086</v>
      </c>
      <c r="B719" t="s">
        <v>1222</v>
      </c>
      <c r="C719" t="s">
        <v>2030</v>
      </c>
    </row>
    <row r="720" spans="1:3" x14ac:dyDescent="0.35">
      <c r="A720">
        <v>5087</v>
      </c>
      <c r="B720" t="s">
        <v>1223</v>
      </c>
      <c r="C720" t="s">
        <v>2031</v>
      </c>
    </row>
    <row r="721" spans="1:3" x14ac:dyDescent="0.35">
      <c r="A721">
        <v>5088</v>
      </c>
      <c r="B721" t="s">
        <v>1224</v>
      </c>
      <c r="C721" t="s">
        <v>2032</v>
      </c>
    </row>
    <row r="722" spans="1:3" x14ac:dyDescent="0.35">
      <c r="A722">
        <v>5089</v>
      </c>
      <c r="B722" t="s">
        <v>1225</v>
      </c>
      <c r="C722" t="s">
        <v>2033</v>
      </c>
    </row>
    <row r="723" spans="1:3" x14ac:dyDescent="0.35">
      <c r="A723">
        <v>5090</v>
      </c>
      <c r="B723" t="s">
        <v>1226</v>
      </c>
      <c r="C723" t="s">
        <v>2034</v>
      </c>
    </row>
    <row r="724" spans="1:3" x14ac:dyDescent="0.35">
      <c r="A724">
        <v>5091</v>
      </c>
      <c r="B724" t="s">
        <v>1227</v>
      </c>
      <c r="C724" t="s">
        <v>2035</v>
      </c>
    </row>
    <row r="725" spans="1:3" x14ac:dyDescent="0.35">
      <c r="A725">
        <v>5092</v>
      </c>
      <c r="B725" t="s">
        <v>1228</v>
      </c>
      <c r="C725" t="s">
        <v>2036</v>
      </c>
    </row>
    <row r="726" spans="1:3" x14ac:dyDescent="0.35">
      <c r="A726">
        <v>5093</v>
      </c>
      <c r="B726" t="s">
        <v>1229</v>
      </c>
      <c r="C726" t="s">
        <v>2037</v>
      </c>
    </row>
    <row r="727" spans="1:3" x14ac:dyDescent="0.35">
      <c r="A727">
        <v>5094</v>
      </c>
      <c r="B727" t="s">
        <v>1230</v>
      </c>
      <c r="C727" t="s">
        <v>2038</v>
      </c>
    </row>
    <row r="728" spans="1:3" x14ac:dyDescent="0.35">
      <c r="A728">
        <v>5095</v>
      </c>
      <c r="B728" t="s">
        <v>1231</v>
      </c>
      <c r="C728" t="s">
        <v>2039</v>
      </c>
    </row>
    <row r="729" spans="1:3" x14ac:dyDescent="0.35">
      <c r="A729">
        <v>5096</v>
      </c>
      <c r="B729" t="s">
        <v>1232</v>
      </c>
      <c r="C729" t="s">
        <v>2040</v>
      </c>
    </row>
    <row r="730" spans="1:3" x14ac:dyDescent="0.35">
      <c r="A730">
        <v>5097</v>
      </c>
      <c r="B730" t="s">
        <v>1233</v>
      </c>
      <c r="C730" t="s">
        <v>2041</v>
      </c>
    </row>
    <row r="731" spans="1:3" x14ac:dyDescent="0.35">
      <c r="A731">
        <v>5098</v>
      </c>
      <c r="B731" t="s">
        <v>1234</v>
      </c>
      <c r="C731" t="s">
        <v>2042</v>
      </c>
    </row>
    <row r="732" spans="1:3" x14ac:dyDescent="0.35">
      <c r="A732">
        <v>5099</v>
      </c>
      <c r="B732" t="s">
        <v>1235</v>
      </c>
      <c r="C732" t="s">
        <v>2043</v>
      </c>
    </row>
    <row r="733" spans="1:3" x14ac:dyDescent="0.35">
      <c r="A733">
        <v>5100</v>
      </c>
      <c r="B733" t="s">
        <v>1236</v>
      </c>
      <c r="C733" t="s">
        <v>2044</v>
      </c>
    </row>
    <row r="734" spans="1:3" x14ac:dyDescent="0.35">
      <c r="A734">
        <v>5101</v>
      </c>
      <c r="B734" t="s">
        <v>1237</v>
      </c>
      <c r="C734" t="s">
        <v>2045</v>
      </c>
    </row>
    <row r="735" spans="1:3" x14ac:dyDescent="0.35">
      <c r="A735">
        <v>5102</v>
      </c>
      <c r="B735" t="s">
        <v>1238</v>
      </c>
      <c r="C735" t="s">
        <v>2046</v>
      </c>
    </row>
    <row r="736" spans="1:3" x14ac:dyDescent="0.35">
      <c r="A736">
        <v>5103</v>
      </c>
      <c r="B736" t="s">
        <v>1239</v>
      </c>
      <c r="C736" t="s">
        <v>2047</v>
      </c>
    </row>
    <row r="737" spans="1:3" x14ac:dyDescent="0.35">
      <c r="A737">
        <v>5104</v>
      </c>
      <c r="B737" t="s">
        <v>1240</v>
      </c>
      <c r="C737" t="s">
        <v>2048</v>
      </c>
    </row>
    <row r="738" spans="1:3" x14ac:dyDescent="0.35">
      <c r="A738">
        <v>5105</v>
      </c>
      <c r="B738" t="s">
        <v>1241</v>
      </c>
      <c r="C738" t="s">
        <v>2049</v>
      </c>
    </row>
    <row r="739" spans="1:3" x14ac:dyDescent="0.35">
      <c r="A739">
        <v>5106</v>
      </c>
      <c r="B739" t="s">
        <v>1242</v>
      </c>
      <c r="C739" t="s">
        <v>2050</v>
      </c>
    </row>
    <row r="740" spans="1:3" x14ac:dyDescent="0.35">
      <c r="A740">
        <v>5107</v>
      </c>
      <c r="B740" t="s">
        <v>1243</v>
      </c>
      <c r="C740" t="s">
        <v>2051</v>
      </c>
    </row>
    <row r="741" spans="1:3" x14ac:dyDescent="0.35">
      <c r="A741">
        <v>5108</v>
      </c>
      <c r="B741" t="s">
        <v>1244</v>
      </c>
      <c r="C741" t="s">
        <v>2052</v>
      </c>
    </row>
    <row r="742" spans="1:3" x14ac:dyDescent="0.35">
      <c r="A742">
        <v>5126</v>
      </c>
      <c r="B742" t="s">
        <v>1245</v>
      </c>
      <c r="C742" t="s">
        <v>2053</v>
      </c>
    </row>
    <row r="743" spans="1:3" x14ac:dyDescent="0.35">
      <c r="A743">
        <v>5127</v>
      </c>
      <c r="B743" t="s">
        <v>1246</v>
      </c>
      <c r="C743" t="s">
        <v>2054</v>
      </c>
    </row>
    <row r="744" spans="1:3" x14ac:dyDescent="0.35">
      <c r="A744">
        <v>5285</v>
      </c>
      <c r="B744" t="s">
        <v>2055</v>
      </c>
      <c r="C744" t="s">
        <v>2056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577DBE0EB9F6B41AAE713362B75351B" ma:contentTypeVersion="11" ma:contentTypeDescription="Create a new document." ma:contentTypeScope="" ma:versionID="cff8f9f101cdc4f2c14fe2bbde5a6972">
  <xsd:schema xmlns:xsd="http://www.w3.org/2001/XMLSchema" xmlns:xs="http://www.w3.org/2001/XMLSchema" xmlns:p="http://schemas.microsoft.com/office/2006/metadata/properties" xmlns:ns3="af61a9b6-5e9b-44e2-a6ff-b776cbb025ba" xmlns:ns4="d0f664af-6dfd-4085-880e-9c013b0dd3a8" targetNamespace="http://schemas.microsoft.com/office/2006/metadata/properties" ma:root="true" ma:fieldsID="a780d09d97877be8fd9e6d9d967c3f3c" ns3:_="" ns4:_="">
    <xsd:import namespace="af61a9b6-5e9b-44e2-a6ff-b776cbb025ba"/>
    <xsd:import namespace="d0f664af-6dfd-4085-880e-9c013b0dd3a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Tag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61a9b6-5e9b-44e2-a6ff-b776cbb025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f664af-6dfd-4085-880e-9c013b0dd3a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D9708B8-BBC5-4919-9A15-DB034B2EB7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61a9b6-5e9b-44e2-a6ff-b776cbb025ba"/>
    <ds:schemaRef ds:uri="d0f664af-6dfd-4085-880e-9c013b0dd3a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CBE4CB6-C7C9-47E6-915B-29940632B90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99B1B5-2853-4117-BDFE-8D3964FDD6E7}">
  <ds:schemaRefs>
    <ds:schemaRef ds:uri="http://schemas.microsoft.com/office/2006/metadata/properties"/>
    <ds:schemaRef ds:uri="af61a9b6-5e9b-44e2-a6ff-b776cbb025ba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d0f664af-6dfd-4085-880e-9c013b0dd3a8"/>
    <ds:schemaRef ds:uri="http://schemas.microsoft.com/office/infopath/2007/PartnerControl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Site Summary</vt:lpstr>
      <vt:lpstr>Signal Summary</vt:lpstr>
      <vt:lpstr>Commison Dates</vt:lpstr>
      <vt:lpstr>Turbine IDs</vt:lpstr>
      <vt:lpstr>signals_2019_10</vt:lpstr>
      <vt:lpstr>signals_2020_05</vt:lpstr>
      <vt:lpstr>signal 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Warlow</dc:creator>
  <cp:lastModifiedBy>Alex Campbell</cp:lastModifiedBy>
  <dcterms:created xsi:type="dcterms:W3CDTF">2019-10-15T13:47:33Z</dcterms:created>
  <dcterms:modified xsi:type="dcterms:W3CDTF">2020-08-03T12:24:38Z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0x010100D577DBE0EB9F6B41AAE713362B75351B</vt:lpwstr>
  </property>
</Properties>
</file>